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  <sheet state="visible" name="Build-Up" sheetId="2" r:id="rId5"/>
    <sheet state="visible" name="Valuation" sheetId="3" r:id="rId6"/>
    <sheet state="visible" name="Inputs" sheetId="4" r:id="rId7"/>
    <sheet state="visible" name="Macro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__________fl1111">{"Fecha_Novembro",#N/A,FALSE,"FECHAMENTO-2002 ";"Defer_Novembro",#N/A,FALSE,"DIFERIDO";"Pis_Novembro",#N/A,FALSE,"PIS COFINS";"Iss_Novembro",#N/A,FALSE,"ISS"}</definedName>
    <definedName name="__________fl1111">{"Fecha_Novembro",#N/A,FALSE,"FECHAMENTO-2002 ";"Defer_Novembro",#N/A,FALSE,"DIFERIDO";"Pis_Novembro",#N/A,FALSE,"PIS COFINS";"Iss_Novembro",#N/A,FALSE,"ISS"}</definedName>
    <definedName name="_________fl1111">{"Fecha_Novembro",#N/A,FALSE,"FECHAMENTO-2002 ";"Defer_Novembro",#N/A,FALSE,"DIFERIDO";"Pis_Novembro",#N/A,FALSE,"PIS COFINS";"Iss_Novembro",#N/A,FALSE,"ISS"}</definedName>
    <definedName name="________fl1111">{"Fecha_Novembro",#N/A,FALSE,"FECHAMENTO-2002 ";"Defer_Novembro",#N/A,FALSE,"DIFERIDO";"Pis_Novembro",#N/A,FALSE,"PIS COFINS";"Iss_Novembro",#N/A,FALSE,"ISS"}</definedName>
    <definedName name="_______fl1111">{"Fecha_Novembro",#N/A,FALSE,"FECHAMENTO-2002 ";"Defer_Novembro",#N/A,FALSE,"DIFERIDO";"Pis_Novembro",#N/A,FALSE,"PIS COFINS";"Iss_Novembro",#N/A,FALSE,"ISS"}</definedName>
    <definedName name="______fl1111">{"Fecha_Novembro",#N/A,FALSE,"FECHAMENTO-2002 ";"Defer_Novembro",#N/A,FALSE,"DIFERIDO";"Pis_Novembro",#N/A,FALSE,"PIS COFINS";"Iss_Novembro",#N/A,FALSE,"ISS"}</definedName>
    <definedName name="____fl1111">{"Fecha_Novembro",#N/A,FALSE,"FECHAMENTO-2002 ";"Defer_Novembro",#N/A,FALSE,"DIFERIDO";"Pis_Novembro",#N/A,FALSE,"PIS COFINS";"Iss_Novembro",#N/A,FALSE,"ISS"}</definedName>
    <definedName name="___dc1">{#N/A,#N/A,FALSE,"Aging Summary";#N/A,#N/A,FALSE,"Ratio Analysis";#N/A,#N/A,FALSE,"Test 120 Day Accts";#N/A,#N/A,FALSE,"Tickmarks"}</definedName>
    <definedName name="___xlc_DefaultDisplayOption___">"caption"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123Graph_AANIDRO">[1]PRODUCAO!$C$4:$F$4</definedName>
    <definedName name="__123Graph_AHIALCOOL">[1]PRODUCAO!$C$8:$F$8</definedName>
    <definedName name="__123Graph_AHIDRATADO">[1]PRODUCAO!$C$6:$F$6</definedName>
    <definedName name="__123Graph_AINDMES">[2]TESTE!$AG$74:$AP$74</definedName>
    <definedName name="__123Graph_AJAYME">'[3]RF-G7'!$AC$47:$AC$59</definedName>
    <definedName name="__123Graph_AMERC">[2]TESTE!$AR$4:$AR$26</definedName>
    <definedName name="__123Graph_ARESFIN">[2]TESTE!$V$131:$V$151</definedName>
    <definedName name="__123Graph_ASACAS">[1]PRODUCAO!$C$11:$F$11</definedName>
    <definedName name="__123Graph_ASIDECO">'[4]fluxo de caixa'!#REF!</definedName>
    <definedName name="__123Graph_AUSS">[2]TESTE!$H$132:$H$195</definedName>
    <definedName name="__123Graph_B">[5]ce!#REF!</definedName>
    <definedName name="__123Graph_BINDMES">[2]TESTE!$AG$75:$AP$75</definedName>
    <definedName name="__123Graph_BJAYME">'[3]RF-G7'!$AE$47:$AE$47</definedName>
    <definedName name="__123Graph_BMERC">[2]TESTE!$AY$4:$AY$26</definedName>
    <definedName name="__123Graph_BRESFIN">[2]TESTE!$W$131:$W$151</definedName>
    <definedName name="__123Graph_BSIDECO">'[4]fluxo de caixa'!#REF!</definedName>
    <definedName name="__123Graph_C">[2]TESTE!$AG$77:$AP$77</definedName>
    <definedName name="__123Graph_CINDMES">[2]TESTE!$AG$77:$AP$77</definedName>
    <definedName name="__123Graph_CJAYME">'[3]RF-G7'!$AD$47:$AD$59</definedName>
    <definedName name="__123Graph_CMERC">[2]TESTE!$BG$4:$BG$26</definedName>
    <definedName name="__123Graph_CRESFIN">[2]TESTE!$X$131:$X$152</definedName>
    <definedName name="__123Graph_CSIDECO">'[4]fluxo de caixa'!#REF!</definedName>
    <definedName name="__123Graph_D">'[6]Pag .11 À 13'!#REF!</definedName>
    <definedName name="__123Graph_DINDMES">[2]TESTE!$AG$79:$AP$79</definedName>
    <definedName name="__123Graph_F">'[3]RF-G7'!$AD$48:$AD$59</definedName>
    <definedName name="__123Graph_XANIDRO">[1]PRODUCAO!$C$3:$F$3</definedName>
    <definedName name="__123Graph_XHIALCOOL">[1]PRODUCAO!$C$3:$F$3</definedName>
    <definedName name="__123Graph_XHIDRATADO">[1]PRODUCAO!$C$3:$F$3</definedName>
    <definedName name="__123Graph_XINDMES">[2]TESTE!$AG$73:$AP$73</definedName>
    <definedName name="__123Graph_XJAYME">'[3]RF-G7'!$AB$47:$AB$59</definedName>
    <definedName name="__123Graph_XMERC">[2]TESTE!$AQ$4:$AQ$26</definedName>
    <definedName name="__123Graph_XRESFIN">[2]TESTE!$Q$131:$Q$152</definedName>
    <definedName name="__123Graph_XSACAS">[1]PRODUCAO!$C$3:$F$3</definedName>
    <definedName name="__123Graph_XSIDECO">'[4]fluxo de caixa'!#REF!</definedName>
    <definedName name="__123Graph_XUSS">[2]TESTE!$B$132:$B$195</definedName>
    <definedName name="__dc1">{#N/A,#N/A,FALSE,"Aging Summary";#N/A,#N/A,FALSE,"Ratio Analysis";#N/A,#N/A,FALSE,"Test 120 Day Accts";#N/A,#N/A,FALSE,"Tickmarks"}</definedName>
    <definedName name="__FDS_HYPERLINK_TOGGLE_STATE__">"ON"</definedName>
    <definedName name="__g4">{"VERGALHÃO",#N/A,FALSE,"DIÁRIA";"CATODO",#N/A,FALSE,"DIÁRIA"}</definedName>
    <definedName name="__IntlFixup">TRUE</definedName>
    <definedName name="__s2">'[7]sales vol.'!$J$398:$J$401</definedName>
    <definedName name="__s3">'[7]sales vol.'!$J$211:$J$214</definedName>
    <definedName name="__s4">'[7]sales vol.'!$I$1121:$I$1122</definedName>
    <definedName name="__s5">'[7]sales vol.'!$I$1632:$I$1635</definedName>
    <definedName name="__s6">'[7]sales vol.'!$I$2248:$I$2251</definedName>
    <definedName name="_1_0__123Grap">[8]ICATU!#REF!</definedName>
    <definedName name="_1_123Grap">[9]análise!#REF!</definedName>
    <definedName name="_12__123Graph_BCHART_1">'[10]#REF'!#REF!</definedName>
    <definedName name="_124__123Graph_A_Chart_1A">'[11]Stock Price'!$B$4:$B$265</definedName>
    <definedName name="_125__123Graph_AChart_1">[12]Total!$D$322:$D$325</definedName>
    <definedName name="_126__123Graph_ACHART_19">[13]oldSEG!$M$16:$M$19</definedName>
    <definedName name="_127__123Graph_AChart_2">'[14]sales vol.'!$K$398:$K$401</definedName>
    <definedName name="_128__123Graph_ACHART_20">[13]oldSEG!$M$23:$M$26</definedName>
    <definedName name="_129__123Graph_ACHART_22">[13]Quarters!$F$110:$F$113</definedName>
    <definedName name="_130__123Graph_ACHART_23">[13]Quarters!$G$110:$G$113</definedName>
    <definedName name="_131__123Graph_AChart_3">'[14]sales vol.'!$K$211:$K$214</definedName>
    <definedName name="_132__123Graph_AChart_4">'[14]sales vol.'!$J$1121:$J$1122</definedName>
    <definedName name="_133__123Graph_AChart_5">'[14]sales vol.'!$J$1632:$J$1635</definedName>
    <definedName name="_134__123Graph_AChart_6">'[14]sales vol.'!$J$2248:$J$2251</definedName>
    <definedName name="_135__123Graph_B_Chart_1A">'[11]Stock Price'!$C$4:$C$265</definedName>
    <definedName name="_13œ____123Grap">[9]análise!#REF!</definedName>
    <definedName name="_14__123Graph_BCHART_3">'[10]#REF'!$E$11:$E$24</definedName>
    <definedName name="_140__123Graph_BCHART_12">[13]Quarters!$X$25:$AA$25</definedName>
    <definedName name="_141__123Graph_C_Chart_1A">'[11]Stock Price'!$D$4:$D$265</definedName>
    <definedName name="_142__123Graph_CCHART_10">[13]Quarters!$T$41:$T$41</definedName>
    <definedName name="_143__123Graph_CCHART_11">[13]Quarters!$T$62:$T$62</definedName>
    <definedName name="_144__123Graph_CCHART_12">[13]Quarters!$T$25:$T$25</definedName>
    <definedName name="_145__123Graph_CCHART_13">[13]Quarters!$T$26:$T$26</definedName>
    <definedName name="_146__123Graph_CCHART_14">[13]Quarters!$T$27:$T$27</definedName>
    <definedName name="_147__123Graph_CCHART_15">[13]Quarters!$T$28:$T$28</definedName>
    <definedName name="_148__123Graph_CCHART_16">[13]Quarters!$T$29:$T$29</definedName>
    <definedName name="_149__123Graph_CCHART_17">[13]Quarters!$T$30:$T$30</definedName>
    <definedName name="_14œ_0__123Grap">[9]análise!#REF!</definedName>
    <definedName name="_150__123Graph_CCHART_18">[13]Quarters!$T$31:$T$31</definedName>
    <definedName name="_151__123Graph_CCHART_4">[13]Quarters!$T$24:$T$24</definedName>
    <definedName name="_152__123Graph_CCHART_6">[13]Quarters!$T$39:$T$39</definedName>
    <definedName name="_153__123Graph_CCHART_7">[13]Quarters!$T$60:$T$60</definedName>
    <definedName name="_154__123Graph_CCHART_8">[13]Quarters!$T$40:$T$40</definedName>
    <definedName name="_155__123Graph_CCHART_9">[13]Quarters!$T$61:$T$61</definedName>
    <definedName name="_156__123Graph_D_Chart_1A">'[11]Stock Price'!$E$4:$E$265</definedName>
    <definedName name="_157__123Graph_DCHART_10">[13]Quarters!$L$41:$O$41</definedName>
    <definedName name="_158__123Graph_DCHART_11">[13]Quarters!$L$62:$O$62</definedName>
    <definedName name="_159__123Graph_DCHART_12">[13]Quarters!$L$25:$O$25</definedName>
    <definedName name="_160__123Graph_DCHART_13">[13]Quarters!$L$26:$O$26</definedName>
    <definedName name="_161__123Graph_DCHART_14">[13]Quarters!$L$27:$O$27</definedName>
    <definedName name="_162__123Graph_DCHART_15">[13]Quarters!$L$28:$O$28</definedName>
    <definedName name="_163__123Graph_DCHART_16">[13]Quarters!$L$29:$O$29</definedName>
    <definedName name="_164__123Graph_DCHART_17">[13]Quarters!$L$30:$O$30</definedName>
    <definedName name="_165__123Graph_DCHART_18">[13]Quarters!$L$31:$O$31</definedName>
    <definedName name="_166__123Graph_DCHART_4">[13]Quarters!$L$24:$O$24</definedName>
    <definedName name="_167__123Graph_DCHART_6">[13]Quarters!$L$39:$O$39</definedName>
    <definedName name="_168__123Graph_DCHART_7">[13]Quarters!$L$60:$O$60</definedName>
    <definedName name="_169__123Graph_DCHART_8">[13]Quarters!$L$40:$O$40</definedName>
    <definedName name="_170__123Graph_DCHART_9">[13]Quarters!$L$61:$O$61</definedName>
    <definedName name="_171__123Graph_E_Chart_1A">'[11]Stock Price'!$F$4:$F$265</definedName>
    <definedName name="_172__123Graph_ECHART_10">[13]Quarters!$H$41:$K$41</definedName>
    <definedName name="_173__123Graph_ECHART_11">[13]Quarters!$H$62:$K$62</definedName>
    <definedName name="_174__123Graph_ECHART_12">[13]Quarters!$H$25:$K$25</definedName>
    <definedName name="_175__123Graph_ECHART_13">[13]Quarters!$H$26:$K$26</definedName>
    <definedName name="_176__123Graph_ECHART_14">[13]Quarters!$H$27:$K$27</definedName>
    <definedName name="_177__123Graph_ECHART_15">[13]Quarters!$H$28:$K$28</definedName>
    <definedName name="_178__123Graph_ECHART_16">[13]Quarters!$H$29:$K$29</definedName>
    <definedName name="_179__123Graph_ECHART_17">[13]Quarters!$H$30:$K$30</definedName>
    <definedName name="_180__123Graph_ECHART_18">[13]Quarters!$H$31:$K$31</definedName>
    <definedName name="_181__123Graph_ECHART_4">[13]Quarters!$H$24:$K$24</definedName>
    <definedName name="_182__123Graph_ECHART_6">[13]Quarters!$H$39:$K$39</definedName>
    <definedName name="_183__123Graph_ECHART_7">[13]Quarters!$H$60:$K$60</definedName>
    <definedName name="_184__123Graph_ECHART_8">[13]Quarters!$H$40:$K$40</definedName>
    <definedName name="_185__123Graph_ECHART_9">[13]Quarters!$H$61:$K$61</definedName>
    <definedName name="_186__123Graph_F_Chart_1A">'[11]Stock Price'!$G$4:$G$265</definedName>
    <definedName name="_187__123Graph_FCHART_10">[13]Quarters!$D$41:$G$41</definedName>
    <definedName name="_188__123Graph_FCHART_11">[13]Quarters!$D$62:$G$62</definedName>
    <definedName name="_189__123Graph_FCHART_12">[13]Quarters!$D$25:$G$25</definedName>
    <definedName name="_19__123Graph_DCHART_1">'[10]#REF'!#REF!</definedName>
    <definedName name="_190__123Graph_FCHART_13">[13]Quarters!$D$26:$G$26</definedName>
    <definedName name="_191__123Graph_FCHART_14">[13]Quarters!$D$27:$G$27</definedName>
    <definedName name="_192__123Graph_FCHART_15">[13]Quarters!$D$28:$G$28</definedName>
    <definedName name="_193__123Graph_FCHART_16">[13]Quarters!$D$29:$G$29</definedName>
    <definedName name="_194__123Graph_FCHART_4">[13]Quarters!$D$24:$G$24</definedName>
    <definedName name="_195__123Graph_FCHART_6">[13]Quarters!$D$39:$G$39</definedName>
    <definedName name="_196__123Graph_FCHART_7">[13]Quarters!$D$60:$G$60</definedName>
    <definedName name="_197__123Graph_FCHART_8">[13]Quarters!$D$40:$G$40</definedName>
    <definedName name="_198__123Graph_FCHART_9">[13]Quarters!$D$61:$G$61</definedName>
    <definedName name="_199__123Graph_X_Chart_1A">'[11]Stock Price'!$A$4:$A$265</definedName>
    <definedName name="_1Dist_Val">[15]ACUMULADO!#REF!</definedName>
    <definedName name="_2__123Graph_ACDIUS">[16]TESTE!$E$132:$E$151</definedName>
    <definedName name="_2_0__123Grap">[9]análise!#REF!</definedName>
    <definedName name="_200__123Graph_XChart_1">[12]Total!$C$322:$C$325</definedName>
    <definedName name="_201__123Graph_XChart_2">'[14]sales vol.'!$J$398:$J$401</definedName>
    <definedName name="_202__123Graph_XCHART_20">[13]oldSEG!$AD$11:$AD$14</definedName>
    <definedName name="_203__123Graph_XCHART_23">[13]Quarters!$B$17:$B$20</definedName>
    <definedName name="_204__123Graph_XChart_3">'[14]sales vol.'!$J$211:$J$214</definedName>
    <definedName name="_205__123Graph_XChart_4">'[14]sales vol.'!$I$1121:$I$1122</definedName>
    <definedName name="_206__123Graph_A_Chart_1A">'[7]Stock Price'!$B$4:$B$265</definedName>
    <definedName name="_206__123Graph_XChart_5">'[14]sales vol.'!$I$1632:$I$1635</definedName>
    <definedName name="_207__123Graph_AChart_1">[17]Total!$D$322:$D$325</definedName>
    <definedName name="_207__123Graph_XChart_6">'[14]sales vol.'!$I$2248:$I$2251</definedName>
    <definedName name="_208__123Graph_ACHART_19">[18]oldSEG!$M$16:$M$19</definedName>
    <definedName name="_209__123Graph_AChart_2">'[19]sales vol.'!$K$398:$K$401</definedName>
    <definedName name="_210__123Graph_ACHART_20">[18]oldSEG!$M$23:$M$26</definedName>
    <definedName name="_210_0_S">[20]SEMANAIS!#REF!</definedName>
    <definedName name="_211__123Graph_ACHART_22">[18]Quarters!$F$110:$F$113</definedName>
    <definedName name="_212__123Graph_ACHART_23">[18]Quarters!$G$110:$G$113</definedName>
    <definedName name="_213__123Graph_AChart_3">'[19]sales vol.'!$K$211:$K$214</definedName>
    <definedName name="_214__123Graph_AChart_4">'[19]sales vol.'!$J$1121:$J$1122</definedName>
    <definedName name="_215__123Graph_AChart_5">'[19]sales vol.'!$J$1632:$J$1635</definedName>
    <definedName name="_216__123Graph_AChart_6">'[19]sales vol.'!$J$2248:$J$2251</definedName>
    <definedName name="_217__123Graph_B_Chart_1A">'[7]Stock Price'!$C$4:$C$265</definedName>
    <definedName name="_221__123Graph_BCHART_1">[21]Acomp!$DO$28:$DO$137</definedName>
    <definedName name="_222__123Graph_BCHART_12">[18]Quarters!$X$25:$AA$25</definedName>
    <definedName name="_223__123Graph_C_Chart_1A">'[7]Stock Price'!$D$4:$D$265</definedName>
    <definedName name="_224__123Graph_CCHART_10">[18]Quarters!$T$41:$T$41</definedName>
    <definedName name="_225__123Graph_CCHART_11">[18]Quarters!$T$62:$T$62</definedName>
    <definedName name="_226__123Graph_CCHART_12">[18]Quarters!$T$25:$T$25</definedName>
    <definedName name="_227__123Graph_CCHART_13">[18]Quarters!$T$26:$T$26</definedName>
    <definedName name="_228__123Graph_CCHART_14">[18]Quarters!$T$27:$T$27</definedName>
    <definedName name="_229__123Graph_CCHART_15">[18]Quarters!$T$28:$T$28</definedName>
    <definedName name="_230__123Graph_CCHART_16">[18]Quarters!$T$29:$T$29</definedName>
    <definedName name="_231__123Graph_CCHART_17">[18]Quarters!$T$30:$T$30</definedName>
    <definedName name="_232__123Graph_CCHART_18">[18]Quarters!$T$31:$T$31</definedName>
    <definedName name="_233__123Graph_CCHART_4">[18]Quarters!$T$24:$T$24</definedName>
    <definedName name="_234__123Graph_CCHART_6">[18]Quarters!$T$39:$T$39</definedName>
    <definedName name="_235__123Graph_CCHART_7">[18]Quarters!$T$60:$T$60</definedName>
    <definedName name="_236__123Graph_CCHART_8">[18]Quarters!$T$40:$T$40</definedName>
    <definedName name="_237__123Graph_CCHART_9">[18]Quarters!$T$61:$T$61</definedName>
    <definedName name="_238__123Graph_D_Chart_1A">'[7]Stock Price'!$E$4:$E$265</definedName>
    <definedName name="_239__123Graph_DCHART_10">[18]Quarters!$L$41:$O$41</definedName>
    <definedName name="_24__123Graph_LBL_ACHART_1">'[10]#REF'!#REF!</definedName>
    <definedName name="_240__123Graph_DCHART_11">[18]Quarters!$L$62:$O$62</definedName>
    <definedName name="_241__123Graph_DCHART_12">[18]Quarters!$L$25:$O$25</definedName>
    <definedName name="_242__123Graph_DCHART_13">[18]Quarters!$L$26:$O$26</definedName>
    <definedName name="_243__123Graph_DCHART_14">[18]Quarters!$L$27:$O$27</definedName>
    <definedName name="_244__123Graph_DCHART_15">[18]Quarters!$L$28:$O$28</definedName>
    <definedName name="_245__123Graph_DCHART_16">[18]Quarters!$L$29:$O$29</definedName>
    <definedName name="_246__123Graph_DCHART_17">[18]Quarters!$L$30:$O$30</definedName>
    <definedName name="_247__123Graph_DCHART_18">[18]Quarters!$L$31:$O$31</definedName>
    <definedName name="_248__123Graph_DCHART_4">[18]Quarters!$L$24:$O$24</definedName>
    <definedName name="_249__123Graph_DCHART_6">[18]Quarters!$L$39:$O$39</definedName>
    <definedName name="_250__123Graph_DCHART_7">[18]Quarters!$L$60:$O$60</definedName>
    <definedName name="_251__123Graph_DCHART_8">[18]Quarters!$L$40:$O$40</definedName>
    <definedName name="_252__123Graph_DCHART_9">[18]Quarters!$L$61:$O$61</definedName>
    <definedName name="_253__123Graph_E_Chart_1A">'[7]Stock Price'!$F$4:$F$265</definedName>
    <definedName name="_254__123Graph_ECHART_10">[18]Quarters!$H$41:$K$41</definedName>
    <definedName name="_255__123Graph_ECHART_11">[18]Quarters!$H$62:$K$62</definedName>
    <definedName name="_256__123Graph_ECHART_12">[18]Quarters!$H$25:$K$25</definedName>
    <definedName name="_257__123Graph_ECHART_13">[18]Quarters!$H$26:$K$26</definedName>
    <definedName name="_258__123Graph_ECHART_14">[18]Quarters!$H$27:$K$27</definedName>
    <definedName name="_259__123Graph_ECHART_15">[18]Quarters!$H$28:$K$28</definedName>
    <definedName name="_26__123Graph_LBL_ACHART_3">'[10]#REF'!$A$11:$A$24</definedName>
    <definedName name="_260__123Graph_ECHART_16">[18]Quarters!$H$29:$K$29</definedName>
    <definedName name="_261__123Graph_ECHART_17">[18]Quarters!$H$30:$K$30</definedName>
    <definedName name="_262__123Graph_ECHART_18">[18]Quarters!$H$31:$K$31</definedName>
    <definedName name="_263__123Graph_ECHART_4">[18]Quarters!$H$24:$K$24</definedName>
    <definedName name="_264__123Graph_ECHART_6">[18]Quarters!$H$39:$K$39</definedName>
    <definedName name="_265__123Graph_ECHART_7">[18]Quarters!$H$60:$K$60</definedName>
    <definedName name="_266__123Graph_ECHART_8">[18]Quarters!$H$40:$K$40</definedName>
    <definedName name="_267__123Graph_ECHART_9">[18]Quarters!$H$61:$K$61</definedName>
    <definedName name="_268__123Graph_F_Chart_1A">'[7]Stock Price'!$G$4:$G$265</definedName>
    <definedName name="_269__123Graph_FCHART_10">[18]Quarters!$D$41:$G$41</definedName>
    <definedName name="_270__123Graph_FCHART_11">[18]Quarters!$D$62:$G$62</definedName>
    <definedName name="_271__123Graph_FCHART_12">[18]Quarters!$D$25:$G$25</definedName>
    <definedName name="_272__123Graph_FCHART_13">[18]Quarters!$D$26:$G$26</definedName>
    <definedName name="_273__123Graph_FCHART_14">[18]Quarters!$D$27:$G$27</definedName>
    <definedName name="_274__123Graph_FCHART_15">[18]Quarters!$D$28:$G$28</definedName>
    <definedName name="_275__123Graph_FCHART_16">[18]Quarters!$D$29:$G$29</definedName>
    <definedName name="_276__123Graph_FCHART_4">[18]Quarters!$D$24:$G$24</definedName>
    <definedName name="_277__123Graph_FCHART_6">[18]Quarters!$D$39:$G$39</definedName>
    <definedName name="_278__123Graph_FCHART_7">[18]Quarters!$D$60:$G$60</definedName>
    <definedName name="_279__123Graph_FCHART_8">[18]Quarters!$D$40:$G$40</definedName>
    <definedName name="_280__123Graph_FCHART_9">[18]Quarters!$D$61:$G$61</definedName>
    <definedName name="_281__123Graph_X_Chart_1A">'[7]Stock Price'!$A$4:$A$265</definedName>
    <definedName name="_282__123Graph_XChart_1">[17]Total!$C$322:$C$325</definedName>
    <definedName name="_283__123Graph_XChart_2">'[19]sales vol.'!$J$398:$J$401</definedName>
    <definedName name="_284__123Graph_XCHART_20">[18]oldSEG!$AD$11:$AD$14</definedName>
    <definedName name="_285__123Graph_XCHART_23">[18]Quarters!$B$17:$B$20</definedName>
    <definedName name="_286__123Graph_XChart_3">'[19]sales vol.'!$J$211:$J$214</definedName>
    <definedName name="_287__123Graph_XChart_4">'[19]sales vol.'!$I$1121:$I$1122</definedName>
    <definedName name="_288__123Graph_XChart_5">'[19]sales vol.'!$I$1632:$I$1635</definedName>
    <definedName name="_289__123Graph_XChart_6">'[19]sales vol.'!$I$2248:$I$2251</definedName>
    <definedName name="_2F">[15]ACUMULADO!#REF!</definedName>
    <definedName name="_3__123Graph_BCDIUS">[16]TESTE!$H$132:$H$151</definedName>
    <definedName name="_3_123Grap">[9]análise!#REF!</definedName>
    <definedName name="_31__123Graph_LBL_DCHART_1">'[10]#REF'!#REF!</definedName>
    <definedName name="_4__123Graph_XCDIUS">[16]TESTE!$C$132:$C$151</definedName>
    <definedName name="_4_0__123Grap">[9]análise!#REF!</definedName>
    <definedName name="_426__123Graph_A_Chart_1A">'[7]Stock Price'!$B$4:$B$265</definedName>
    <definedName name="_427__123Graph_AChart_1">[22]Total!$D$322:$D$325</definedName>
    <definedName name="_428__123Graph_ACHART_19">[18]oldSEG!$M$16:$M$19</definedName>
    <definedName name="_429__123Graph_AChart_2">'[23]sales vol.'!$K$398:$K$401</definedName>
    <definedName name="_430__123Graph_ACHART_20">[18]oldSEG!$M$23:$M$26</definedName>
    <definedName name="_431__123Graph_ACHART_22">[18]Quarters!$F$110:$F$113</definedName>
    <definedName name="_432__123Graph_ACHART_23">[18]Quarters!$G$110:$G$113</definedName>
    <definedName name="_433__123Graph_AChart_3">'[23]sales vol.'!$K$211:$K$214</definedName>
    <definedName name="_434__123Graph_AChart_4">'[23]sales vol.'!$J$1121:$J$1122</definedName>
    <definedName name="_435__123Graph_AChart_5">'[23]sales vol.'!$J$1632:$J$1635</definedName>
    <definedName name="_436__123Graph_AChart_6">'[23]sales vol.'!$J$2248:$J$2251</definedName>
    <definedName name="_437__123Graph_B_Chart_1A">'[7]Stock Price'!$C$4:$C$265</definedName>
    <definedName name="_448__123Graph_A_Chart_1A">'[7]Stock Price'!$B$4:$B$265</definedName>
    <definedName name="_448__123Graph_BCHART_1">[21]Acomp!$DO$28:$DO$137</definedName>
    <definedName name="_449__123Graph_AChart_1">[22]Total!$D$322:$D$325</definedName>
    <definedName name="_449__123Graph_BCHART_12">[18]Quarters!$X$25:$AA$25</definedName>
    <definedName name="_450__123Graph_ACHART_19">[18]oldSEG!$M$16:$M$19</definedName>
    <definedName name="_450__123Graph_C_Chart_1A">'[7]Stock Price'!$D$4:$D$265</definedName>
    <definedName name="_451__123Graph_AChart_2">'[23]sales vol.'!$K$398:$K$401</definedName>
    <definedName name="_451__123Graph_CCHART_10">[18]Quarters!$T$41:$T$41</definedName>
    <definedName name="_452__123Graph_ACHART_20">[18]oldSEG!$M$23:$M$26</definedName>
    <definedName name="_452__123Graph_CCHART_11">[18]Quarters!$T$62:$T$62</definedName>
    <definedName name="_453__123Graph_ACHART_22">[18]Quarters!$F$110:$F$113</definedName>
    <definedName name="_453__123Graph_CCHART_12">[18]Quarters!$T$25:$T$25</definedName>
    <definedName name="_454__123Graph_ACHART_23">[18]Quarters!$G$110:$G$113</definedName>
    <definedName name="_454__123Graph_CCHART_13">[18]Quarters!$T$26:$T$26</definedName>
    <definedName name="_455__123Graph_AChart_3">'[23]sales vol.'!$K$211:$K$214</definedName>
    <definedName name="_455__123Graph_CCHART_14">[18]Quarters!$T$27:$T$27</definedName>
    <definedName name="_456__123Graph_AChart_4">'[23]sales vol.'!$J$1121:$J$1122</definedName>
    <definedName name="_456__123Graph_CCHART_15">[18]Quarters!$T$28:$T$28</definedName>
    <definedName name="_457__123Graph_AChart_5">'[23]sales vol.'!$J$1632:$J$1635</definedName>
    <definedName name="_457__123Graph_CCHART_16">[18]Quarters!$T$29:$T$29</definedName>
    <definedName name="_458__123Graph_AChart_6">'[23]sales vol.'!$J$2248:$J$2251</definedName>
    <definedName name="_458__123Graph_CCHART_17">[18]Quarters!$T$30:$T$30</definedName>
    <definedName name="_459__123Graph_B_Chart_1A">'[7]Stock Price'!$C$4:$C$265</definedName>
    <definedName name="_459__123Graph_CCHART_18">[18]Quarters!$T$31:$T$31</definedName>
    <definedName name="_460__123Graph_CCHART_4">[18]Quarters!$T$24:$T$24</definedName>
    <definedName name="_461__123Graph_CCHART_6">[18]Quarters!$T$39:$T$39</definedName>
    <definedName name="_462__123Graph_CCHART_7">[18]Quarters!$T$60:$T$60</definedName>
    <definedName name="_463__123Graph_CCHART_8">[18]Quarters!$T$40:$T$40</definedName>
    <definedName name="_464__123Graph_BCHART_1">[21]Acomp!$DO$28:$DO$137</definedName>
    <definedName name="_464__123Graph_CCHART_9">[18]Quarters!$T$61:$T$61</definedName>
    <definedName name="_465__123Graph_BCHART_12">[18]Quarters!$X$25:$AA$25</definedName>
    <definedName name="_465__123Graph_D_Chart_1A">'[7]Stock Price'!$E$4:$E$265</definedName>
    <definedName name="_466__123Graph_C_Chart_1A">'[7]Stock Price'!$D$4:$D$265</definedName>
    <definedName name="_466__123Graph_DCHART_10">[18]Quarters!$L$41:$O$41</definedName>
    <definedName name="_467__123Graph_CCHART_10">[18]Quarters!$T$41:$T$41</definedName>
    <definedName name="_467__123Graph_DCHART_11">[18]Quarters!$L$62:$O$62</definedName>
    <definedName name="_468__123Graph_CCHART_11">[18]Quarters!$T$62:$T$62</definedName>
    <definedName name="_468__123Graph_DCHART_12">[18]Quarters!$L$25:$O$25</definedName>
    <definedName name="_469__123Graph_CCHART_12">[18]Quarters!$T$25:$T$25</definedName>
    <definedName name="_469__123Graph_DCHART_13">[18]Quarters!$L$26:$O$26</definedName>
    <definedName name="_470__123Graph_CCHART_13">[18]Quarters!$T$26:$T$26</definedName>
    <definedName name="_470__123Graph_DCHART_14">[18]Quarters!$L$27:$O$27</definedName>
    <definedName name="_471__123Graph_CCHART_14">[18]Quarters!$T$27:$T$27</definedName>
    <definedName name="_471__123Graph_DCHART_15">[18]Quarters!$L$28:$O$28</definedName>
    <definedName name="_472__123Graph_CCHART_15">[18]Quarters!$T$28:$T$28</definedName>
    <definedName name="_472__123Graph_DCHART_16">[18]Quarters!$L$29:$O$29</definedName>
    <definedName name="_473__123Graph_CCHART_16">[18]Quarters!$T$29:$T$29</definedName>
    <definedName name="_473__123Graph_DCHART_17">[18]Quarters!$L$30:$O$30</definedName>
    <definedName name="_474__123Graph_CCHART_17">[18]Quarters!$T$30:$T$30</definedName>
    <definedName name="_474__123Graph_DCHART_18">[18]Quarters!$L$31:$O$31</definedName>
    <definedName name="_475__123Graph_CCHART_18">[18]Quarters!$T$31:$T$31</definedName>
    <definedName name="_475__123Graph_DCHART_4">[18]Quarters!$L$24:$O$24</definedName>
    <definedName name="_476__123Graph_CCHART_4">[18]Quarters!$T$24:$T$24</definedName>
    <definedName name="_476__123Graph_DCHART_6">[18]Quarters!$L$39:$O$39</definedName>
    <definedName name="_477__123Graph_CCHART_6">[18]Quarters!$T$39:$T$39</definedName>
    <definedName name="_477__123Graph_DCHART_7">[18]Quarters!$L$60:$O$60</definedName>
    <definedName name="_478__123Graph_CCHART_7">[18]Quarters!$T$60:$T$60</definedName>
    <definedName name="_478__123Graph_DCHART_8">[18]Quarters!$L$40:$O$40</definedName>
    <definedName name="_479__123Graph_CCHART_8">[18]Quarters!$T$40:$T$40</definedName>
    <definedName name="_479__123Graph_DCHART_9">[18]Quarters!$L$61:$O$61</definedName>
    <definedName name="_480__123Graph_CCHART_9">[18]Quarters!$T$61:$T$61</definedName>
    <definedName name="_480__123Graph_E_Chart_1A">'[7]Stock Price'!$F$4:$F$265</definedName>
    <definedName name="_481__123Graph_D_Chart_1A">'[7]Stock Price'!$E$4:$E$265</definedName>
    <definedName name="_481__123Graph_ECHART_10">[18]Quarters!$H$41:$K$41</definedName>
    <definedName name="_482__123Graph_DCHART_10">[18]Quarters!$L$41:$O$41</definedName>
    <definedName name="_482__123Graph_ECHART_11">[18]Quarters!$H$62:$K$62</definedName>
    <definedName name="_483__123Graph_DCHART_11">[18]Quarters!$L$62:$O$62</definedName>
    <definedName name="_483__123Graph_ECHART_12">[18]Quarters!$H$25:$K$25</definedName>
    <definedName name="_484__123Graph_DCHART_12">[18]Quarters!$L$25:$O$25</definedName>
    <definedName name="_484__123Graph_ECHART_13">[18]Quarters!$H$26:$K$26</definedName>
    <definedName name="_485__123Graph_DCHART_13">[18]Quarters!$L$26:$O$26</definedName>
    <definedName name="_485__123Graph_ECHART_14">[18]Quarters!$H$27:$K$27</definedName>
    <definedName name="_486__123Graph_DCHART_14">[18]Quarters!$L$27:$O$27</definedName>
    <definedName name="_486__123Graph_ECHART_15">[18]Quarters!$H$28:$K$28</definedName>
    <definedName name="_487__123Graph_DCHART_15">[18]Quarters!$L$28:$O$28</definedName>
    <definedName name="_487__123Graph_ECHART_16">[18]Quarters!$H$29:$K$29</definedName>
    <definedName name="_488__123Graph_DCHART_16">[18]Quarters!$L$29:$O$29</definedName>
    <definedName name="_488__123Graph_ECHART_17">[18]Quarters!$H$30:$K$30</definedName>
    <definedName name="_489__123Graph_DCHART_17">[18]Quarters!$L$30:$O$30</definedName>
    <definedName name="_489__123Graph_ECHART_18">[18]Quarters!$H$31:$K$31</definedName>
    <definedName name="_490__123Graph_DCHART_18">[18]Quarters!$L$31:$O$31</definedName>
    <definedName name="_490__123Graph_ECHART_4">[18]Quarters!$H$24:$K$24</definedName>
    <definedName name="_491__123Graph_DCHART_4">[18]Quarters!$L$24:$O$24</definedName>
    <definedName name="_491__123Graph_ECHART_6">[18]Quarters!$H$39:$K$39</definedName>
    <definedName name="_492__123Graph_DCHART_6">[18]Quarters!$L$39:$O$39</definedName>
    <definedName name="_492__123Graph_ECHART_7">[18]Quarters!$H$60:$K$60</definedName>
    <definedName name="_493__123Graph_DCHART_7">[18]Quarters!$L$60:$O$60</definedName>
    <definedName name="_493__123Graph_ECHART_8">[18]Quarters!$H$40:$K$40</definedName>
    <definedName name="_494__123Graph_DCHART_8">[18]Quarters!$L$40:$O$40</definedName>
    <definedName name="_494__123Graph_ECHART_9">[18]Quarters!$H$61:$K$61</definedName>
    <definedName name="_495__123Graph_DCHART_9">[18]Quarters!$L$61:$O$61</definedName>
    <definedName name="_495__123Graph_F_Chart_1A">'[7]Stock Price'!$G$4:$G$265</definedName>
    <definedName name="_496__123Graph_E_Chart_1A">'[7]Stock Price'!$F$4:$F$265</definedName>
    <definedName name="_496__123Graph_FCHART_10">[18]Quarters!$D$41:$G$41</definedName>
    <definedName name="_497__123Graph_ECHART_10">[18]Quarters!$H$41:$K$41</definedName>
    <definedName name="_497__123Graph_FCHART_11">[18]Quarters!$D$62:$G$62</definedName>
    <definedName name="_498__123Graph_ECHART_11">[18]Quarters!$H$62:$K$62</definedName>
    <definedName name="_498__123Graph_FCHART_12">[18]Quarters!$D$25:$G$25</definedName>
    <definedName name="_499__123Graph_ECHART_12">[18]Quarters!$H$25:$K$25</definedName>
    <definedName name="_499__123Graph_FCHART_13">[18]Quarters!$D$26:$G$26</definedName>
    <definedName name="_5__123Graph_ACDIUS">[2]TESTE!$E$132:$E$151</definedName>
    <definedName name="_5__123Graph_ACHART_1">'[10]#REF'!#REF!</definedName>
    <definedName name="_500__123Graph_ECHART_13">[18]Quarters!$H$26:$K$26</definedName>
    <definedName name="_500__123Graph_FCHART_14">[18]Quarters!$D$27:$G$27</definedName>
    <definedName name="_501__123Graph_ECHART_14">[18]Quarters!$H$27:$K$27</definedName>
    <definedName name="_501__123Graph_FCHART_15">[18]Quarters!$D$28:$G$28</definedName>
    <definedName name="_502__123Graph_ECHART_15">[18]Quarters!$H$28:$K$28</definedName>
    <definedName name="_502__123Graph_FCHART_16">[18]Quarters!$D$29:$G$29</definedName>
    <definedName name="_503__123Graph_ECHART_16">[18]Quarters!$H$29:$K$29</definedName>
    <definedName name="_503__123Graph_FCHART_4">[18]Quarters!$D$24:$G$24</definedName>
    <definedName name="_504__123Graph_ECHART_17">[18]Quarters!$H$30:$K$30</definedName>
    <definedName name="_504__123Graph_FCHART_6">[18]Quarters!$D$39:$G$39</definedName>
    <definedName name="_505__123Graph_ECHART_18">[18]Quarters!$H$31:$K$31</definedName>
    <definedName name="_505__123Graph_FCHART_7">[18]Quarters!$D$60:$G$60</definedName>
    <definedName name="_506__123Graph_ECHART_4">[18]Quarters!$H$24:$K$24</definedName>
    <definedName name="_506__123Graph_FCHART_8">[18]Quarters!$D$40:$G$40</definedName>
    <definedName name="_507__123Graph_ECHART_6">[18]Quarters!$H$39:$K$39</definedName>
    <definedName name="_507__123Graph_FCHART_9">[18]Quarters!$D$61:$G$61</definedName>
    <definedName name="_508__123Graph_ECHART_7">[18]Quarters!$H$60:$K$60</definedName>
    <definedName name="_508__123Graph_X_Chart_1A">'[7]Stock Price'!$A$4:$A$265</definedName>
    <definedName name="_509__123Graph_ECHART_8">[18]Quarters!$H$40:$K$40</definedName>
    <definedName name="_509__123Graph_XChart_1">[22]Total!$C$322:$C$325</definedName>
    <definedName name="_510__123Graph_ECHART_9">[18]Quarters!$H$61:$K$61</definedName>
    <definedName name="_510__123Graph_XChart_2">'[23]sales vol.'!$J$398:$J$401</definedName>
    <definedName name="_511__123Graph_F_Chart_1A">'[7]Stock Price'!$G$4:$G$265</definedName>
    <definedName name="_511__123Graph_XCHART_20">[18]oldSEG!$AD$11:$AD$14</definedName>
    <definedName name="_512__123Graph_FCHART_10">[18]Quarters!$D$41:$G$41</definedName>
    <definedName name="_512__123Graph_XCHART_23">[18]Quarters!$B$17:$B$20</definedName>
    <definedName name="_513__123Graph_FCHART_11">[18]Quarters!$D$62:$G$62</definedName>
    <definedName name="_513__123Graph_XChart_3">'[23]sales vol.'!$J$211:$J$214</definedName>
    <definedName name="_514__123Graph_FCHART_12">[18]Quarters!$D$25:$G$25</definedName>
    <definedName name="_514__123Graph_XChart_4">'[23]sales vol.'!$I$1121:$I$1122</definedName>
    <definedName name="_515__123Graph_FCHART_13">[18]Quarters!$D$26:$G$26</definedName>
    <definedName name="_515__123Graph_XChart_5">'[23]sales vol.'!$I$1632:$I$1635</definedName>
    <definedName name="_516__123Graph_FCHART_14">[18]Quarters!$D$27:$G$27</definedName>
    <definedName name="_516__123Graph_XChart_6">'[23]sales vol.'!$I$2248:$I$2251</definedName>
    <definedName name="_517__123Graph_FCHART_15">[18]Quarters!$D$28:$G$28</definedName>
    <definedName name="_518__123Graph_FCHART_16">[18]Quarters!$D$29:$G$29</definedName>
    <definedName name="_519__123Graph_FCHART_4">[18]Quarters!$D$24:$G$24</definedName>
    <definedName name="_520__123Graph_FCHART_6">[18]Quarters!$D$39:$G$39</definedName>
    <definedName name="_521__123Graph_FCHART_7">[18]Quarters!$D$60:$G$60</definedName>
    <definedName name="_522__123Graph_FCHART_8">[18]Quarters!$D$40:$G$40</definedName>
    <definedName name="_523__123Graph_FCHART_9">[18]Quarters!$D$61:$G$61</definedName>
    <definedName name="_524__123Graph_X_Chart_1A">'[7]Stock Price'!$A$4:$A$265</definedName>
    <definedName name="_525__123Graph_XChart_1">[22]Total!$C$322:$C$325</definedName>
    <definedName name="_526__123Graph_XChart_2">'[23]sales vol.'!$J$398:$J$401</definedName>
    <definedName name="_527__123Graph_XCHART_20">[18]oldSEG!$AD$11:$AD$14</definedName>
    <definedName name="_528__123Graph_XCHART_23">[18]Quarters!$B$17:$B$20</definedName>
    <definedName name="_529__123Graph_XChart_3">'[23]sales vol.'!$J$211:$J$214</definedName>
    <definedName name="_530__123Graph_XChart_4">'[23]sales vol.'!$I$1121:$I$1122</definedName>
    <definedName name="_531__123Graph_XChart_5">'[23]sales vol.'!$I$1632:$I$1635</definedName>
    <definedName name="_532__123Graph_XChart_6">'[23]sales vol.'!$I$2248:$I$2251</definedName>
    <definedName name="_5œ____123Grap">[9]análise!#REF!</definedName>
    <definedName name="_6__123Graph_BCDIUS">[2]TESTE!$H$132:$H$151</definedName>
    <definedName name="_6œ_0__123Grap">[9]análise!#REF!</definedName>
    <definedName name="_7__123Graph_ACHART_3">'[10]#REF'!$D$11:$D$24</definedName>
    <definedName name="_7__123Graph_XCDIUS">[2]TESTE!$C$132:$C$151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6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1</definedName>
    <definedName name="_AtRisk_SimSetting_ReportOptionCustomItemSummaryGraphType02">1</definedName>
    <definedName name="_AtRisk_SimSetting_ReportOptionCustomItemSummaryGraphType03">1</definedName>
    <definedName name="_AtRisk_SimSetting_ReportOptionCustomItemSummaryGraphType04">1</definedName>
    <definedName name="_AtRisk_SimSetting_ReportOptionCustomItemSummaryGraphType05">1</definedName>
    <definedName name="_AtRisk_SimSetting_ReportOptionCustomItemSummaryGraphType06">1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SelectiveQR">FALSE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dc1">{#N/A,#N/A,FALSE,"Aging Summary";#N/A,#N/A,FALSE,"Ratio Analysis";#N/A,#N/A,FALSE,"Test 120 Day Accts";#N/A,#N/A,FALSE,"Tickmarks"}</definedName>
    <definedName name="_Dist_Bin">[15]ACUMULADO!#REF!</definedName>
    <definedName name="_Dist_Values">[24]Plan1!#REF!</definedName>
    <definedName name="_fl1111">{"Fecha_Novembro",#N/A,FALSE,"FECHAMENTO-2002 ";"Defer_Novembro",#N/A,FALSE,"DIFERIDO";"Pis_Novembro",#N/A,FALSE,"PIS COFINS";"Iss_Novembro",#N/A,FALSE,"ISS"}</definedName>
    <definedName name="_g4">{"VERGALHÃO",#N/A,FALSE,"DIÁRIA";"CATODO",#N/A,FALSE,"DIÁRIA"}</definedName>
    <definedName name="_Order1">0</definedName>
    <definedName name="_Order2">0</definedName>
    <definedName name="_Parse_Out">[24]Plan1!#REF!</definedName>
    <definedName name="_q234">'[26]sales vol.'!$J$211:$J$214</definedName>
    <definedName name="_Regression_Int">1</definedName>
    <definedName name="_s1">'[14]sales vol.'!$J$34:$J$37</definedName>
    <definedName name="_s2">'[14]sales vol.'!$J$398:$J$401</definedName>
    <definedName name="_s3">'[14]sales vol.'!$J$211:$J$214</definedName>
    <definedName name="_s4">'[14]sales vol.'!$I$1121:$I$1122</definedName>
    <definedName name="_s5">'[14]sales vol.'!$I$1632:$I$1635</definedName>
    <definedName name="_s6">'[14]sales vol.'!$I$2248:$I$2251</definedName>
    <definedName name="_Table2_In1">'[10]#REF'!$D$12</definedName>
    <definedName name="_Table2_Out">'[10]#REF'!$C$30:$H$35</definedName>
    <definedName name="aa">{"IND","COMPANIES",TRUE}</definedName>
    <definedName name="AAA_DOCTOPS">"AAA_SET"</definedName>
    <definedName name="aaaaaaaaaaa">'[27]ACUMULADO ANO 2001'!$B$6:$B$13</definedName>
    <definedName name="aaaaaaaaaaaaaaaaaaaaa">{"RRHH",#N/A,FALSE,"Por Dirección";"Operaciones",#N/A,FALSE,"Por Dirección";"Logística",#N/A,FALSE,"Por Dirección";"Comercial",#N/A,FALSE,"Por Dirección";"Administracion",#N/A,FALSE,"Por Dirección"}</definedName>
    <definedName name="aaaaapppppppppppssssssssssss">{"RRHH",#N/A,FALSE,"Por Dirección";"Operaciones",#N/A,FALSE,"Por Dirección";"Logística",#N/A,FALSE,"Por Dirección";"Comercial",#N/A,FALSE,"Por Dirección";"Administracion",#N/A,FALSE,"Por Dirección"}</definedName>
    <definedName name="abc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ril">{"RRHH",#N/A,FALSE,"Por Dirección";"Operaciones",#N/A,FALSE,"Por Dirección";"Logística",#N/A,FALSE,"Por Dirección";"Comercial",#N/A,FALSE,"Por Dirección";"Administracion",#N/A,FALSE,"Por Dirección"}</definedName>
    <definedName name="abril1">{"RRHH",#N/A,FALSE,"Por Dirección";"Operaciones",#N/A,FALSE,"Por Dirección";"Logística",#N/A,FALSE,"Por Dirección";"Comercial",#N/A,FALSE,"Por Dirección";"Administracion",#N/A,FALSE,"Por Dirección"}</definedName>
    <definedName name="Abril2">{"RRHH",#N/A,FALSE,"Por Dirección";"Operaciones",#N/A,FALSE,"Por Dirección";"Logística",#N/A,FALSE,"Por Dirección";"Comercial",#N/A,FALSE,"Por Dirección";"Administracion",#N/A,FALSE,"Por Dirección"}</definedName>
    <definedName name="adeletar">{"TotalGeralDespesasPorArea",#N/A,FALSE,"VinculosAccessEfetivo"}</definedName>
    <definedName name="adeletar1">{"TotalGeralDespesasPorArea",#N/A,FALSE,"VinculosAccessEfetivo"}</definedName>
    <definedName name="adeletar10">{"TotalGeralDespesasPorArea",#N/A,FALSE,"VinculosAccessEfetivo"}</definedName>
    <definedName name="adeletar2">{"TotalGeralDespesasPorArea",#N/A,FALSE,"VinculosAccessEfetivo"}</definedName>
    <definedName name="adeletar20">{"TotalGeralDespesasPorArea",#N/A,FALSE,"VinculosAccessEfetivo"}</definedName>
    <definedName name="adeletar4">{"TotalGeralDespesasPorArea",#N/A,FALSE,"VinculosAccessEfetivo"}</definedName>
    <definedName name="adeletar50">{"TotalGeralDespesasPorArea",#N/A,FALSE,"VinculosAccessEfetivo"}</definedName>
    <definedName name="adeletar51">{"TotalGeralDespesasPorArea",#N/A,FALSE,"VinculosAccessEfetivo"}</definedName>
    <definedName name="adfadfa">{"RRHH",#N/A,FALSE,"Por Dirección";"Operaciones",#N/A,FALSE,"Por Dirección";"Logística",#N/A,FALSE,"Por Dirección";"Comercial",#N/A,FALSE,"Por Dirección";"Administracion",#N/A,FALSE,"Por Dirección"}</definedName>
    <definedName name="adr">{#N/A,#N/A,FALSE,"PROGRAMAÇÃO SEMANAL";#N/A,#N/A,FALSE,"PROG. DIÁRIA -FEV"}</definedName>
    <definedName name="ahsuahus">{#N/A,#N/A,FALSE,"Relatórios";"Vendas e Custos",#N/A,FALSE,"Vendas e Custos";"Premissas",#N/A,FALSE,"Premissas";"Projeções",#N/A,FALSE,"Projeções";"Dolar",#N/A,FALSE,"Dolar";"Original",#N/A,FALSE,"Original e UFIR"}</definedName>
    <definedName name="AJUSTE">{"Fecha_Dezembro",#N/A,FALSE,"FECHAMENTO-2002 ";"Defer_Dezermbro",#N/A,FALSE,"DIFERIDO";"Pis_Dezembro",#N/A,FALSE,"PIS COFINS";"Iss_Dezembro",#N/A,FALSE,"ISS"}</definedName>
    <definedName name="anscount">1</definedName>
    <definedName name="antecipações">{"Fecha_Outubro",#N/A,FALSE,"FECHAMENTO-2002 ";"Defer_Outubro",#N/A,FALSE,"DIFERIDO";"Pis_Outubro",#N/A,FALSE,"PIS COFINS";"Iss_Outubro",#N/A,FALSE,"ISS"}</definedName>
    <definedName name="ap">{"Fecha_Novembro",#N/A,FALSE,"FECHAMENTO-2002 ";"Defer_Novembro",#N/A,FALSE,"DIFERIDO";"Pis_Novembro",#N/A,FALSE,"PIS COFINS";"Iss_Novembro",#N/A,FALSE,"ISS"}</definedName>
    <definedName name="arg">{#N/A,#N/A,FALSE,"base"}</definedName>
    <definedName name="AS2DocOpenMode">"AS2DocumentEdit"</definedName>
    <definedName name="AS2HasNoAutoHeaderFooter">" "</definedName>
    <definedName name="AS2NamedRange">5</definedName>
    <definedName name="AS2ReportLS">1</definedName>
    <definedName name="AS2SyncStepLS">0</definedName>
    <definedName name="AS2VersionLS">300</definedName>
    <definedName name="asda">{#N/A,#N/A,FALSE,"Aging Summary";#N/A,#N/A,FALSE,"Ratio Analysis";#N/A,#N/A,FALSE,"Test 120 Day Accts";#N/A,#N/A,FALSE,"Tickmarks"}</definedName>
    <definedName name="asj">{"VERGALHÃO",#N/A,FALSE,"DIÁRIA";"CATODO",#N/A,FALSE,"DIÁRIA"}</definedName>
    <definedName name="balaço">{"RRHH",#N/A,FALSE,"Por Dirección";"Operaciones",#N/A,FALSE,"Por Dirección";"Logística",#N/A,FALSE,"Por Dirección";"Comercial",#N/A,FALSE,"Por Dirección";"Administracion",#N/A,FALSE,"Por Dirección"}</definedName>
    <definedName name="BalType">TRUE</definedName>
    <definedName name="besdfs">'[28]DRE Analyzer'!#REF!</definedName>
    <definedName name="BEx008P2NVFDLBHL7IZ5WTMVOQ1F">'[28]DRE Analyzer'!#REF!</definedName>
    <definedName name="BEx00KZHZBHP3TDV1YMX4B19B95O">'[28]DRE Analyzer'!#REF!</definedName>
    <definedName name="BEx02Q08R9G839Q4RFGG9026C7PX">'[28]DRE Analyzer'!#REF!</definedName>
    <definedName name="BEx1J7E8VCGLPYU82QXVUG5N3ZAI">'[28]DRE Analyzer'!#REF!</definedName>
    <definedName name="BEx1LRUSJW4JG54X07QWD9R27WV9">'[28]DRE Analyzer'!#REF!</definedName>
    <definedName name="BEx1MTRKKVCHOZ0YGID6HZ49LJTO">'[28]DRE Analyzer'!#REF!</definedName>
    <definedName name="BEx1SVNCHNANBJIDIQVB8AFK4HAN">'[28]DRE Analyzer'!#REF!</definedName>
    <definedName name="BEx1TJ0WLS9O7KNSGIPWTYHDYI1D">'[28]DRE Analyzer'!#REF!</definedName>
    <definedName name="BEx1WHPURIV3D3PTJJ359H1OP7ZV">'[28]DRE Analyzer'!#REF!</definedName>
    <definedName name="BEx1YL3DJ7Y4AZ01ERCOGW0FJ26T">'[28]DRE Analyzer'!#REF!</definedName>
    <definedName name="BEx3AOOVM42G82TNF53W0EKXLUSI">'[28]DRE Analyzer'!#REF!</definedName>
    <definedName name="BEx3BQR5VZXNQ4H949ORM8ESU3B3">'[28]DRE Analyzer'!#REF!</definedName>
    <definedName name="BEx3EHCSERZ2O2OAG8Y95UPG2IY9">'[28]DRE Analyzer'!#REF!</definedName>
    <definedName name="BEx3FX7EJL47JSLSWP3EOC265WAE">'[28]DRE Analyzer'!#REF!</definedName>
    <definedName name="BEx3GEVV18SEQDI1JGY7EN6D1GT1">'[28]DRE Analyzer'!#REF!</definedName>
    <definedName name="BEx3GMJ1Y6UU02DLRL0QXCEKDA6C">'[28]DRE Analyzer'!#REF!</definedName>
    <definedName name="BEx3H5UX2GZFZZT657YR76RHW5I6">'[28]DRE Analyzer'!#REF!</definedName>
    <definedName name="BEx3IYAH2DEBFWO8F94H4MXE3RLY">'[28]DRE Analyzer'!#REF!</definedName>
    <definedName name="BEx3IZXXSYEW50379N2EAFWO8DZV">'[28]DRE Analyzer'!#REF!</definedName>
    <definedName name="BEx3K4EII7GU1CG0BN7UL15M6J8Z">'[28]DRE Analyzer'!#REF!</definedName>
    <definedName name="BEx3KIXQYOGMPK4WJJAVBRX4NR28">'[28]DRE Analyzer'!#REF!</definedName>
    <definedName name="BEx3L4YQ0J7ZU0M5QM6YIPCEYC9K">'[28]DRE Analyzer'!#REF!</definedName>
    <definedName name="BEx3O85IKWARA6NCJOLRBRJFMEWW">'[28]DRE Analyzer'!#REF!</definedName>
    <definedName name="BEx3RHC2ZD5UFS6QD4OPFCNNMWH1">'[28]DRE Analyzer'!#REF!</definedName>
    <definedName name="BEx58XHO7ZULLF2EUD7YIS0MGQJ5">'[28]DRE Analyzer'!#REF!</definedName>
    <definedName name="BEx5BHSQ42B50IU1TEQFUXFX9XQD">'[28]DRE Analyzer'!#REF!</definedName>
    <definedName name="BEx5CFYQ0F1Z6P8SCVJ0I3UPVFE4">'[28]DRE Analyzer'!#REF!</definedName>
    <definedName name="BEx5FO8YRFSZCG3L608EHIHIHFY4">'[28]DRE Analyzer'!#REF!</definedName>
    <definedName name="BEx5G1A8TFN4C4QII35U9DKYNIS8">'[28]DRE Analyzer'!#REF!</definedName>
    <definedName name="BEx5I244LQHZTF3XI66J8705R9XX">'[28]DRE Analyzer'!#REF!</definedName>
    <definedName name="BEx5I8PBP4LIXDGID5BP0THLO0AQ">'[28]DRE Analyzer'!#REF!</definedName>
    <definedName name="BEx5JHCZJ8G6OOOW6EF3GABXKH6F">'[28]DRE Analyzer'!#REF!</definedName>
    <definedName name="BEx5JNCT8Z7XSSPD5EMNAJELCU2V">'[28]DRE Analyzer'!#REF!</definedName>
    <definedName name="BEx5LSJ1LPUAX3ENSPECWPG4J7D1">'[28]DRE Analyzer'!#REF!</definedName>
    <definedName name="BEx5LTKQ8RQWJE4BC88OP928893U">'[28]DRE Analyzer'!#REF!</definedName>
    <definedName name="BEx5MLQZM68YQSKARVWTTPINFQ2C">'[28]DRE Analyzer'!#REF!</definedName>
    <definedName name="BEx5NV06L5J5IMKGOMGKGJ4PBZCD">'[28]DRE Analyzer'!#REF!</definedName>
    <definedName name="BEx74W6BJ8ENO3J25WNM5H5APKA3">'[28]DRE Analyzer'!#REF!</definedName>
    <definedName name="BEx79YJJLBELICW9F9FRYSCQ101L">'[28]DRE Analyzer'!#REF!</definedName>
    <definedName name="BEx7A06T3RC2891FUX05G3QPRAUE">'[28]DRE Analyzer'!#REF!</definedName>
    <definedName name="BEx7ASD1I654MEDCO6GGWA95PXSC">'[28]DRE Analyzer'!#REF!</definedName>
    <definedName name="BEx7AVCX9S5RJP3NSZ4QM4E6ERDT">'[28]DRE Analyzer'!#REF!</definedName>
    <definedName name="BEx7CO8T2XKC7GHDSYNAWTZ9L7YR">'[28]DRE Analyzer'!#REF!</definedName>
    <definedName name="BEx7E2QT2U8THYOKBPXONB1B47WH">'[28]DRE Analyzer'!#REF!</definedName>
    <definedName name="BEx7EI6DL1Z6UWLFBXAKVGZTKHWJ">'[28]DRE Analyzer'!#REF!</definedName>
    <definedName name="BEx91QH5JRZKQP1GPN2SQMR3CKAG">'[28]DRE Analyzer'!#REF!</definedName>
    <definedName name="BEx91ROALDNHO7FI4X8L61RH4UJE">'[28]DRE Analyzer'!#REF!</definedName>
    <definedName name="BEx94CKXG92OMURH41SNU6IOHK4J">'[28]DRE Analyzer'!#REF!</definedName>
    <definedName name="BEx94GXG30CIVB6ZQN3X3IK6BZXQ">'[28]DRE Analyzer'!#REF!</definedName>
    <definedName name="BEx94HZ5LURYM9ST744ALV6ZCKYP">'[28]DRE Analyzer'!#REF!</definedName>
    <definedName name="BEx94IQ75E90YUMWJ9N591LR7DQQ">'[28]DRE Analyzer'!#REF!</definedName>
    <definedName name="BEx955NIAWX5OLAHMTV6QFUZPR30">'[28]DRE Analyzer'!#REF!</definedName>
    <definedName name="BEx97NPQBACJVD9K1YXI08RTW9E2">'[28]DRE Analyzer'!#REF!</definedName>
    <definedName name="BEx9B8A5186FNTQQNLIO5LK02ABI">'[28]DRE Analyzer'!#REF!</definedName>
    <definedName name="BEx9IW5MFLXTVCJHVUZTUH93AXOS">'[28]DRE Analyzer'!#REF!</definedName>
    <definedName name="BEx9J6CH5E7YZPER7HXEIOIKGPCA">'[28]DRE Analyzer'!#REF!</definedName>
    <definedName name="BEx9JLBYK239B3F841C7YG1GT7ST">'[28]DRE Analyzer'!#REF!</definedName>
    <definedName name="BExAX410NB4F2XOB84OR2197H8M5">'[28]DRE Analyzer'!#REF!</definedName>
    <definedName name="BExB072HHXVMUC0VYNGG48GRSH5Q">'[28]DRE Analyzer'!#REF!</definedName>
    <definedName name="BExB1FKNY2UO4W5FUGFHJOA2WFGG">'[28]DRE Analyzer'!#REF!</definedName>
    <definedName name="BExB1GMD0PIDGTFBGQOPRWQSP9I4">'[28]DRE Analyzer'!#REF!</definedName>
    <definedName name="BExB1WI6M8I0EEP1ANUQZCFY24EV">'[28]DRE Analyzer'!#REF!</definedName>
    <definedName name="BExB2Q0VJ0MU2URO3JOVUAVHEI3V">'[28]DRE Analyzer'!#REF!</definedName>
    <definedName name="BExB442RX0T3L6HUL6X5T21CENW6">'[28]DRE Analyzer'!#REF!</definedName>
    <definedName name="BExB5833OAOJ22VK1YK47FHUSVK2">'[28]DRE Analyzer'!#REF!</definedName>
    <definedName name="BExB78RH79J0MIF7H8CAZ0CFE88Q">'[28]DRE Analyzer'!#REF!</definedName>
    <definedName name="BExB8U5N0D85YR8APKN3PPKG0FWP">'[28]DRE Analyzer'!#REF!</definedName>
    <definedName name="BExB9Q2MZZHBGW8QQKVEYIMJBPIE">'[28]DRE Analyzer'!#REF!</definedName>
    <definedName name="BExBCLMEPAN3XXX174TU8SS0627Q">'[28]DRE Analyzer'!#REF!</definedName>
    <definedName name="BExBDJS9TUEU8Z84IV59E5V4T8K6">'[28]DRE Analyzer'!#REF!</definedName>
    <definedName name="BExCS7ZPMHFJ4UJDAL8CQOLSZ13B">'[28]DRE Analyzer'!#REF!</definedName>
    <definedName name="BExCSSDG3TM6TPKS19E9QYJEELZ6">'[28]DRE Analyzer'!#REF!</definedName>
    <definedName name="BExCT4NSDT61OCH04Y2QIFIOP75H">'[28]DRE Analyzer'!#REF!</definedName>
    <definedName name="BExCU0A1V6NMZQ9ASYJ8QIVQ5UR2">'[28]DRE Analyzer'!#REF!</definedName>
    <definedName name="BExCVZ5PN4V6MRBZ04PZJW3GEF8S">'[28]DRE Analyzer'!#REF!</definedName>
    <definedName name="BExCX2KGRZBRVLZNM8SUSIE6A0RL">'[28]DRE Analyzer'!#REF!</definedName>
    <definedName name="BExCYUK0I3UEXZNFDW71G6Z6D8XR">'[28]DRE Analyzer'!#REF!</definedName>
    <definedName name="BExD2CFHIRMBKN5KXE5QP4XXEWFS">'[28]DRE Analyzer'!#REF!</definedName>
    <definedName name="BExD3F368X5S25MWSUNIV57RDB57">'[28]DRE Analyzer'!#REF!</definedName>
    <definedName name="BExD40O0CFTNJFOFMMM1KH0P7BUI">'[28]DRE Analyzer'!#REF!</definedName>
    <definedName name="BExD4H5GQWXBS6LUL3TSP36DVO38">'[28]DRE Analyzer'!#REF!</definedName>
    <definedName name="BExD4JJSS3QDBLABCJCHD45SRNPI">'[28]DRE Analyzer'!#REF!</definedName>
    <definedName name="BExD4R1I0MKF033I5LPUYIMTZ6E8">'[28]DRE Analyzer'!#REF!</definedName>
    <definedName name="BExD623C9LRX18BE0W2V6SZLQUXX">'[28]DRE Analyzer'!#REF!</definedName>
    <definedName name="BExD6GMP0LK8WKVWMIT1NNH8CHLF">'[28]DRE Analyzer'!#REF!</definedName>
    <definedName name="BExD7GAIGULTB3YHM1OS9RBQOTEC">'[28]DRE Analyzer'!#REF!</definedName>
    <definedName name="BExD7JQOJ35HGL8U2OCEI2P2JT7I">'[28]DRE Analyzer'!#REF!</definedName>
    <definedName name="BExD8OCLZMFN5K3VZYI4Q4ITVKUA">'[28]DRE Analyzer'!#REF!</definedName>
    <definedName name="BExEQB8ZWXO6IIGOEPWTLOJGE2NR">'[28]DRE Analyzer'!#REF!</definedName>
    <definedName name="BExERSANFNM1O7T65PC5MJ301YET">'[28]DRE Analyzer'!#REF!</definedName>
    <definedName name="BExERWCEBKQRYWRQLYJ4UCMMKTHG">'[28]DRE Analyzer'!#REF!</definedName>
    <definedName name="BExEX9HWY2G6928ZVVVQF77QCM2C">'[28]DRE Analyzer'!#REF!</definedName>
    <definedName name="BExEXRBZ0DI9E2UFLLKYWGN66B61">'[28]DRE Analyzer'!#REF!</definedName>
    <definedName name="BExF0ZRI7W4RSLIDLHTSM0AWXO3S">'[28]DRE Analyzer'!#REF!</definedName>
    <definedName name="BExF3NTC4BGZEM6B87TCFX277QCS">'[28]DRE Analyzer'!#REF!</definedName>
    <definedName name="BExF42SSBVPMLK2UB3B7FPEIY9TU">'[28]DRE Analyzer'!#REF!</definedName>
    <definedName name="BExF4PVMZYV36E8HOYY06J81AMBI">'[28]DRE Analyzer'!#REF!</definedName>
    <definedName name="BExF5ZFO2A29GHWR5ES64Z9OS16J">'[28]DRE Analyzer'!#REF!</definedName>
    <definedName name="BExF67O951CF8UJF3KBDNR0E83C1">'[28]DRE Analyzer'!#REF!</definedName>
    <definedName name="BExF6GNYXWY8A0SY4PW1B6KJMMTM">'[28]DRE Analyzer'!#REF!</definedName>
    <definedName name="BExF7K88K7ASGV6RAOAGH52G04VR">'[28]DRE Analyzer'!#REF!</definedName>
    <definedName name="BExGL97US0Y3KXXASUTVR26XLT70">'[28]DRE Analyzer'!#REF!</definedName>
    <definedName name="BExGMJDGIH0MEPC2TUSFUCY2ROTB">'[28]DRE Analyzer'!#REF!</definedName>
    <definedName name="BExGNDSIMTHOCXXG6QOGR6DA8SGG">'[28]DRE Analyzer'!#REF!</definedName>
    <definedName name="BExGNN2YQ9BDAZXT2GLCSAPXKIM7">'[28]DRE Analyzer'!#REF!</definedName>
    <definedName name="BExGNZO44DEG8CGIDYSEGDUQ531R">'[28]DRE Analyzer'!#REF!</definedName>
    <definedName name="BExGO2YUBOVLYHY1QSIHRE1KLAFV">'[28]DRE Analyzer'!#REF!</definedName>
    <definedName name="BExGODAZKJ9EXMQZNQR5YDBSS525">'[28]DRE Analyzer'!#REF!</definedName>
    <definedName name="BExGQ36ZOMR9GV8T05M605MMOY3Y">'[28]DRE Analyzer'!#REF!</definedName>
    <definedName name="BExGQX0H4EZMXBJTKJJE4ICJWN5O">'[28]DRE Analyzer'!#REF!</definedName>
    <definedName name="BExGSQY65LH1PCKKM5WHDW83F35O">'[28]DRE Analyzer'!#REF!</definedName>
    <definedName name="BExGT0DZJB6LSF6L693UUB9EY1VQ">'[28]DRE Analyzer'!#REF!</definedName>
    <definedName name="BExGTIYX3OWPIINOGY1E4QQYSKHP">'[28]DRE Analyzer'!#REF!</definedName>
    <definedName name="BExGUDDZXFFQHAF4UZF8ZB1HO7H6">'[28]DRE Analyzer'!#REF!</definedName>
    <definedName name="BExGUM8D91UNPCOO4TKP9FGX85TF">'[28]DRE Analyzer'!#REF!</definedName>
    <definedName name="BExGWEO0JDG84NYLEAV5NSOAGMJZ">'[28]DRE Analyzer'!#REF!</definedName>
    <definedName name="BExGWNCXLCRTLBVMTXYJ5PHQI6SS">'[28]DRE Analyzer'!#REF!</definedName>
    <definedName name="BExGX7FTB1CKAT5HUW6H531FIY6I">'[28]DRE Analyzer'!#REF!</definedName>
    <definedName name="BExH02ZD6VAY1KQLAQYBBI6WWIZB">'[28]DRE Analyzer'!#REF!</definedName>
    <definedName name="BExH0WNJAKTJRCKMTX8O4KNMIIJM">'[28]DRE Analyzer'!#REF!</definedName>
    <definedName name="BExH1FDTQXR9QQ31WDB7OPXU7MPT">'[28]DRE Analyzer'!#REF!</definedName>
    <definedName name="BExH2ZA0SZ4SSITL50NA8LZ3OEX6">'[28]DRE Analyzer'!#REF!</definedName>
    <definedName name="BExIGWT86FPOEYTI8GXCGU5Y3KGK">'[28]DRE Analyzer'!#REF!</definedName>
    <definedName name="BExIJFGZJ5ED9D6KAY4PGQYLELAX">'[28]DRE Analyzer'!#REF!</definedName>
    <definedName name="BExILG5F338C0FFLMVOKMKF8X5ZP">'[28]DRE Analyzer'!#REF!</definedName>
    <definedName name="BExINLX401ZKEGWU168DS4JUM2J6">'[28]DRE Analyzer'!#REF!</definedName>
    <definedName name="BExINMYYJO1FTV1CZF6O5XCFAMQX">'[28]DRE Analyzer'!#REF!</definedName>
    <definedName name="BExIPDLT8JYAMGE5HTN4D1YHZF3V">'[28]DRE Analyzer'!#REF!</definedName>
    <definedName name="BExIPYAAOZP764DQYX0K3FGLP313">'[28]DRE Analyzer'!#REF!</definedName>
    <definedName name="BExIUUT2MHIOV6R3WHA0DPM1KBKY">'[28]DRE Analyzer'!#REF!</definedName>
    <definedName name="BExIVYTFI35KNR2XSA6N8OJYUTUR">'[28]DRE Analyzer'!#REF!</definedName>
    <definedName name="BExIWG1W7XP9DFYYSZAIOSHM0QLQ">'[28]DRE Analyzer'!#REF!</definedName>
    <definedName name="BExIYI2RH0K4225XO970K2IQ1E79">'[28]DRE Analyzer'!#REF!</definedName>
    <definedName name="BExJ08KBRR2XMWW3VZMPSQKXHZUH">'[28]DRE Analyzer'!#REF!</definedName>
    <definedName name="BExKI4076KXCDE5KXL79KT36OKLO">'[28]DRE Analyzer'!#REF!</definedName>
    <definedName name="BExKKQ3ZWADYV03YHMXDOAMU90EB">'[28]DRE Analyzer'!#REF!</definedName>
    <definedName name="BExKPLQJX0HJ8OTXBXH9IC9J2V0W">'[28]DRE Analyzer'!#REF!</definedName>
    <definedName name="BExKQJGAAWNM3NT19E9I0CQDBTU0">'[28]DRE Analyzer'!#REF!</definedName>
    <definedName name="BExKVFZ3ZZGIC1QI8XN6BYFWN0ZY">'[28]DRE Analyzer'!#REF!</definedName>
    <definedName name="BExM9OG182RP30MY23PG49LVPZ1C">'[28]DRE Analyzer'!#REF!</definedName>
    <definedName name="BExMALEWFUEM8Y686IT03ECURUBR">'[28]DRE Analyzer'!#REF!</definedName>
    <definedName name="BExMBYPQDG9AYDQ5E8IECVFREPO6">'[28]DRE Analyzer'!#REF!</definedName>
    <definedName name="BExMCA96YR10V72G2R0SCIKPZLIZ">'[28]DRE Analyzer'!#REF!</definedName>
    <definedName name="BExMCFSQFSEMPY5IXDIRKZDASDBR">'[28]DRE Analyzer'!#REF!</definedName>
    <definedName name="BExMDGD1KQP7NNR78X2ZX4FCBQ1S">'[28]DRE Analyzer'!#REF!</definedName>
    <definedName name="BExMHOWPB34KPZ76M2KIX2C9R2VB">'[28]DRE Analyzer'!#REF!</definedName>
    <definedName name="BExMI3AJ9477KDL4T9DHET4LJJTW">'[28]DRE Analyzer'!#REF!</definedName>
    <definedName name="BExMIBOOZU40JS3F89OMPSRCE9MM">'[28]DRE Analyzer'!#REF!</definedName>
    <definedName name="BExMIV0KC8555D5E42ZGWG15Y0MO">'[28]DRE Analyzer'!#REF!</definedName>
    <definedName name="BExMKUN3WPECJR2XRID2R7GZRGNX">'[28]DRE Analyzer'!#REF!</definedName>
    <definedName name="BExMKZ535P011X4TNV16GCOH4H21">'[28]DRE Analyzer'!#REF!</definedName>
    <definedName name="BExMLVI7UORSHM9FMO8S2EI0TMTS">'[28]DRE Analyzer'!#REF!</definedName>
    <definedName name="BExMM5UCOT2HSSN0ZIPZW55GSOVO">'[28]DRE Analyzer'!#REF!</definedName>
    <definedName name="BExMMNIZ2T7M22WECMUQXEF4NJ71">'[28]DRE Analyzer'!#REF!</definedName>
    <definedName name="BExMPSD77XQ3HA6A4FZOJK8G2JP3">'[28]DRE Analyzer'!#REF!</definedName>
    <definedName name="BExMQ71WHW50GVX45JU951AGPLFQ">'[28]DRE Analyzer'!#REF!</definedName>
    <definedName name="BExOBP0FKQ4SVR59FB48UNLKCOR6">'[28]DRE Analyzer'!#REF!</definedName>
    <definedName name="BExOFVLXVD6RVHSQO8KZOOACSV24">'[28]DRE Analyzer'!#REF!</definedName>
    <definedName name="BExOJXEUJJ9SYRJXKYYV2NCCDT2R">'[28]DRE Analyzer'!#REF!</definedName>
    <definedName name="BExOK0EQYM9JUMAGWOUN7QDH7VMZ">'[28]DRE Analyzer'!#REF!</definedName>
    <definedName name="BExOLICXFHJLILCJVFMJE5MGGWKR">'[28]DRE Analyzer'!#REF!</definedName>
    <definedName name="BExOMU0A6XMY48SZRYL4WQZD13BI">'[28]DRE Analyzer'!#REF!</definedName>
    <definedName name="BExQ2M841F5Z1BQYR8DG5FKK0LIU">'[28]DRE Analyzer'!#REF!</definedName>
    <definedName name="BExQ300G8I8TK45A0MVHV15422EU">'[28]DRE Analyzer'!#REF!</definedName>
    <definedName name="BExQ39R28MXSG2SEV956F0KZ20AN">'[28]DRE Analyzer'!#REF!</definedName>
    <definedName name="BExQ3D1P3M5Z3HLMEZ17E0BLEE4U">'[28]DRE Analyzer'!#REF!</definedName>
    <definedName name="BExQ42IU9MNDYLODP41DL6YTZMAR">'[28]DRE Analyzer'!#REF!</definedName>
    <definedName name="BExQ63793YQ9BH7JLCNRIATIGTRG">'[28]DRE Analyzer'!#REF!</definedName>
    <definedName name="BExQ7MY3U2Z1IZ71U5LJUD00VVB4">'[28]DRE Analyzer'!#REF!</definedName>
    <definedName name="BExQ7XL2Q1GVUFL1F9KK0K0EXMWG">'[28]DRE Analyzer'!#REF!</definedName>
    <definedName name="BExQ8A0RPE3IMIFIZLUE7KD2N21W">'[28]DRE Analyzer'!#REF!</definedName>
    <definedName name="BExQ8O3WEU8HNTTGKTW5T0QSKCLP">'[28]DRE Analyzer'!#REF!</definedName>
    <definedName name="BExQ9M4E2ACZOWWWP1JJIQO8AHUM">'[28]DRE Analyzer'!#REF!</definedName>
    <definedName name="BExQ9ZLYHWABXAA9NJDW8ZS0UQ9P">'[28]DRE Analyzer'!#REF!</definedName>
    <definedName name="BExQA324HSCK40ENJUT9CS9EC71B">'[28]DRE Analyzer'!#REF!</definedName>
    <definedName name="BExQAX0WXHFYUMB6XDMGQ9IS2IZ3">'[28]DRE Analyzer'!#REF!</definedName>
    <definedName name="BExQDE1B6U2Q9B73KBENABP71YM1">'[28]DRE Analyzer'!#REF!</definedName>
    <definedName name="BExQEMUA4HEFM4OVO8M8MA8PIAW1">'[28]DRE Analyzer'!#REF!</definedName>
    <definedName name="BExQFEK8NUD04X2OBRA275ADPSDL">'[28]DRE Analyzer'!#REF!</definedName>
    <definedName name="BExS6ITKSZFRR01YD5B0F676SYN7">'[28]DRE Analyzer'!#REF!</definedName>
    <definedName name="BExS81TE0EY44Y3W2M4Z4MGNP5OM">'[28]DRE Analyzer'!#REF!</definedName>
    <definedName name="BExSAY9CA9TFXQ9M9FBJRGJO9T9E">'[28]DRE Analyzer'!#REF!</definedName>
    <definedName name="BExSBMOS41ZRLWYLOU29V6Y7YORR">'[28]DRE Analyzer'!#REF!</definedName>
    <definedName name="BExSG9X3DU845PNXYJGGLBQY2UHG">'[28]DRE Analyzer'!#REF!</definedName>
    <definedName name="BExSGOAYG73SFWOPAQV80P710GID">'[28]DRE Analyzer'!#REF!</definedName>
    <definedName name="BExTTZNS2PBCR93C9IUW49UZ4I6T">'[28]DRE Analyzer'!#REF!</definedName>
    <definedName name="BExTUY9WNSJ91GV8CP0SKJTEIV82">'[28]DRE Analyzer'!#REF!</definedName>
    <definedName name="BExTVELZCF2YA5L6F23BYZZR6WHF">'[28]DRE Analyzer'!#REF!</definedName>
    <definedName name="BExTXJ6HBAIXMMWKZTJNFDYVZCAY">'[28]DRE Analyzer'!#REF!</definedName>
    <definedName name="BExTXT812NQT8GAEGH738U29BI0D">'[28]DRE Analyzer'!#REF!</definedName>
    <definedName name="BExTY5T62H651VC86QM4X7E28JVA">'[28]DRE Analyzer'!#REF!</definedName>
    <definedName name="BExTZO2596CBZKPI7YNA1QQNPAIJ">'[28]DRE Analyzer'!#REF!</definedName>
    <definedName name="BExU02QNT4LT7H9JPUC4FXTLVGZT">'[28]DRE Analyzer'!#REF!</definedName>
    <definedName name="BExU1IL9AOHFO85BZB6S60DK3N8H">'[28]DRE Analyzer'!#REF!</definedName>
    <definedName name="BExU1NOPS09CLFZL1O31RAF9BQNQ">'[28]DRE Analyzer'!#REF!</definedName>
    <definedName name="BExU1VRURIWWVJ95O40WA23LMTJD">'[28]DRE Analyzer'!#REF!</definedName>
    <definedName name="BExU4GDVLPUEWBA4MRYRTQAUNO7B">'[28]DRE Analyzer'!#REF!</definedName>
    <definedName name="BExU80I6AE5OU7P7F5V7HWIZBJ4P">'[28]DRE Analyzer'!#REF!</definedName>
    <definedName name="BExUC623BDYEODBN0N4DO6PJQ7NU">'[28]DRE Analyzer'!#REF!</definedName>
    <definedName name="BExUDEV0CYVO7Y5IQQBEJ6FUY9S6">'[28]DRE Analyzer'!#REF!</definedName>
    <definedName name="BExUEJGX3OQQP5KFRJSRCZ70EI9V">'[28]DRE Analyzer'!#REF!</definedName>
    <definedName name="BExVTCMDDEDGLUIMUU6BSFHEWTOP">'[28]DRE Analyzer'!#REF!</definedName>
    <definedName name="BExVVPFO2J7FMSRPD36909HN4BZJ">'[28]DRE Analyzer'!#REF!</definedName>
    <definedName name="BExVVQ19TAECID45CS4HXT1RD3AQ">'[28]DRE Analyzer'!#REF!</definedName>
    <definedName name="BExVXLX2BZ5EF2X6R41BTKRJR1NM">'[28]DRE Analyzer'!#REF!</definedName>
    <definedName name="BExVY1SV37DL5YU59HS4IG3VBCP4">'[28]DRE Analyzer'!#REF!</definedName>
    <definedName name="BExVZJQVO5LQ0BJH5JEN5NOBIAF6">'[28]DRE Analyzer'!#REF!</definedName>
    <definedName name="BExW66LVVZK656PQY1257QMHP2AY">'[28]DRE Analyzer'!#REF!</definedName>
    <definedName name="BExXLDE6PN4ESWT3LXJNQCY94NE4">'[28]DRE Analyzer'!#REF!</definedName>
    <definedName name="BExXM065WOLYRYHGHOJE0OOFXA4M">'[28]DRE Analyzer'!#REF!</definedName>
    <definedName name="BExXNWYB165VO9MHARCL5WLCHWS0">'[28]DRE Analyzer'!#REF!</definedName>
    <definedName name="BExXQH41O5HZAH8BO6HCFY8YC3TU">'[28]DRE Analyzer'!#REF!</definedName>
    <definedName name="BExXRD13K1S9Y3JGR7CXSONT7RJZ">'[28]DRE Analyzer'!#REF!</definedName>
    <definedName name="BExXRO4A6VUH1F4XV8N1BRJ4896W">'[28]DRE Analyzer'!#REF!</definedName>
    <definedName name="BExXU8VLZA7WLPZ3RAQZGNERUD26">'[28]DRE Analyzer'!#REF!</definedName>
    <definedName name="BExXXBM521DL8R4ZX7NZ3DBCUOR5">'[28]DRE Analyzer'!#REF!</definedName>
    <definedName name="BExXXZQNZY6IZI45DJXJK0MQZWA7">'[28]DRE Analyzer'!#REF!</definedName>
    <definedName name="BExXY7TYEBFXRYUYIFHTN65RJ8EW">'[28]DRE Analyzer'!#REF!</definedName>
    <definedName name="BExXZOVPCEP495TQSON6PSRQ8XCY">'[28]DRE Analyzer'!#REF!</definedName>
    <definedName name="BExY07WSDH5QEVM7BJXJK2ZRAI1O">'[28]DRE Analyzer'!#REF!</definedName>
    <definedName name="BExY3HOSK7YI364K15OX70AVR6F1">'[28]DRE Analyzer'!#REF!</definedName>
    <definedName name="BExZK3FGPHH5H771U7D5XY7XBS6E">'[28]DRE Analyzer'!#REF!</definedName>
    <definedName name="BExZKHYORG3O8C772XPFHM1N8T80">'[28]DRE Analyzer'!#REF!</definedName>
    <definedName name="BExZL6E4YVXRUN7ZGF2BIGIXFR8K">'[28]DRE Analyzer'!#REF!</definedName>
    <definedName name="BExZQIHTGHK7OOI2Y2PN3JYBY82I">'[28]DRE Analyzer'!#REF!</definedName>
    <definedName name="BExZQJJMGU5MHQOILGXGJPAQI5XI">'[28]DRE Analyzer'!#REF!</definedName>
    <definedName name="BExZQZKT146WEN8FTVZ7Y5TSB8L5">'[28]DRE Analyzer'!#REF!</definedName>
    <definedName name="BExZRP1X6UVLN1UOLHH5VF4STP1O">'[28]DRE Analyzer'!#REF!</definedName>
    <definedName name="BExZRW8W514W8OZ72YBONYJ64GXF">'[28]DRE Analyzer'!#REF!</definedName>
    <definedName name="BExZTAQV2QVSZY5Y3VCCWUBSBW9P">'[28]DRE Analyzer'!#REF!</definedName>
    <definedName name="BExZTT6J3X0TOX0ZY6YPLUVMCW9X">'[28]DRE Analyzer'!#REF!</definedName>
    <definedName name="BExZY02V77YJBMODJSWZOYCMPS5X">'[28]DRE Analyzer'!#REF!</definedName>
    <definedName name="BExZZTK54OTLF2YB68BHGOS27GEN">'[28]DRE Analyzer'!#REF!</definedName>
    <definedName name="BExZZZEMIIFKMLLV4DJKX5TB9R5V">'[28]DRE Analyzer'!#REF!</definedName>
    <definedName name="BG_Del">15</definedName>
    <definedName name="BG_Ins">4</definedName>
    <definedName name="BG_Mod">6</definedName>
    <definedName name="BLPH100">[29]BLP!$I$5</definedName>
    <definedName name="BLPH101">[29]BLP!$G$5</definedName>
    <definedName name="BLPH102">[29]BLP!$E$5</definedName>
    <definedName name="BLPH103">[29]BLP!$C$5</definedName>
    <definedName name="BLPH104">[29]BLP!$A$5</definedName>
    <definedName name="BLPH107">'[30]Dados BLP'!#REF!</definedName>
    <definedName name="BLPH96">[29]BLP!$Q$5</definedName>
    <definedName name="BLPH97">[29]BLP!$O$5</definedName>
    <definedName name="BLPH98">[29]BLP!$M$5</definedName>
    <definedName name="BLPH99">[29]BLP!$K$5</definedName>
    <definedName name="boston">{"TotalGeralDespesasPorArea",#N/A,FALSE,"VinculosAccessEfetivo"}</definedName>
    <definedName name="catver">{TRUE,TRUE,0.25,-14,454.5,281.25,FALSE,TRUE,TRUE,TRUE,0,1,28,1,5,4,4,4,TRUE,TRUE,3,TRUE,1,TRUE,75,"Swvu.CATODO.","ACwvu.CATODO.",#N/A,FALSE,FALSE,0.78740157480315,0.67,0.984251968503937,0.984251968503937,2,"&amp;L&amp;14DIAC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&amp;A",TRUE,TRUE,FALSE,FALSE,1,#N/A,1,1,FALSE,FALSE,"Rwvu.CATODO.",#N/A,FALSE,FALSE,FALSE,1,300,300,FALSE,FALSE,TRUE,TRUE,TRUE}</definedName>
    <definedName name="cc">{"Fecha_Outubro",#N/A,FALSE,"FECHAMENTO-2002 ";"Defer_Outubro",#N/A,FALSE,"DIFERIDO";"Pis_Outubro",#N/A,FALSE,"PIS COFINS";"Iss_Outubro",#N/A,FALSE,"ISS"}</definedName>
    <definedName name="cd">{#N/A,#N/A,FALSE,"Aging Summary";#N/A,#N/A,FALSE,"Ratio Analysis";#N/A,#N/A,FALSE,"Test 120 Day Accts";#N/A,#N/A,FALSE,"Tickmarks"}</definedName>
    <definedName name="CENÁRIO">{TRUE,TRUE,0.25,-14,454.5,281.25,FALSE,TRUE,TRUE,TRUE,0,1,28,1,5,4,4,4,TRUE,TRUE,3,TRUE,1,TRUE,75,"Swvu.CATODO.","ACwvu.CATODO.",#N/A,FALSE,FALSE,0.78740157480315,0.67,0.984251968503937,0.984251968503937,2,"&amp;L&amp;14DIAC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&amp;A",TRUE,TRUE,FALSE,FALSE,1,#N/A,1,1,FALSE,FALSE,"Rwvu.CATODO.",#N/A,FALSE,FALSE,FALSE,1,300,300,FALSE,FALSE,TRUE,TRUE,TRUE}</definedName>
    <definedName name="CF">{"RRHH",#N/A,FALSE,"Por Dirección";"Operaciones",#N/A,FALSE,"Por Dirección";"Logística",#N/A,FALSE,"Por Dirección";"Comercial",#N/A,FALSE,"Por Dirección";"Administracion",#N/A,FALSE,"Por Dirección"}</definedName>
    <definedName name="COFINS">{"Fecha_Dezembro",#N/A,FALSE,"FECHAMENTO-2002 ";"Defer_Dezermbro",#N/A,FALSE,"DIFERIDO";"Pis_Dezembro",#N/A,FALSE,"PIS COFINS";"Iss_Dezembro",#N/A,FALSE,"ISS"}</definedName>
    <definedName name="cofins1">{"Fecha_Outubro",#N/A,FALSE,"FECHAMENTO-2002 ";"Defer_Outubro",#N/A,FALSE,"DIFERIDO";"Pis_Outubro",#N/A,FALSE,"PIS COFINS";"Iss_Outubro",#N/A,FALSE,"ISS"}</definedName>
    <definedName name="cofins2">{#N/A,#N/A,FALSE,"Extra2";#N/A,#N/A,FALSE,"Comp2";#N/A,#N/A,FALSE,"Ret-PL"}</definedName>
    <definedName name="comparativo">{"RRHH",#N/A,FALSE,"Por Dirección";"Operaciones",#N/A,FALSE,"Por Dirección";"Logística",#N/A,FALSE,"Por Dirección";"Comercial",#N/A,FALSE,"Por Dirección";"Administracion",#N/A,FALSE,"Por Dirección"}</definedName>
    <definedName name="CSSL">{#N/A,#N/A,FALSE,"IR E CS 1997";#N/A,#N/A,FALSE,"PR ND";#N/A,#N/A,FALSE,"8191";#N/A,#N/A,FALSE,"8383";#N/A,#N/A,FALSE,"MP 1024";#N/A,#N/A,FALSE,"AD_EX_97";#N/A,#N/A,FALSE,"BD 97"}</definedName>
    <definedName name="CSSL1998">{#N/A,#N/A,FALSE,"IR E CS 1997";#N/A,#N/A,FALSE,"PR ND";#N/A,#N/A,FALSE,"8191";#N/A,#N/A,FALSE,"8383";#N/A,#N/A,FALSE,"MP 1024";#N/A,#N/A,FALSE,"AD_EX_97";#N/A,#N/A,FALSE,"BD 97"}</definedName>
    <definedName name="cu102.ShareScalingFactor">1000000</definedName>
    <definedName name="cu103.EmployeeScalingFactor">1000</definedName>
    <definedName name="cu107.DPSSymbol">"R$"</definedName>
    <definedName name="cu107.EPSSymbol">"R$"</definedName>
    <definedName name="cu71.ScalingFactor">1000000</definedName>
    <definedName name="custo1">{#N/A,#N/A,FALSE,"Relatórios";"Vendas e Custos",#N/A,FALSE,"Vendas e Custos";"Premissas",#N/A,FALSE,"Premissas";"Projeções",#N/A,FALSE,"Projeções";"Dolar",#N/A,FALSE,"Dolar";"Original",#N/A,FALSE,"Original e UFIR"}</definedName>
    <definedName name="d">{"RRHH",#N/A,FALSE,"Por Dirección";"Operaciones",#N/A,FALSE,"Por Dirección";"Logística",#N/A,FALSE,"Por Dirección";"Comercial",#N/A,FALSE,"Por Dirección";"Administracion",#N/A,FALSE,"Por Dirección"}</definedName>
    <definedName name="dc">{#N/A,#N/A,FALSE,"Aging Summary";#N/A,#N/A,FALSE,"Ratio Analysis";#N/A,#N/A,FALSE,"Test 120 Day Accts";#N/A,#N/A,FALSE,"Tickmarks"}</definedName>
    <definedName name="ddd">{#N/A,#N/A,FALSE,"Ventas";#N/A,#N/A,FALSE,"MARGEN";#N/A,#N/A,FALSE,"Resultado";#N/A,#N/A,FALSE,"GRAFICOS";#N/A,#N/A,FALSE,"GRAFICOS (2)"}</definedName>
    <definedName name="de">{"Fecha_Dezembro",#N/A,FALSE,"FECHAMENTO-2002 ";"Defer_Dezermbro",#N/A,FALSE,"DIFERIDO";"Pis_Dezembro",#N/A,FALSE,"PIS COFINS";"Iss_Dezembro",#N/A,FALSE,"ISS"}</definedName>
    <definedName name="deee">{"Fecha_Setembro",#N/A,FALSE,"FECHAMENTO-2002 ";"Defer_Setembro",#N/A,FALSE,"DIFERIDO";"Pis_Setembro",#N/A,FALSE,"PIS COFINS";"Iss_Setembro",#N/A,FALSE,"ISS"}</definedName>
    <definedName name="dEZEMBRO">[31]TUDO!$A$4:$U$69</definedName>
    <definedName name="df">{"RRHH",#N/A,FALSE,"Por Dirección";"Operaciones",#N/A,FALSE,"Por Dirección";"Logística",#N/A,FALSE,"Por Dirección";"Comercial",#N/A,FALSE,"Por Dirección";"Administracion",#N/A,FALSE,"Por Dirección"}</definedName>
    <definedName name="dhf">{"RRHH",#N/A,FALSE,"Por Dirección";"Operaciones",#N/A,FALSE,"Por Dirección";"Logística",#N/A,FALSE,"Por Dirección";"Comercial",#N/A,FALSE,"Por Dirección";"Administracion",#N/A,FALSE,"Por Dirección"}</definedName>
    <definedName name="diario2">{"VERGALHÃO",#N/A,FALSE,"DIÁRIA";"CATODO",#N/A,FALSE,"DIÁRIA"}</definedName>
    <definedName name="dl">{"RRHH",#N/A,FALSE,"Por Dirección";"Operaciones",#N/A,FALSE,"Por Dirección";"Logística",#N/A,FALSE,"Por Dirección";"Comercial",#N/A,FALSE,"Por Dirección";"Administracion",#N/A,FALSE,"Por Dirección"}</definedName>
    <definedName name="DME_Dirty">"Falso"</definedName>
    <definedName name="dsd">"CAVD7SCWJ2AXAA0RJGKFLUFZV"</definedName>
    <definedName name="dw">{"RRHH",#N/A,FALSE,"Por Dirección";"Operaciones",#N/A,FALSE,"Por Dirección";"Logística",#N/A,FALSE,"Por Dirección";"Comercial",#N/A,FALSE,"Por Dirección";"Administracion",#N/A,FALSE,"Por Dirección"}</definedName>
    <definedName name="e">{"RRHH",#N/A,FALSE,"Por Dirección";"Operaciones",#N/A,FALSE,"Por Dirección";"Logística",#N/A,FALSE,"Por Dirección";"Comercial",#N/A,FALSE,"Por Dirección";"Administracion",#N/A,FALSE,"Por Dirección"}</definedName>
    <definedName name="eeee">[9]análise!#REF!</definedName>
    <definedName name="eeeee">[9]análise!#REF!</definedName>
    <definedName name="efsdf">{"RRHH",#N/A,FALSE,"Por Dirección";"Operaciones",#N/A,FALSE,"Por Dirección";"Logística",#N/A,FALSE,"Por Dirección";"Comercial",#N/A,FALSE,"Por Dirección";"Administracion",#N/A,FALSE,"Por Dirección"}</definedName>
    <definedName name="esdfsadfsadfsda">'[32]ACUMULADO ANO 2001'!$B$6:$B$13</definedName>
    <definedName name="esnrc67c1_values">{"IND","COMPANIES",TRUE}</definedName>
    <definedName name="ewr">{"RRHH",#N/A,FALSE,"Por Dirección";"Operaciones",#N/A,FALSE,"Por Dirección";"Logística",#N/A,FALSE,"Por Dirección";"Comercial",#N/A,FALSE,"Por Dirección";"Administracion",#N/A,FALSE,"Por Dirección"}</definedName>
    <definedName name="F">{"'Sheet1'!$A$1:$G$85"}</definedName>
    <definedName name="ｆ">"iQShowAnnual"</definedName>
    <definedName name="fdgdsfshgsdfghse">{#N/A,#N/A,FALSE,"Previa Fech";#N/A,#N/A,FALSE,"PIS";#N/A,#N/A,FALSE,"COFINS";#N/A,#N/A,FALSE,"PDD";#N/A,#N/A,FALSE,"C.Social";#N/A,#N/A,FALSE,"LALUR";#N/A,#N/A,FALSE,"Estimado(2)";#N/A,#N/A,FALSE,"Estimado-1";#N/A,#N/A,FALSE,"C.Social_RF";#N/A,#N/A,FALSE,"LALUR_RF";#N/A,#N/A,FALSE,"Comparativo";#N/A,#N/A,FALSE,"Extra-1";#N/A,#N/A,FALSE,"RET-PL."}</definedName>
    <definedName name="fhfhfg">{"RRHH",#N/A,FALSE,"Por Dirección";"Operaciones",#N/A,FALSE,"Por Dirección";"Logística",#N/A,FALSE,"Por Dirección";"Comercial",#N/A,FALSE,"Por Dirección";"Administracion",#N/A,FALSE,"Por Dirección"}</definedName>
    <definedName name="FIPEQUADMER">[24]Plan1!#REF!</definedName>
    <definedName name="fj">{"RRHH",#N/A,FALSE,"Por Dirección";"Operaciones",#N/A,FALSE,"Por Dirección";"Logística",#N/A,FALSE,"Por Dirección";"Comercial",#N/A,FALSE,"Por Dirección";"Administracion",#N/A,FALSE,"Por Dirección"}</definedName>
    <definedName name="FOOD">{"'Sheet1'!$A$1:$G$85"}</definedName>
    <definedName name="fs">{"RRHH",#N/A,FALSE,"Por Dirección";"Operaciones",#N/A,FALSE,"Por Dirección";"Logística",#N/A,FALSE,"Por Dirección";"Comercial",#N/A,FALSE,"Por Dirección";"Administracion",#N/A,FALSE,"Por Dirección"}</definedName>
    <definedName name="gada">[20]SEMANAIS!#REF!</definedName>
    <definedName name="gd">{"RRHH",#N/A,FALSE,"Por Dirección";"Operaciones",#N/A,FALSE,"Por Dirección";"Logística",#N/A,FALSE,"Por Dirección";"Comercial",#N/A,FALSE,"Por Dirección";"Administracion",#N/A,FALSE,"Por Dirección"}</definedName>
    <definedName name="gg">{"Fecha_Outubro",#N/A,FALSE,"FECHAMENTO-2002 ";"Defer_Outubro",#N/A,FALSE,"DIFERIDO";"Pis_Outubro",#N/A,FALSE,"PIS COFINS";"Iss_Outubro",#N/A,FALSE,"ISS"}</definedName>
    <definedName name="Gráfico2">{"'Quadro'!$A$4:$BG$78"}</definedName>
    <definedName name="grf">{"VERGALHÃO",#N/A,FALSE,"DIÁRIA";"CATODO",#N/A,FALSE,"DIÁRIA"}</definedName>
    <definedName name="GrpAcct1">"5611"</definedName>
    <definedName name="GrpAcct2">"5612"</definedName>
    <definedName name="GrpLevel">2</definedName>
    <definedName name="hg">{"RRHH",#N/A,FALSE,"Por Dirección";"Operaciones",#N/A,FALSE,"Por Dirección";"Logística",#N/A,FALSE,"Por Dirección";"Comercial",#N/A,FALSE,"Por Dirección";"Administracion",#N/A,FALSE,"Por Dirección"}</definedName>
    <definedName name="HGD">{"RRHH",#N/A,FALSE,"Por Dirección";"Operaciones",#N/A,FALSE,"Por Dirección";"Logística",#N/A,FALSE,"Por Dirección";"Comercial",#N/A,FALSE,"Por Dirección";"Administracion",#N/A,FALSE,"Por Dirección"}</definedName>
    <definedName name="HTML_CodePage">1252</definedName>
    <definedName name="HTML_Control">{"'Sheet1'!$A$1:$G$85"}</definedName>
    <definedName name="HTML_Control1">{"'Sheet1'!$A$1:$G$85"}</definedName>
    <definedName name="HTML_Control2">{"'Sheet1'!$A$1:$G$85"}</definedName>
    <definedName name="HTML_Control3">{"'Sheet1'!$A$1:$G$85"}</definedName>
    <definedName name="HTML_Controla">{"'Sheet1'!$A$1:$G$85"}</definedName>
    <definedName name="HTML_Controlb">{"'Sheet1'!$A$1:$G$85"}</definedName>
    <definedName name="HTML_Description">""</definedName>
    <definedName name="HTML_Email">""</definedName>
    <definedName name="HTML_Header">"Sheet1"</definedName>
    <definedName name="HTML_LastUpdate">"2/24/99"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3">TRUE</definedName>
    <definedName name="HTML_OBDlg4">TRUE</definedName>
    <definedName name="HTML_OS">1</definedName>
    <definedName name="HTML_PathFile">"D:\FIX\Mai98\PXR6500.htm"</definedName>
    <definedName name="HTML_PathFileMac">"Macintosh HD:HomePageStuff:New_Home_Page:datafile:histret.html"</definedName>
    <definedName name="HTML_PathTemplate">"C:\Meus documentos\internet\UNA\Nota.htm"</definedName>
    <definedName name="HTML_Title">"Historical Returns on Stocks, Bonds and Bills"</definedName>
    <definedName name="HTML1_1">"[ReturnsHistorical]Sheet1!$A$1:$D$77"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">"[histret.xls]Sheet1!$A$1:$G$85"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3_1">"[APU97.XLS]INTRA!$A$2:$B$92"</definedName>
    <definedName name="HTML3_10">""</definedName>
    <definedName name="HTML3_11">1</definedName>
    <definedName name="HTML3_12">"C:\Meus Documentos\IR1997\csiradi.htm"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"21/08/97"</definedName>
    <definedName name="HTML3_9">""</definedName>
    <definedName name="HTML4_1">"[APU97.XLS]INTRA!$A$1:$B$91"</definedName>
    <definedName name="HTML4_10">""</definedName>
    <definedName name="HTML4_11">1</definedName>
    <definedName name="HTML4_12">"\\NT_ECON\InetPub\wwwroot\Fiscal\Impostos\CSIRADI.htm"</definedName>
    <definedName name="HTML4_2">1</definedName>
    <definedName name="HTML4_3">""</definedName>
    <definedName name="HTML4_4">""</definedName>
    <definedName name="HTML4_5">""</definedName>
    <definedName name="HTML4_6">-4146</definedName>
    <definedName name="HTML4_7">-4146</definedName>
    <definedName name="HTML4_8">"08/08/97"</definedName>
    <definedName name="HTML4_9">""</definedName>
    <definedName name="HTML5_1">"[APU97.XLS]INTRA!$D$2:$E$92"</definedName>
    <definedName name="HTML5_10">""</definedName>
    <definedName name="HTML5_11">1</definedName>
    <definedName name="HTML5_12">"C:\Meus Documentos\IR1997\csirinfo.htm"</definedName>
    <definedName name="HTML5_2">1</definedName>
    <definedName name="HTML5_3">""</definedName>
    <definedName name="HTML5_4">""</definedName>
    <definedName name="HTML5_5">""</definedName>
    <definedName name="HTML5_6">-4146</definedName>
    <definedName name="HTML5_7">-4146</definedName>
    <definedName name="HTML5_8">"21/08/97"</definedName>
    <definedName name="HTML5_9">""</definedName>
    <definedName name="HTML6_1">"[APU97.XLS]INTRA!$G$2:$H$92"</definedName>
    <definedName name="HTML6_10">""</definedName>
    <definedName name="HTML6_11">1</definedName>
    <definedName name="HTML6_12">"C:\Meus Documentos\IR1997\csiritph.htm"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"21/08/97"</definedName>
    <definedName name="HTML6_9">""</definedName>
    <definedName name="HTML7_1">"[APU97.XLS]INTRA!$J$2:$K$92"</definedName>
    <definedName name="HTML7_10">""</definedName>
    <definedName name="HTML7_11">1</definedName>
    <definedName name="HTML7_12">"C:\Meus Documentos\IR1997\csircom.htm"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"21/08/97"</definedName>
    <definedName name="HTML7_9">""</definedName>
    <definedName name="HTML8_1">"[APU97.XLS]INTRA!$M$2:$N$92"</definedName>
    <definedName name="HTML8_10">""</definedName>
    <definedName name="HTML8_11">1</definedName>
    <definedName name="HTML8_12">"C:\Meus Documentos\IR1997\csiripp.htm"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"21/08/97"</definedName>
    <definedName name="HTML8_9">""</definedName>
    <definedName name="HTMLCount">2</definedName>
    <definedName name="INDUSTRIAL">{"RRHH",#N/A,FALSE,"Por Dirección";"Operaciones",#N/A,FALSE,"Por Dirección";"Logística",#N/A,FALSE,"Por Dirección";"Comercial",#N/A,FALSE,"Por Dirección";"Administracion",#N/A,FALSE,"Por Dirección"}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ING_STANDARD">"c4539"</definedName>
    <definedName name="IQ_ACCOUNTING_STANDARD_CIQ">"c5092"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NO">"c4454"</definedName>
    <definedName name="IQ_AVG_INDUSTRY_REC_NO_CIQ">"c4983"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EST_CIQ">"c4541"</definedName>
    <definedName name="IQ_BASIC_OUTSTANDING_CURRENT_HIGH_EST">"c4129"</definedName>
    <definedName name="IQ_BASIC_OUTSTANDING_CURRENT_HIGH_EST_CIQ">"c4542"</definedName>
    <definedName name="IQ_BASIC_OUTSTANDING_CURRENT_LOW_EST">"c4130"</definedName>
    <definedName name="IQ_BASIC_OUTSTANDING_CURRENT_LOW_EST_CIQ">"c4543"</definedName>
    <definedName name="IQ_BASIC_OUTSTANDING_CURRENT_MEDIAN_EST">"c4131"</definedName>
    <definedName name="IQ_BASIC_OUTSTANDING_CURRENT_MEDIAN_EST_CIQ">"c4544"</definedName>
    <definedName name="IQ_BASIC_OUTSTANDING_CURRENT_NUM_EST">"c4132"</definedName>
    <definedName name="IQ_BASIC_OUTSTANDING_CURRENT_NUM_EST_CIQ">"c4545"</definedName>
    <definedName name="IQ_BASIC_OUTSTANDING_CURRENT_STDDEV_EST">"c4133"</definedName>
    <definedName name="IQ_BASIC_OUTSTANDING_CURRENT_STDDEV_EST_CIQ">"c4546"</definedName>
    <definedName name="IQ_BASIC_OUTSTANDING_EST">"c4134"</definedName>
    <definedName name="IQ_BASIC_OUTSTANDING_EST_CIQ">"c4547"</definedName>
    <definedName name="IQ_BASIC_OUTSTANDING_HIGH_EST">"c4135"</definedName>
    <definedName name="IQ_BASIC_OUTSTANDING_HIGH_EST_CIQ">"c4548"</definedName>
    <definedName name="IQ_BASIC_OUTSTANDING_LOW_EST">"c4136"</definedName>
    <definedName name="IQ_BASIC_OUTSTANDING_LOW_EST_CIQ">"c4549"</definedName>
    <definedName name="IQ_BASIC_OUTSTANDING_MEDIAN_EST">"c4137"</definedName>
    <definedName name="IQ_BASIC_OUTSTANDING_MEDIAN_EST_CIQ">"c4550"</definedName>
    <definedName name="IQ_BASIC_OUTSTANDING_NUM_EST">"c4138"</definedName>
    <definedName name="IQ_BASIC_OUTSTANDING_NUM_EST_CIQ">"c4551"</definedName>
    <definedName name="IQ_BASIC_OUTSTANDING_STDDEV_EST">"c4139"</definedName>
    <definedName name="IQ_BASIC_OUTSTANDING_STDDEV_EST_CIQ">"c4552"</definedName>
    <definedName name="IQ_BASIC_WEIGHT">"c87"</definedName>
    <definedName name="IQ_BASIC_WEIGHT_EST">"c4140"</definedName>
    <definedName name="IQ_BASIC_WEIGHT_EST_CIQ">"c4553"</definedName>
    <definedName name="IQ_BASIC_WEIGHT_GUIDANCE">"c4141"</definedName>
    <definedName name="IQ_BASIC_WEIGHT_HIGH_EST">"c4142"</definedName>
    <definedName name="IQ_BASIC_WEIGHT_HIGH_EST_CIQ">"c4554"</definedName>
    <definedName name="IQ_BASIC_WEIGHT_LOW_EST">"c4143"</definedName>
    <definedName name="IQ_BASIC_WEIGHT_LOW_EST_CIQ">"c4555"</definedName>
    <definedName name="IQ_BASIC_WEIGHT_MEDIAN_EST">"c4144"</definedName>
    <definedName name="IQ_BASIC_WEIGHT_MEDIAN_EST_CIQ">"c4556"</definedName>
    <definedName name="IQ_BASIC_WEIGHT_NUM_EST">"c4145"</definedName>
    <definedName name="IQ_BASIC_WEIGHT_NUM_EST_CIQ">"c4557"</definedName>
    <definedName name="IQ_BASIC_WEIGHT_STDDEV_EST">"c4146"</definedName>
    <definedName name="IQ_BASIC_WEIGHT_STDDEV_EST_CIQ">"c4558"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"c11749"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EST">"c5624"</definedName>
    <definedName name="IQ_BV_EST_CIQ">"c4737"</definedName>
    <definedName name="IQ_BV_HIGH_EST">"c5626"</definedName>
    <definedName name="IQ_BV_HIGH_EST_CIQ">"c4739"</definedName>
    <definedName name="IQ_BV_LOW_EST">"c5627"</definedName>
    <definedName name="IQ_BV_LOW_EST_CIQ">"c4740"</definedName>
    <definedName name="IQ_BV_MEDIAN_EST">"c5625"</definedName>
    <definedName name="IQ_BV_MEDIAN_EST_CIQ">"c4738"</definedName>
    <definedName name="IQ_BV_NUM_EST">"c5628"</definedName>
    <definedName name="IQ_BV_NUM_EST_CIQ">"c4741"</definedName>
    <definedName name="IQ_BV_OVER_SHARES">"c1349"</definedName>
    <definedName name="IQ_BV_SHARE">"c100"</definedName>
    <definedName name="IQ_BV_SHARE_ACT_OR_EST">"c3587"</definedName>
    <definedName name="IQ_BV_SHARE_ACT_OR_EST_CIQ">"c5072"</definedName>
    <definedName name="IQ_BV_SHARE_EST">"c3541"</definedName>
    <definedName name="IQ_BV_SHARE_EST_CIQ">"c3800"</definedName>
    <definedName name="IQ_BV_SHARE_HIGH_EST">"c3542"</definedName>
    <definedName name="IQ_BV_SHARE_HIGH_EST_CIQ">"c3802"</definedName>
    <definedName name="IQ_BV_SHARE_LOW_EST">"c3543"</definedName>
    <definedName name="IQ_BV_SHARE_LOW_EST_CIQ">"c3803"</definedName>
    <definedName name="IQ_BV_SHARE_MEDIAN_EST">"c3544"</definedName>
    <definedName name="IQ_BV_SHARE_MEDIAN_EST_CIQ">"c3801"</definedName>
    <definedName name="IQ_BV_SHARE_NUM_EST">"c3539"</definedName>
    <definedName name="IQ_BV_SHARE_NUM_EST_CIQ">"c3804"</definedName>
    <definedName name="IQ_BV_SHARE_STDDEV_EST">"c3540"</definedName>
    <definedName name="IQ_BV_SHARE_STDDEV_EST_CIQ">"c3805"</definedName>
    <definedName name="IQ_BV_STDDEV_EST">"c5629"</definedName>
    <definedName name="IQ_BV_STDDEV_EST_CIQ">"c4742"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">"c5071"</definedName>
    <definedName name="IQ_CAPEX_BNK">"c110"</definedName>
    <definedName name="IQ_CAPEX_BR">"c111"</definedName>
    <definedName name="IQ_CAPEX_EST">"c3523"</definedName>
    <definedName name="IQ_CAPEX_EST_CIQ">"c3807"</definedName>
    <definedName name="IQ_CAPEX_FIN">"c112"</definedName>
    <definedName name="IQ_CAPEX_GUIDANCE">"c4150"</definedName>
    <definedName name="IQ_CAPEX_GUIDANCE_CIQ">"c4562"</definedName>
    <definedName name="IQ_CAPEX_HIGH_EST">"c3524"</definedName>
    <definedName name="IQ_CAPEX_HIGH_EST_CIQ">"c3809"</definedName>
    <definedName name="IQ_CAPEX_HIGH_GUIDANCE">"c4180"</definedName>
    <definedName name="IQ_CAPEX_HIGH_GUIDANCE_CIQ">"c4592"</definedName>
    <definedName name="IQ_CAPEX_INS">"c113"</definedName>
    <definedName name="IQ_CAPEX_LOW_EST">"c3525"</definedName>
    <definedName name="IQ_CAPEX_LOW_EST_CIQ">"c3810"</definedName>
    <definedName name="IQ_CAPEX_LOW_GUIDANCE">"c4220"</definedName>
    <definedName name="IQ_CAPEX_LOW_GUIDANCE_CIQ">"c4632"</definedName>
    <definedName name="IQ_CAPEX_MEDIAN_EST">"c3526"</definedName>
    <definedName name="IQ_CAPEX_MEDIAN_EST_CIQ">"c3808"</definedName>
    <definedName name="IQ_CAPEX_NUM_EST">"c3521"</definedName>
    <definedName name="IQ_CAPEX_NUM_EST_CIQ">"c3811"</definedName>
    <definedName name="IQ_CAPEX_STDDEV_EST">"c3522"</definedName>
    <definedName name="IQ_CAPEX_STDDEV_EST_CIQ">"c3812"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EST">"c4153"</definedName>
    <definedName name="IQ_CASH_FLOW_EST_CIQ">"c4565"</definedName>
    <definedName name="IQ_CASH_FLOW_GUIDANCE">"c4155"</definedName>
    <definedName name="IQ_CASH_FLOW_GUIDANCE_CIQ">"c4567"</definedName>
    <definedName name="IQ_CASH_FLOW_HIGH_EST">"c4156"</definedName>
    <definedName name="IQ_CASH_FLOW_HIGH_EST_CIQ">"c4568"</definedName>
    <definedName name="IQ_CASH_FLOW_HIGH_GUIDANCE">"c4201"</definedName>
    <definedName name="IQ_CASH_FLOW_HIGH_GUIDANCE_CIQ">"c4613"</definedName>
    <definedName name="IQ_CASH_FLOW_LOW_EST">"c4157"</definedName>
    <definedName name="IQ_CASH_FLOW_LOW_EST_CIQ">"c4569"</definedName>
    <definedName name="IQ_CASH_FLOW_LOW_GUIDANCE">"c4241"</definedName>
    <definedName name="IQ_CASH_FLOW_LOW_GUIDANCE_CIQ">"c4653"</definedName>
    <definedName name="IQ_CASH_FLOW_MEDIAN_EST">"c4158"</definedName>
    <definedName name="IQ_CASH_FLOW_MEDIAN_EST_CIQ">"c4570"</definedName>
    <definedName name="IQ_CASH_FLOW_NUM_EST">"c4159"</definedName>
    <definedName name="IQ_CASH_FLOW_NUM_EST_CIQ">"c4571"</definedName>
    <definedName name="IQ_CASH_FLOW_STDDEV_EST">"c4160"</definedName>
    <definedName name="IQ_CASH_FLOW_STDDEV_EST_CIQ">"c4572"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EST_CIQ">"c4575"</definedName>
    <definedName name="IQ_CASH_OPER_GUIDANCE">"c4165"</definedName>
    <definedName name="IQ_CASH_OPER_GUIDANCE_CIQ">"c4577"</definedName>
    <definedName name="IQ_CASH_OPER_HIGH_EST">"c4166"</definedName>
    <definedName name="IQ_CASH_OPER_HIGH_EST_CIQ">"c4578"</definedName>
    <definedName name="IQ_CASH_OPER_HIGH_GUIDANCE">"c4185"</definedName>
    <definedName name="IQ_CASH_OPER_HIGH_GUIDANCE_CIQ">"c4597"</definedName>
    <definedName name="IQ_CASH_OPER_LOW_EST">"c4244"</definedName>
    <definedName name="IQ_CASH_OPER_LOW_EST_CIQ">"c4768"</definedName>
    <definedName name="IQ_CASH_OPER_LOW_GUIDANCE">"c4225"</definedName>
    <definedName name="IQ_CASH_OPER_LOW_GUIDANCE_CIQ">"c4637"</definedName>
    <definedName name="IQ_CASH_OPER_MEDIAN_EST">"c4245"</definedName>
    <definedName name="IQ_CASH_OPER_MEDIAN_EST_CIQ">"c4771"</definedName>
    <definedName name="IQ_CASH_OPER_NAME_AP">"c8926"</definedName>
    <definedName name="IQ_CASH_OPER_NAME_AP_ABS">"c8945"</definedName>
    <definedName name="IQ_CASH_OPER_NUM_EST">"c4246"</definedName>
    <definedName name="IQ_CASH_OPER_NUM_EST_CIQ">"c4772"</definedName>
    <definedName name="IQ_CASH_OPER_STDDEV_EST">"c4247"</definedName>
    <definedName name="IQ_CASH_OPER_STDDEV_EST_CIQ">"c4773"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EST_CIQ">"c4775"</definedName>
    <definedName name="IQ_CASH_ST_INVEST_GUIDANCE">"c4250"</definedName>
    <definedName name="IQ_CASH_ST_INVEST_GUIDANCE_CIQ">"c4776"</definedName>
    <definedName name="IQ_CASH_ST_INVEST_HIGH_EST">"c4251"</definedName>
    <definedName name="IQ_CASH_ST_INVEST_HIGH_EST_CIQ">"c4777"</definedName>
    <definedName name="IQ_CASH_ST_INVEST_HIGH_GUIDANCE">"c4195"</definedName>
    <definedName name="IQ_CASH_ST_INVEST_HIGH_GUIDANCE_CIQ">"c4607"</definedName>
    <definedName name="IQ_CASH_ST_INVEST_LOW_EST">"c4252"</definedName>
    <definedName name="IQ_CASH_ST_INVEST_LOW_EST_CIQ">"c4778"</definedName>
    <definedName name="IQ_CASH_ST_INVEST_LOW_GUIDANCE">"c4235"</definedName>
    <definedName name="IQ_CASH_ST_INVEST_LOW_GUIDANCE_CIQ">"c4647"</definedName>
    <definedName name="IQ_CASH_ST_INVEST_MEDIAN_EST">"c4253"</definedName>
    <definedName name="IQ_CASH_ST_INVEST_MEDIAN_EST_CIQ">"c4779"</definedName>
    <definedName name="IQ_CASH_ST_INVEST_NUM_EST">"c4254"</definedName>
    <definedName name="IQ_CASH_ST_INVEST_NUM_EST_CIQ">"c4780"</definedName>
    <definedName name="IQ_CASH_ST_INVEST_STDDEV_EST">"c4255"</definedName>
    <definedName name="IQ_CASH_ST_INVEST_STDDEV_EST_CIQ">"c4781"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CIQ">"c5061"</definedName>
    <definedName name="IQ_CFPS_EST">"c1667"</definedName>
    <definedName name="IQ_CFPS_EST_CIQ">"c3675"</definedName>
    <definedName name="IQ_CFPS_GUIDANCE">"c4256"</definedName>
    <definedName name="IQ_CFPS_GUIDANCE_CIQ">"c4782"</definedName>
    <definedName name="IQ_CFPS_HIGH_EST">"c1669"</definedName>
    <definedName name="IQ_CFPS_HIGH_EST_CIQ">"c3677"</definedName>
    <definedName name="IQ_CFPS_HIGH_GUIDANCE">"c4167"</definedName>
    <definedName name="IQ_CFPS_HIGH_GUIDANCE_CIQ">"c4579"</definedName>
    <definedName name="IQ_CFPS_LOW_EST">"c1670"</definedName>
    <definedName name="IQ_CFPS_LOW_EST_CIQ">"c3678"</definedName>
    <definedName name="IQ_CFPS_LOW_GUIDANCE">"c4207"</definedName>
    <definedName name="IQ_CFPS_LOW_GUIDANCE_CIQ">"c4619"</definedName>
    <definedName name="IQ_CFPS_MEDIAN_EST">"c1668"</definedName>
    <definedName name="IQ_CFPS_MEDIAN_EST_CIQ">"c3676"</definedName>
    <definedName name="IQ_CFPS_NUM_EST">"c1671"</definedName>
    <definedName name="IQ_CFPS_NUM_EST_CIQ">"c3679"</definedName>
    <definedName name="IQ_CFPS_STDDEV_EST">"c1672"</definedName>
    <definedName name="IQ_CFPS_STDDEV_EST_CIQ">"c3680"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EST_CIQ">"c4783"</definedName>
    <definedName name="IQ_DEBT_EQUITY_HIGH_EST">"c4258"</definedName>
    <definedName name="IQ_DEBT_EQUITY_HIGH_EST_CIQ">"c4784"</definedName>
    <definedName name="IQ_DEBT_EQUITY_LOW_EST">"c4259"</definedName>
    <definedName name="IQ_DEBT_EQUITY_LOW_EST_CIQ">"c4785"</definedName>
    <definedName name="IQ_DEBT_EQUITY_MEDIAN_EST">"c4260"</definedName>
    <definedName name="IQ_DEBT_EQUITY_MEDIAN_EST_CIQ">"c4786"</definedName>
    <definedName name="IQ_DEBT_EQUITY_NUM_EST">"c4261"</definedName>
    <definedName name="IQ_DEBT_EQUITY_NUM_EST_CIQ">"c4787"</definedName>
    <definedName name="IQ_DEBT_EQUITY_STDDEV_EST">"c4262"</definedName>
    <definedName name="IQ_DEBT_EQUITY_STDDEV_EST_CIQ">"c4788"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CIQ">"c4767"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EST_CIQ">"c4789"</definedName>
    <definedName name="IQ_DILUT_OUTSTANDING_CURRENT_HIGH_EST">"c4264"</definedName>
    <definedName name="IQ_DILUT_OUTSTANDING_CURRENT_HIGH_EST_CIQ">"c4790"</definedName>
    <definedName name="IQ_DILUT_OUTSTANDING_CURRENT_LOW_EST">"c4265"</definedName>
    <definedName name="IQ_DILUT_OUTSTANDING_CURRENT_LOW_EST_CIQ">"c4791"</definedName>
    <definedName name="IQ_DILUT_OUTSTANDING_CURRENT_MEDIAN_EST">"c4266"</definedName>
    <definedName name="IQ_DILUT_OUTSTANDING_CURRENT_MEDIAN_EST_CIQ">"c4792"</definedName>
    <definedName name="IQ_DILUT_OUTSTANDING_CURRENT_NUM_EST">"c4267"</definedName>
    <definedName name="IQ_DILUT_OUTSTANDING_CURRENT_NUM_EST_CIQ">"c4793"</definedName>
    <definedName name="IQ_DILUT_OUTSTANDING_CURRENT_STDDEV_EST">"c4268"</definedName>
    <definedName name="IQ_DILUT_OUTSTANDING_CURRENT_STDDEV_EST_CIQ">"c4794"</definedName>
    <definedName name="IQ_DILUT_WEIGHT">"c326"</definedName>
    <definedName name="IQ_DILUT_WEIGHT_EST">"c4269"</definedName>
    <definedName name="IQ_DILUT_WEIGHT_EST_CIQ">"c4795"</definedName>
    <definedName name="IQ_DILUT_WEIGHT_GUIDANCE">"c4270"</definedName>
    <definedName name="IQ_DILUT_WEIGHT_HIGH_EST">"c4271"</definedName>
    <definedName name="IQ_DILUT_WEIGHT_HIGH_EST_CIQ">"c4796"</definedName>
    <definedName name="IQ_DILUT_WEIGHT_LOW_EST">"c4272"</definedName>
    <definedName name="IQ_DILUT_WEIGHT_LOW_EST_CIQ">"c4797"</definedName>
    <definedName name="IQ_DILUT_WEIGHT_MEDIAN_EST">"c4273"</definedName>
    <definedName name="IQ_DILUT_WEIGHT_MEDIAN_EST_CIQ">"c4798"</definedName>
    <definedName name="IQ_DILUT_WEIGHT_NUM_EST">"c4274"</definedName>
    <definedName name="IQ_DILUT_WEIGHT_NUM_EST_CIQ">"c4799"</definedName>
    <definedName name="IQ_DILUT_WEIGHT_STDDEV_EST">"c4275"</definedName>
    <definedName name="IQ_DILUT_WEIGHT_STDDEV_EST_CIQ">"c4800"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">"c4277"</definedName>
    <definedName name="IQ_DISTRIBUTABLE_CASH_EST_CIQ">"c4802"</definedName>
    <definedName name="IQ_DISTRIBUTABLE_CASH_GUIDANCE">"c4279"</definedName>
    <definedName name="IQ_DISTRIBUTABLE_CASH_GUIDANCE_CIQ">"c4804"</definedName>
    <definedName name="IQ_DISTRIBUTABLE_CASH_HIGH_EST">"c4280"</definedName>
    <definedName name="IQ_DISTRIBUTABLE_CASH_HIGH_EST_CIQ">"c4805"</definedName>
    <definedName name="IQ_DISTRIBUTABLE_CASH_HIGH_GUIDANCE">"c4198"</definedName>
    <definedName name="IQ_DISTRIBUTABLE_CASH_HIGH_GUIDANCE_CIQ">"c4610"</definedName>
    <definedName name="IQ_DISTRIBUTABLE_CASH_LOW_EST">"c4281"</definedName>
    <definedName name="IQ_DISTRIBUTABLE_CASH_LOW_EST_CIQ">"c4806"</definedName>
    <definedName name="IQ_DISTRIBUTABLE_CASH_LOW_GUIDANCE">"c4238"</definedName>
    <definedName name="IQ_DISTRIBUTABLE_CASH_LOW_GUIDANCE_CIQ">"c4650"</definedName>
    <definedName name="IQ_DISTRIBUTABLE_CASH_MEDIAN_EST">"c4282"</definedName>
    <definedName name="IQ_DISTRIBUTABLE_CASH_MEDIAN_EST_CIQ">"c4807"</definedName>
    <definedName name="IQ_DISTRIBUTABLE_CASH_NUM_EST">"c4283"</definedName>
    <definedName name="IQ_DISTRIBUTABLE_CASH_NUM_EST_CIQ">"c4808"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">"c4285"</definedName>
    <definedName name="IQ_DISTRIBUTABLE_CASH_SHARE_EST_CIQ">"c4810"</definedName>
    <definedName name="IQ_DISTRIBUTABLE_CASH_SHARE_GUIDANCE">"c4287"</definedName>
    <definedName name="IQ_DISTRIBUTABLE_CASH_SHARE_GUIDANCE_CIQ">"c4812"</definedName>
    <definedName name="IQ_DISTRIBUTABLE_CASH_SHARE_HIGH_EST">"c4288"</definedName>
    <definedName name="IQ_DISTRIBUTABLE_CASH_SHARE_HIGH_EST_CIQ">"c4813"</definedName>
    <definedName name="IQ_DISTRIBUTABLE_CASH_SHARE_HIGH_GUIDANCE">"c4199"</definedName>
    <definedName name="IQ_DISTRIBUTABLE_CASH_SHARE_HIGH_GUIDANCE_CIQ">"c4611"</definedName>
    <definedName name="IQ_DISTRIBUTABLE_CASH_SHARE_LOW_EST">"c4289"</definedName>
    <definedName name="IQ_DISTRIBUTABLE_CASH_SHARE_LOW_EST_CIQ">"c4814"</definedName>
    <definedName name="IQ_DISTRIBUTABLE_CASH_SHARE_LOW_GUIDANCE">"c4239"</definedName>
    <definedName name="IQ_DISTRIBUTABLE_CASH_SHARE_LOW_GUIDANCE_CIQ">"c4651"</definedName>
    <definedName name="IQ_DISTRIBUTABLE_CASH_SHARE_MEDIAN_EST">"c4290"</definedName>
    <definedName name="IQ_DISTRIBUTABLE_CASH_SHARE_MEDIAN_EST_CIQ">"c4815"</definedName>
    <definedName name="IQ_DISTRIBUTABLE_CASH_SHARE_NUM_EST">"c4291"</definedName>
    <definedName name="IQ_DISTRIBUTABLE_CASH_SHARE_NUM_EST_CIQ">"c4816"</definedName>
    <definedName name="IQ_DISTRIBUTABLE_CASH_SHARE_STDDEV_EST">"c4292"</definedName>
    <definedName name="IQ_DISTRIBUTABLE_CASH_SHARE_STDDEV_EST_CIQ">"c4817"</definedName>
    <definedName name="IQ_DISTRIBUTABLE_CASH_STDDEV_EST">"c4294"</definedName>
    <definedName name="IQ_DISTRIBUTABLE_CASH_STDDEV_EST_CIQ">"c4819"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EST_CIQ">"c4821"</definedName>
    <definedName name="IQ_DIVIDEND_HIGH_EST">"c4297"</definedName>
    <definedName name="IQ_DIVIDEND_HIGH_EST_CIQ">"c4822"</definedName>
    <definedName name="IQ_DIVIDEND_LOW_EST">"c4298"</definedName>
    <definedName name="IQ_DIVIDEND_LOW_EST_CIQ">"c4823"</definedName>
    <definedName name="IQ_DIVIDEND_MEDIAN_EST">"c4299"</definedName>
    <definedName name="IQ_DIVIDEND_MEDIAN_EST_CIQ">"c4824"</definedName>
    <definedName name="IQ_DIVIDEND_NUM_EST">"c4300"</definedName>
    <definedName name="IQ_DIVIDEND_NUM_EST_CIQ">"c4825"</definedName>
    <definedName name="IQ_DIVIDEND_STDDEV_EST">"c4301"</definedName>
    <definedName name="IQ_DIVIDEND_STDDEV_EST_CIQ">"c4826"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">"c5062"</definedName>
    <definedName name="IQ_DPS_EST">"c1674"</definedName>
    <definedName name="IQ_DPS_EST_BOTTOM_UP">"c5493"</definedName>
    <definedName name="IQ_DPS_EST_BOTTOM_UP_CIQ">"c12030"</definedName>
    <definedName name="IQ_DPS_EST_CIQ">"c3682"</definedName>
    <definedName name="IQ_DPS_GUIDANCE">"c4302"</definedName>
    <definedName name="IQ_DPS_GUIDANCE_CIQ">"c4827"</definedName>
    <definedName name="IQ_DPS_HIGH_EST">"c1676"</definedName>
    <definedName name="IQ_DPS_HIGH_EST_CIQ">"c3684"</definedName>
    <definedName name="IQ_DPS_HIGH_GUIDANCE">"c4168"</definedName>
    <definedName name="IQ_DPS_HIGH_GUIDANCE_CIQ">"c4580"</definedName>
    <definedName name="IQ_DPS_LOW_EST">"c1677"</definedName>
    <definedName name="IQ_DPS_LOW_EST_CIQ">"c3685"</definedName>
    <definedName name="IQ_DPS_LOW_GUIDANCE">"c4208"</definedName>
    <definedName name="IQ_DPS_LOW_GUIDANCE_CIQ">"c4620"</definedName>
    <definedName name="IQ_DPS_MEDIAN_EST">"c1675"</definedName>
    <definedName name="IQ_DPS_MEDIAN_EST_CIQ">"c3683"</definedName>
    <definedName name="IQ_DPS_NUM_EST">"c1678"</definedName>
    <definedName name="IQ_DPS_NUM_EST_CIQ">"c3686"</definedName>
    <definedName name="IQ_DPS_STDDEV_EST">"c1679"</definedName>
    <definedName name="IQ_DPS_STDDEV_EST_CIQ">"c3687"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">"c5063"</definedName>
    <definedName name="IQ_EBIT_EQ_INC">"c3498"</definedName>
    <definedName name="IQ_EBIT_EQ_INC_EXCL_SBC">"c3502"</definedName>
    <definedName name="IQ_EBIT_EST">"c1681"</definedName>
    <definedName name="IQ_EBIT_EST_CIQ">"c4674"</definedName>
    <definedName name="IQ_EBIT_EXCL_SBC">"c3082"</definedName>
    <definedName name="IQ_EBIT_GUIDANCE">"c4303"</definedName>
    <definedName name="IQ_EBIT_GUIDANCE_CIQ">"c4828"</definedName>
    <definedName name="IQ_EBIT_GW_ACT_OR_EST">"c4306"</definedName>
    <definedName name="IQ_EBIT_GW_ACT_OR_EST_CIQ">"c4831"</definedName>
    <definedName name="IQ_EBIT_GW_EST">"c4305"</definedName>
    <definedName name="IQ_EBIT_GW_EST_CIQ">"c4830"</definedName>
    <definedName name="IQ_EBIT_GW_GUIDANCE">"c4307"</definedName>
    <definedName name="IQ_EBIT_GW_GUIDANCE_CIQ">"c4832"</definedName>
    <definedName name="IQ_EBIT_GW_HIGH_EST">"c4308"</definedName>
    <definedName name="IQ_EBIT_GW_HIGH_EST_CIQ">"c4833"</definedName>
    <definedName name="IQ_EBIT_GW_HIGH_GUIDANCE">"c4171"</definedName>
    <definedName name="IQ_EBIT_GW_HIGH_GUIDANCE_CIQ">"c4583"</definedName>
    <definedName name="IQ_EBIT_GW_LOW_EST">"c4309"</definedName>
    <definedName name="IQ_EBIT_GW_LOW_EST_CIQ">"c4834"</definedName>
    <definedName name="IQ_EBIT_GW_LOW_GUIDANCE">"c4211"</definedName>
    <definedName name="IQ_EBIT_GW_LOW_GUIDANCE_CIQ">"c4623"</definedName>
    <definedName name="IQ_EBIT_GW_MEDIAN_EST">"c4310"</definedName>
    <definedName name="IQ_EBIT_GW_MEDIAN_EST_CIQ">"c4835"</definedName>
    <definedName name="IQ_EBIT_GW_NUM_EST">"c4311"</definedName>
    <definedName name="IQ_EBIT_GW_NUM_EST_CIQ">"c4836"</definedName>
    <definedName name="IQ_EBIT_GW_STDDEV_EST">"c4312"</definedName>
    <definedName name="IQ_EBIT_GW_STDDEV_EST_CIQ">"c4837"</definedName>
    <definedName name="IQ_EBIT_HIGH_EST">"c1683"</definedName>
    <definedName name="IQ_EBIT_HIGH_EST_CIQ">"c4676"</definedName>
    <definedName name="IQ_EBIT_HIGH_GUIDANCE">"c4172"</definedName>
    <definedName name="IQ_EBIT_HIGH_GUIDANCE_CIQ">"c4584"</definedName>
    <definedName name="IQ_EBIT_INT">"c360"</definedName>
    <definedName name="IQ_EBIT_LOW_EST">"c1684"</definedName>
    <definedName name="IQ_EBIT_LOW_EST_CIQ">"c4677"</definedName>
    <definedName name="IQ_EBIT_LOW_GUIDANCE">"c4212"</definedName>
    <definedName name="IQ_EBIT_LOW_GUIDANCE_CIQ">"c4624"</definedName>
    <definedName name="IQ_EBIT_MARGIN">"c359"</definedName>
    <definedName name="IQ_EBIT_MEDIAN_EST">"c1682"</definedName>
    <definedName name="IQ_EBIT_MEDIAN_EST_CIQ">"c4675"</definedName>
    <definedName name="IQ_EBIT_NUM_EST">"c1685"</definedName>
    <definedName name="IQ_EBIT_NUM_EST_CIQ">"c4678"</definedName>
    <definedName name="IQ_EBIT_OVER_IE">"c1369"</definedName>
    <definedName name="IQ_EBIT_SBC_ACT_OR_EST">"c4316"</definedName>
    <definedName name="IQ_EBIT_SBC_ACT_OR_EST_CIQ">"c4841"</definedName>
    <definedName name="IQ_EBIT_SBC_EST">"c4315"</definedName>
    <definedName name="IQ_EBIT_SBC_EST_CIQ">"c4840"</definedName>
    <definedName name="IQ_EBIT_SBC_GUIDANCE">"c4317"</definedName>
    <definedName name="IQ_EBIT_SBC_GUIDANCE_CIQ">"c4842"</definedName>
    <definedName name="IQ_EBIT_SBC_GW_ACT_OR_EST">"c4320"</definedName>
    <definedName name="IQ_EBIT_SBC_GW_ACT_OR_EST_CIQ">"c4845"</definedName>
    <definedName name="IQ_EBIT_SBC_GW_EST">"c4319"</definedName>
    <definedName name="IQ_EBIT_SBC_GW_EST_CIQ">"c4844"</definedName>
    <definedName name="IQ_EBIT_SBC_GW_GUIDANCE">"c4321"</definedName>
    <definedName name="IQ_EBIT_SBC_GW_GUIDANCE_CIQ">"c4846"</definedName>
    <definedName name="IQ_EBIT_SBC_GW_HIGH_EST">"c4322"</definedName>
    <definedName name="IQ_EBIT_SBC_GW_HIGH_EST_CIQ">"c4847"</definedName>
    <definedName name="IQ_EBIT_SBC_GW_HIGH_GUIDANCE">"c4193"</definedName>
    <definedName name="IQ_EBIT_SBC_GW_HIGH_GUIDANCE_CIQ">"c4605"</definedName>
    <definedName name="IQ_EBIT_SBC_GW_LOW_EST">"c4323"</definedName>
    <definedName name="IQ_EBIT_SBC_GW_LOW_EST_CIQ">"c4848"</definedName>
    <definedName name="IQ_EBIT_SBC_GW_LOW_GUIDANCE">"c4233"</definedName>
    <definedName name="IQ_EBIT_SBC_GW_LOW_GUIDANCE_CIQ">"c4645"</definedName>
    <definedName name="IQ_EBIT_SBC_GW_MEDIAN_EST">"c4324"</definedName>
    <definedName name="IQ_EBIT_SBC_GW_MEDIAN_EST_CIQ">"c4849"</definedName>
    <definedName name="IQ_EBIT_SBC_GW_NUM_EST">"c4325"</definedName>
    <definedName name="IQ_EBIT_SBC_GW_NUM_EST_CIQ">"c4850"</definedName>
    <definedName name="IQ_EBIT_SBC_GW_STDDEV_EST">"c4326"</definedName>
    <definedName name="IQ_EBIT_SBC_GW_STDDEV_EST_CIQ">"c4851"</definedName>
    <definedName name="IQ_EBIT_SBC_HIGH_EST">"c4328"</definedName>
    <definedName name="IQ_EBIT_SBC_HIGH_EST_CIQ">"c4853"</definedName>
    <definedName name="IQ_EBIT_SBC_HIGH_GUIDANCE">"c4192"</definedName>
    <definedName name="IQ_EBIT_SBC_HIGH_GUIDANCE_CIQ">"c4604"</definedName>
    <definedName name="IQ_EBIT_SBC_LOW_EST">"c4329"</definedName>
    <definedName name="IQ_EBIT_SBC_LOW_EST_CIQ">"c4854"</definedName>
    <definedName name="IQ_EBIT_SBC_LOW_GUIDANCE">"c4232"</definedName>
    <definedName name="IQ_EBIT_SBC_LOW_GUIDANCE_CIQ">"c4644"</definedName>
    <definedName name="IQ_EBIT_SBC_MEDIAN_EST">"c4330"</definedName>
    <definedName name="IQ_EBIT_SBC_MEDIAN_EST_CIQ">"c4855"</definedName>
    <definedName name="IQ_EBIT_SBC_NUM_EST">"c4331"</definedName>
    <definedName name="IQ_EBIT_SBC_NUM_EST_CIQ">"c4856"</definedName>
    <definedName name="IQ_EBIT_SBC_STDDEV_EST">"c4332"</definedName>
    <definedName name="IQ_EBIT_SBC_STDDEV_EST_CIQ">"c4857"</definedName>
    <definedName name="IQ_EBIT_STDDEV_EST">"c1686"</definedName>
    <definedName name="IQ_EBIT_STDDEV_EST_CIQ">"c4679"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XCL_SBC">"c3081"</definedName>
    <definedName name="IQ_EBITDA_GUIDANCE">"c4334"</definedName>
    <definedName name="IQ_EBITDA_GUIDANCE_CIQ">"c4859"</definedName>
    <definedName name="IQ_EBITDA_HIGH_EST">"c370"</definedName>
    <definedName name="IQ_EBITDA_HIGH_EST_CIQ">"c3624"</definedName>
    <definedName name="IQ_EBITDA_HIGH_GUIDANCE">"c4170"</definedName>
    <definedName name="IQ_EBITDA_HIGH_GUIDANCE_CIQ">"c4582"</definedName>
    <definedName name="IQ_EBITDA_INT">"c373"</definedName>
    <definedName name="IQ_EBITDA_LOW_EST">"c371"</definedName>
    <definedName name="IQ_EBITDA_LOW_EST_CIQ">"c3625"</definedName>
    <definedName name="IQ_EBITDA_LOW_GUIDANCE">"c4210"</definedName>
    <definedName name="IQ_EBITDA_LOW_GUIDANCE_CIQ">"c4622"</definedName>
    <definedName name="IQ_EBITDA_MARGIN">"c372"</definedName>
    <definedName name="IQ_EBITDA_MEDIAN_EST">"c1663"</definedName>
    <definedName name="IQ_EBITDA_MEDIAN_EST_CIQ">"c3623"</definedName>
    <definedName name="IQ_EBITDA_NUM_EST">"c374"</definedName>
    <definedName name="IQ_EBITDA_NUM_EST_CIQ">"c3626"</definedName>
    <definedName name="IQ_EBITDA_OVER_TOTAL_IE">"c1371"</definedName>
    <definedName name="IQ_EBITDA_SBC_ACT_OR_EST">"c4337"</definedName>
    <definedName name="IQ_EBITDA_SBC_ACT_OR_EST_CIQ">"c4862"</definedName>
    <definedName name="IQ_EBITDA_SBC_EST">"c4336"</definedName>
    <definedName name="IQ_EBITDA_SBC_EST_CIQ">"c4861"</definedName>
    <definedName name="IQ_EBITDA_SBC_GUIDANCE">"c4338"</definedName>
    <definedName name="IQ_EBITDA_SBC_GUIDANCE_CIQ">"c4863"</definedName>
    <definedName name="IQ_EBITDA_SBC_HIGH_EST">"c4339"</definedName>
    <definedName name="IQ_EBITDA_SBC_HIGH_EST_CIQ">"c4864"</definedName>
    <definedName name="IQ_EBITDA_SBC_HIGH_GUIDANCE">"c4194"</definedName>
    <definedName name="IQ_EBITDA_SBC_HIGH_GUIDANCE_CIQ">"c4606"</definedName>
    <definedName name="IQ_EBITDA_SBC_LOW_EST">"c4340"</definedName>
    <definedName name="IQ_EBITDA_SBC_LOW_EST_CIQ">"c4865"</definedName>
    <definedName name="IQ_EBITDA_SBC_LOW_GUIDANCE">"c4234"</definedName>
    <definedName name="IQ_EBITDA_SBC_LOW_GUIDANCE_CIQ">"c4646"</definedName>
    <definedName name="IQ_EBITDA_SBC_MEDIAN_EST">"c4341"</definedName>
    <definedName name="IQ_EBITDA_SBC_MEDIAN_EST_CIQ">"c4866"</definedName>
    <definedName name="IQ_EBITDA_SBC_NUM_EST">"c4342"</definedName>
    <definedName name="IQ_EBITDA_SBC_NUM_EST_CIQ">"c4867"</definedName>
    <definedName name="IQ_EBITDA_SBC_STDDEV_EST">"c4343"</definedName>
    <definedName name="IQ_EBITDA_SBC_STDDEV_EST_CIQ">"c4868"</definedName>
    <definedName name="IQ_EBITDA_STDDEV_EST">"c375"</definedName>
    <definedName name="IQ_EBITDA_STDDEV_EST_CIQ">"c3627"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GUIDANCE_CIQ">"c4870"</definedName>
    <definedName name="IQ_EBT_GAAP_HIGH_GUIDANCE">"c4174"</definedName>
    <definedName name="IQ_EBT_GAAP_HIGH_GUIDANCE_CIQ">"c4586"</definedName>
    <definedName name="IQ_EBT_GAAP_LOW_GUIDANCE">"c4214"</definedName>
    <definedName name="IQ_EBT_GAAP_LOW_GUIDANCE_CIQ">"c4626"</definedName>
    <definedName name="IQ_EBT_GUIDANCE">"c4346"</definedName>
    <definedName name="IQ_EBT_GUIDANCE_CIQ">"c4871"</definedName>
    <definedName name="IQ_EBT_GW_GUIDANCE">"c4347"</definedName>
    <definedName name="IQ_EBT_GW_GUIDANCE_CIQ">"c4872"</definedName>
    <definedName name="IQ_EBT_GW_HIGH_GUIDANCE">"c4175"</definedName>
    <definedName name="IQ_EBT_GW_HIGH_GUIDANCE_CIQ">"c4587"</definedName>
    <definedName name="IQ_EBT_GW_LOW_GUIDANCE">"c4215"</definedName>
    <definedName name="IQ_EBT_GW_LOW_GUIDANCE_CIQ">"c4627"</definedName>
    <definedName name="IQ_EBT_HIGH_GUIDANCE">"c4173"</definedName>
    <definedName name="IQ_EBT_HIGH_GUIDANCE_CIQ">"c4585"</definedName>
    <definedName name="IQ_EBT_INCL_MARGIN">"c387"</definedName>
    <definedName name="IQ_EBT_INS">"c388"</definedName>
    <definedName name="IQ_EBT_LOW_GUIDANCE">"c4213"</definedName>
    <definedName name="IQ_EBT_LOW_GUIDANCE_CIQ">"c4625"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EST">"c4349"</definedName>
    <definedName name="IQ_EBT_SBC_EST_CIQ">"c4874"</definedName>
    <definedName name="IQ_EBT_SBC_GUIDANCE">"c4351"</definedName>
    <definedName name="IQ_EBT_SBC_GUIDANCE_CIQ">"c4876"</definedName>
    <definedName name="IQ_EBT_SBC_GW_ACT_OR_EST">"c4354"</definedName>
    <definedName name="IQ_EBT_SBC_GW_ACT_OR_EST_CIQ">"c4879"</definedName>
    <definedName name="IQ_EBT_SBC_GW_EST">"c4353"</definedName>
    <definedName name="IQ_EBT_SBC_GW_EST_CIQ">"c4878"</definedName>
    <definedName name="IQ_EBT_SBC_GW_GUIDANCE">"c4355"</definedName>
    <definedName name="IQ_EBT_SBC_GW_GUIDANCE_CIQ">"c4880"</definedName>
    <definedName name="IQ_EBT_SBC_GW_HIGH_EST">"c4356"</definedName>
    <definedName name="IQ_EBT_SBC_GW_HIGH_EST_CIQ">"c4881"</definedName>
    <definedName name="IQ_EBT_SBC_GW_HIGH_GUIDANCE">"c4191"</definedName>
    <definedName name="IQ_EBT_SBC_GW_HIGH_GUIDANCE_CIQ">"c4603"</definedName>
    <definedName name="IQ_EBT_SBC_GW_LOW_EST">"c4357"</definedName>
    <definedName name="IQ_EBT_SBC_GW_LOW_EST_CIQ">"c4882"</definedName>
    <definedName name="IQ_EBT_SBC_GW_LOW_GUIDANCE">"c4231"</definedName>
    <definedName name="IQ_EBT_SBC_GW_LOW_GUIDANCE_CIQ">"c4643"</definedName>
    <definedName name="IQ_EBT_SBC_GW_MEDIAN_EST">"c4358"</definedName>
    <definedName name="IQ_EBT_SBC_GW_MEDIAN_EST_CIQ">"c4883"</definedName>
    <definedName name="IQ_EBT_SBC_GW_NUM_EST">"c4359"</definedName>
    <definedName name="IQ_EBT_SBC_GW_NUM_EST_CIQ">"c4884"</definedName>
    <definedName name="IQ_EBT_SBC_GW_STDDEV_EST">"c4360"</definedName>
    <definedName name="IQ_EBT_SBC_GW_STDDEV_EST_CIQ">"c4885"</definedName>
    <definedName name="IQ_EBT_SBC_HIGH_EST">"c4362"</definedName>
    <definedName name="IQ_EBT_SBC_HIGH_EST_CIQ">"c4887"</definedName>
    <definedName name="IQ_EBT_SBC_HIGH_GUIDANCE">"c4190"</definedName>
    <definedName name="IQ_EBT_SBC_HIGH_GUIDANCE_CIQ">"c4602"</definedName>
    <definedName name="IQ_EBT_SBC_LOW_EST">"c4363"</definedName>
    <definedName name="IQ_EBT_SBC_LOW_EST_CIQ">"c4888"</definedName>
    <definedName name="IQ_EBT_SBC_LOW_GUIDANCE">"c4230"</definedName>
    <definedName name="IQ_EBT_SBC_LOW_GUIDANCE_CIQ">"c4642"</definedName>
    <definedName name="IQ_EBT_SBC_MEDIAN_EST">"c4364"</definedName>
    <definedName name="IQ_EBT_SBC_MEDIAN_EST_CIQ">"c4889"</definedName>
    <definedName name="IQ_EBT_SBC_NUM_EST">"c4365"</definedName>
    <definedName name="IQ_EBT_SBC_NUM_EST_CIQ">"c4890"</definedName>
    <definedName name="IQ_EBT_SBC_STDDEV_EST">"c4366"</definedName>
    <definedName name="IQ_EBT_SBC_STDDEV_EST_CIQ">"c4891"</definedName>
    <definedName name="IQ_EBT_SUBTOTAL_AP">"c8982"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27">"c6927"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147">"c7147"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367">"c7367"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587">"c7587"</definedName>
    <definedName name="IQ_ECO_METRIC_7648_UNUSED_UNUSED_UNUSED">"c7648"</definedName>
    <definedName name="IQ_ECO_METRIC_7704">"c7704"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_UNUSED_UNUSED">"c8436"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P">"c8880"</definedName>
    <definedName name="IQ_EPS_AP_ABS">"c8899"</definedName>
    <definedName name="IQ_EPS_EST">"c399"</definedName>
    <definedName name="IQ_EPS_EST_BOTTOM_UP">"c5489"</definedName>
    <definedName name="IQ_EPS_EST_BOTTOM_UP_CIQ">"c12026"</definedName>
    <definedName name="IQ_EPS_EST_CIQ">"c4994"</definedName>
    <definedName name="IQ_EPS_EXCL_GUIDANCE">"c4368"</definedName>
    <definedName name="IQ_EPS_EXCL_GUIDANCE_CIQ">"c4893"</definedName>
    <definedName name="IQ_EPS_EXCL_HIGH_GUIDANCE">"c4369"</definedName>
    <definedName name="IQ_EPS_EXCL_HIGH_GUIDANCE_CIQ">"c4894"</definedName>
    <definedName name="IQ_EPS_EXCL_LOW_GUIDANCE">"c4204"</definedName>
    <definedName name="IQ_EPS_EXCL_LOW_GUIDANCE_CIQ">"c4616"</definedName>
    <definedName name="IQ_EPS_GAAP_GUIDANCE">"c4370"</definedName>
    <definedName name="IQ_EPS_GAAP_GUIDANCE_CIQ">"c4895"</definedName>
    <definedName name="IQ_EPS_GAAP_HIGH_GUIDANCE">"c4371"</definedName>
    <definedName name="IQ_EPS_GAAP_HIGH_GUIDANCE_CIQ">"c4896"</definedName>
    <definedName name="IQ_EPS_GAAP_LOW_GUIDANCE">"c4205"</definedName>
    <definedName name="IQ_EPS_GAAP_LOW_GUIDANCE_CIQ">"c4617"</definedName>
    <definedName name="IQ_EPS_GW_ACT_OR_EST">"c2223"</definedName>
    <definedName name="IQ_EPS_GW_ACT_OR_EST_CIQ">"c5066"</definedName>
    <definedName name="IQ_EPS_GW_EST">"c1737"</definedName>
    <definedName name="IQ_EPS_GW_EST_BOTTOM_UP">"c5491"</definedName>
    <definedName name="IQ_EPS_GW_EST_BOTTOM_UP_CIQ">"c12028"</definedName>
    <definedName name="IQ_EPS_GW_EST_CIQ">"c4723"</definedName>
    <definedName name="IQ_EPS_GW_GUIDANCE">"c4372"</definedName>
    <definedName name="IQ_EPS_GW_GUIDANCE_CIQ">"c4897"</definedName>
    <definedName name="IQ_EPS_GW_HIGH_EST">"c1739"</definedName>
    <definedName name="IQ_EPS_GW_HIGH_EST_CIQ">"c4725"</definedName>
    <definedName name="IQ_EPS_GW_HIGH_GUIDANCE">"c4373"</definedName>
    <definedName name="IQ_EPS_GW_HIGH_GUIDANCE_CIQ">"c4898"</definedName>
    <definedName name="IQ_EPS_GW_LOW_EST">"c1740"</definedName>
    <definedName name="IQ_EPS_GW_LOW_EST_CIQ">"c4726"</definedName>
    <definedName name="IQ_EPS_GW_LOW_GUIDANCE">"c4206"</definedName>
    <definedName name="IQ_EPS_GW_LOW_GUIDANCE_CIQ">"c4618"</definedName>
    <definedName name="IQ_EPS_GW_MEDIAN_EST">"c1738"</definedName>
    <definedName name="IQ_EPS_GW_MEDIAN_EST_CIQ">"c4724"</definedName>
    <definedName name="IQ_EPS_GW_NUM_EST">"c1741"</definedName>
    <definedName name="IQ_EPS_GW_NUM_EST_CIQ">"c4727"</definedName>
    <definedName name="IQ_EPS_GW_STDDEV_EST">"c1742"</definedName>
    <definedName name="IQ_EPS_GW_STDDEV_EST_CIQ">"c4728"</definedName>
    <definedName name="IQ_EPS_HIGH_EST">"c400"</definedName>
    <definedName name="IQ_EPS_HIGH_EST_CIQ">"c4995"</definedName>
    <definedName name="IQ_EPS_LOW_EST">"c401"</definedName>
    <definedName name="IQ_EPS_LOW_EST_CIQ">"c4996"</definedName>
    <definedName name="IQ_EPS_MEDIAN_EST">"c1661"</definedName>
    <definedName name="IQ_EPS_MEDIAN_EST_CIQ">"c4997"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BOTTOM_UP">"c5490"</definedName>
    <definedName name="IQ_EPS_NORM_EST_BOTTOM_UP_CIQ">"c12027"</definedName>
    <definedName name="IQ_EPS_NORM_EST_CIQ">"c4667"</definedName>
    <definedName name="IQ_EPS_NORM_HIGH_EST">"c2228"</definedName>
    <definedName name="IQ_EPS_NORM_HIGH_EST_CIQ">"c4669"</definedName>
    <definedName name="IQ_EPS_NORM_LOW_EST">"c2229"</definedName>
    <definedName name="IQ_EPS_NORM_LOW_EST_CIQ">"c4670"</definedName>
    <definedName name="IQ_EPS_NORM_MEDIAN_EST">"c2227"</definedName>
    <definedName name="IQ_EPS_NORM_MEDIAN_EST_CIQ">"c4668"</definedName>
    <definedName name="IQ_EPS_NORM_NUM_EST">"c2230"</definedName>
    <definedName name="IQ_EPS_NORM_NUM_EST_CIQ">"c4671"</definedName>
    <definedName name="IQ_EPS_NORM_STDDEV_EST">"c2231"</definedName>
    <definedName name="IQ_EPS_NORM_STDDEV_EST_CIQ">"c4672"</definedName>
    <definedName name="IQ_EPS_NUM_EST">"c402"</definedName>
    <definedName name="IQ_EPS_NUM_EST_CIQ">"c4992"</definedName>
    <definedName name="IQ_EPS_REPORT_ACT_OR_EST">"c2224"</definedName>
    <definedName name="IQ_EPS_REPORT_ACT_OR_EST_CIQ">"c5067"</definedName>
    <definedName name="IQ_EPS_REPORTED_EST">"c1744"</definedName>
    <definedName name="IQ_EPS_REPORTED_EST_BOTTOM_UP">"c5492"</definedName>
    <definedName name="IQ_EPS_REPORTED_EST_BOTTOM_UP_CIQ">"c12029"</definedName>
    <definedName name="IQ_EPS_REPORTED_EST_CIQ">"c4730"</definedName>
    <definedName name="IQ_EPS_REPORTED_HIGH_EST">"c1746"</definedName>
    <definedName name="IQ_EPS_REPORTED_HIGH_EST_CIQ">"c4732"</definedName>
    <definedName name="IQ_EPS_REPORTED_LOW_EST">"c1747"</definedName>
    <definedName name="IQ_EPS_REPORTED_LOW_EST_CIQ">"c4733"</definedName>
    <definedName name="IQ_EPS_REPORTED_MEDIAN_EST">"c1745"</definedName>
    <definedName name="IQ_EPS_REPORTED_MEDIAN_EST_CIQ">"c4731"</definedName>
    <definedName name="IQ_EPS_REPORTED_NUM_EST">"c1748"</definedName>
    <definedName name="IQ_EPS_REPORTED_NUM_EST_CIQ">"c4734"</definedName>
    <definedName name="IQ_EPS_REPORTED_STDDEV_EST">"c1749"</definedName>
    <definedName name="IQ_EPS_REPORTED_STDDEV_EST_CIQ">"c4735"</definedName>
    <definedName name="IQ_EPS_SBC_ACT_OR_EST">"c4376"</definedName>
    <definedName name="IQ_EPS_SBC_ACT_OR_EST_CIQ">"c4901"</definedName>
    <definedName name="IQ_EPS_SBC_EST">"c4375"</definedName>
    <definedName name="IQ_EPS_SBC_EST_CIQ">"c4900"</definedName>
    <definedName name="IQ_EPS_SBC_GUIDANCE">"c4377"</definedName>
    <definedName name="IQ_EPS_SBC_GUIDANCE_CIQ">"c4902"</definedName>
    <definedName name="IQ_EPS_SBC_GW_ACT_OR_EST">"c4380"</definedName>
    <definedName name="IQ_EPS_SBC_GW_ACT_OR_EST_CIQ">"c4905"</definedName>
    <definedName name="IQ_EPS_SBC_GW_EST">"c4379"</definedName>
    <definedName name="IQ_EPS_SBC_GW_EST_CIQ">"c4904"</definedName>
    <definedName name="IQ_EPS_SBC_GW_GUIDANCE">"c4381"</definedName>
    <definedName name="IQ_EPS_SBC_GW_GUIDANCE_CIQ">"c4906"</definedName>
    <definedName name="IQ_EPS_SBC_GW_HIGH_EST">"c4382"</definedName>
    <definedName name="IQ_EPS_SBC_GW_HIGH_EST_CIQ">"c4907"</definedName>
    <definedName name="IQ_EPS_SBC_GW_HIGH_GUIDANCE">"c4189"</definedName>
    <definedName name="IQ_EPS_SBC_GW_HIGH_GUIDANCE_CIQ">"c4601"</definedName>
    <definedName name="IQ_EPS_SBC_GW_LOW_EST">"c4383"</definedName>
    <definedName name="IQ_EPS_SBC_GW_LOW_EST_CIQ">"c4908"</definedName>
    <definedName name="IQ_EPS_SBC_GW_LOW_GUIDANCE">"c4229"</definedName>
    <definedName name="IQ_EPS_SBC_GW_LOW_GUIDANCE_CIQ">"c4641"</definedName>
    <definedName name="IQ_EPS_SBC_GW_MEDIAN_EST">"c4384"</definedName>
    <definedName name="IQ_EPS_SBC_GW_MEDIAN_EST_CIQ">"c4909"</definedName>
    <definedName name="IQ_EPS_SBC_GW_NUM_EST">"c4385"</definedName>
    <definedName name="IQ_EPS_SBC_GW_NUM_EST_CIQ">"c4910"</definedName>
    <definedName name="IQ_EPS_SBC_GW_STDDEV_EST">"c4386"</definedName>
    <definedName name="IQ_EPS_SBC_GW_STDDEV_EST_CIQ">"c4911"</definedName>
    <definedName name="IQ_EPS_SBC_HIGH_EST">"c4388"</definedName>
    <definedName name="IQ_EPS_SBC_HIGH_EST_CIQ">"c4913"</definedName>
    <definedName name="IQ_EPS_SBC_HIGH_GUIDANCE">"c4188"</definedName>
    <definedName name="IQ_EPS_SBC_HIGH_GUIDANCE_CIQ">"c4600"</definedName>
    <definedName name="IQ_EPS_SBC_LOW_EST">"c4389"</definedName>
    <definedName name="IQ_EPS_SBC_LOW_EST_CIQ">"c4914"</definedName>
    <definedName name="IQ_EPS_SBC_LOW_GUIDANCE">"c4228"</definedName>
    <definedName name="IQ_EPS_SBC_LOW_GUIDANCE_CIQ">"c4640"</definedName>
    <definedName name="IQ_EPS_SBC_MEDIAN_EST">"c4390"</definedName>
    <definedName name="IQ_EPS_SBC_MEDIAN_EST_CIQ">"c4915"</definedName>
    <definedName name="IQ_EPS_SBC_NUM_EST">"c4391"</definedName>
    <definedName name="IQ_EPS_SBC_NUM_EST_CIQ">"c4916"</definedName>
    <definedName name="IQ_EPS_SBC_STDDEV_EST">"c4392"</definedName>
    <definedName name="IQ_EPS_SBC_STDDEV_EST_CIQ">"c4917"</definedName>
    <definedName name="IQ_EPS_STDDEV_EST">"c403"</definedName>
    <definedName name="IQ_EPS_STDDEV_EST_CIQ">"c4993"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">"c5630"</definedName>
    <definedName name="IQ_EST_ACT_BV_CIQ">"c4743"</definedName>
    <definedName name="IQ_EST_ACT_BV_SHARE">"c3549"</definedName>
    <definedName name="IQ_EST_ACT_BV_SHARE_CIQ">"c3806"</definedName>
    <definedName name="IQ_EST_ACT_CAPEX">"c3546"</definedName>
    <definedName name="IQ_EST_ACT_CAPEX_CIQ">"c3813"</definedName>
    <definedName name="IQ_EST_ACT_CASH_EPS">"c5637"</definedName>
    <definedName name="IQ_EST_ACT_CASH_FLOW">"c4394"</definedName>
    <definedName name="IQ_EST_ACT_CASH_FLOW_CIQ">"c4919"</definedName>
    <definedName name="IQ_EST_ACT_CASH_OPER">"c4395"</definedName>
    <definedName name="IQ_EST_ACT_CASH_OPER_CIQ">"c4920"</definedName>
    <definedName name="IQ_EST_ACT_CFPS">"c1673"</definedName>
    <definedName name="IQ_EST_ACT_CFPS_CIQ">"c3681"</definedName>
    <definedName name="IQ_EST_ACT_DISTRIBUTABLE_CASH">"c4396"</definedName>
    <definedName name="IQ_EST_ACT_DISTRIBUTABLE_CASH_CIQ">"c4921"</definedName>
    <definedName name="IQ_EST_ACT_DISTRIBUTABLE_CASH_SHARE">"c4397"</definedName>
    <definedName name="IQ_EST_ACT_DISTRIBUTABLE_CASH_SHARE_CIQ">"c4922"</definedName>
    <definedName name="IQ_EST_ACT_DPS">"c1680"</definedName>
    <definedName name="IQ_EST_ACT_DPS_CIQ">"c3688"</definedName>
    <definedName name="IQ_EST_ACT_EBIT">"c1687"</definedName>
    <definedName name="IQ_EST_ACT_EBIT_CIQ">"c4680"</definedName>
    <definedName name="IQ_EST_ACT_EBIT_GW">"c4398"</definedName>
    <definedName name="IQ_EST_ACT_EBIT_GW_CIQ">"c4923"</definedName>
    <definedName name="IQ_EST_ACT_EBIT_SBC">"c4399"</definedName>
    <definedName name="IQ_EST_ACT_EBIT_SBC_CIQ">"c4924"</definedName>
    <definedName name="IQ_EST_ACT_EBIT_SBC_GW">"c4400"</definedName>
    <definedName name="IQ_EST_ACT_EBIT_SBC_GW_CIQ">"c4925"</definedName>
    <definedName name="IQ_EST_ACT_EBITDA">"c1664"</definedName>
    <definedName name="IQ_EST_ACT_EBITDA_CIQ">"c3667"</definedName>
    <definedName name="IQ_EST_ACT_EBITDA_SBC">"c4401"</definedName>
    <definedName name="IQ_EST_ACT_EBITDA_SBC_CIQ">"c4926"</definedName>
    <definedName name="IQ_EST_ACT_EBT_SBC">"c4402"</definedName>
    <definedName name="IQ_EST_ACT_EBT_SBC_CIQ">"c4927"</definedName>
    <definedName name="IQ_EST_ACT_EBT_SBC_GW">"c4403"</definedName>
    <definedName name="IQ_EST_ACT_EBT_SBC_GW_CIQ">"c4928"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NORM">"c2232"</definedName>
    <definedName name="IQ_EST_ACT_EPS_NORM_CIQ">"c4673"</definedName>
    <definedName name="IQ_EST_ACT_EPS_REPORTED">"c1750"</definedName>
    <definedName name="IQ_EST_ACT_EPS_REPORTED_CIQ">"c4736"</definedName>
    <definedName name="IQ_EST_ACT_EPS_SBC">"c4404"</definedName>
    <definedName name="IQ_EST_ACT_EPS_SBC_CIQ">"c4929"</definedName>
    <definedName name="IQ_EST_ACT_EPS_SBC_GW">"c4405"</definedName>
    <definedName name="IQ_EST_ACT_EPS_SBC_GW_CIQ">"c4930"</definedName>
    <definedName name="IQ_EST_ACT_FFO">"c1666"</definedName>
    <definedName name="IQ_EST_ACT_FFO_ADJ">"c4406"</definedName>
    <definedName name="IQ_EST_ACT_FFO_ADJ_CIQ">"c4931"</definedName>
    <definedName name="IQ_EST_ACT_FFO_CIQ">"c3674"</definedName>
    <definedName name="IQ_EST_ACT_FFO_SHARE">"c4407"</definedName>
    <definedName name="IQ_EST_ACT_FFO_SHARE_CIQ">"c4932"</definedName>
    <definedName name="IQ_EST_ACT_GROSS_MARGIN">"c5553"</definedName>
    <definedName name="IQ_EST_ACT_MAINT_CAPEX">"c4408"</definedName>
    <definedName name="IQ_EST_ACT_MAINT_CAPEX_CIQ">"c4933"</definedName>
    <definedName name="IQ_EST_ACT_NAV">"c1757"</definedName>
    <definedName name="IQ_EST_ACT_NAV_SHARE">"c5608"</definedName>
    <definedName name="IQ_EST_ACT_NAV_SHARE_CIQ">"c12031"</definedName>
    <definedName name="IQ_EST_ACT_NET_DEBT">"c3545"</definedName>
    <definedName name="IQ_EST_ACT_NET_DEBT_CIQ">"c3820"</definedName>
    <definedName name="IQ_EST_ACT_NI">"c1722"</definedName>
    <definedName name="IQ_EST_ACT_NI_CIQ">"c4708"</definedName>
    <definedName name="IQ_EST_ACT_NI_GW_CIQ">"c4715"</definedName>
    <definedName name="IQ_EST_ACT_NI_REPORTED">"c1736"</definedName>
    <definedName name="IQ_EST_ACT_NI_REPORTED_CIQ">"c4722"</definedName>
    <definedName name="IQ_EST_ACT_NI_SBC">"c4409"</definedName>
    <definedName name="IQ_EST_ACT_NI_SBC_CIQ">"c4934"</definedName>
    <definedName name="IQ_EST_ACT_NI_SBC_GW">"c4410"</definedName>
    <definedName name="IQ_EST_ACT_NI_SBC_GW_CIQ">"c4935"</definedName>
    <definedName name="IQ_EST_ACT_OPER_INC">"c1694"</definedName>
    <definedName name="IQ_EST_ACT_OPER_INC_CIQ">"c12016"</definedName>
    <definedName name="IQ_EST_ACT_PRETAX_GW_INC">"c1708"</definedName>
    <definedName name="IQ_EST_ACT_PRETAX_GW_INC_CIQ">"c4694"</definedName>
    <definedName name="IQ_EST_ACT_PRETAX_INC">"c1701"</definedName>
    <definedName name="IQ_EST_ACT_PRETAX_INC_CIQ">"c4687"</definedName>
    <definedName name="IQ_EST_ACT_PRETAX_REPORT_INC">"c1715"</definedName>
    <definedName name="IQ_EST_ACT_PRETAX_REPORT_INC_CIQ">"c4701"</definedName>
    <definedName name="IQ_EST_ACT_RECURRING_PROFIT">"c4411"</definedName>
    <definedName name="IQ_EST_ACT_RECURRING_PROFIT_CIQ">"c4936"</definedName>
    <definedName name="IQ_EST_ACT_RECURRING_PROFIT_SHARE">"c4412"</definedName>
    <definedName name="IQ_EST_ACT_RECURRING_PROFIT_SHARE_CIQ">"c4937"</definedName>
    <definedName name="IQ_EST_ACT_RETURN_ASSETS">"c3547"</definedName>
    <definedName name="IQ_EST_ACT_RETURN_EQUITY">"c3548"</definedName>
    <definedName name="IQ_EST_ACT_REV">"c2113"</definedName>
    <definedName name="IQ_EST_ACT_REV_CIQ">"c3666"</definedName>
    <definedName name="IQ_EST_BV_SHARE_DIFF">"c4147"</definedName>
    <definedName name="IQ_EST_BV_SHARE_DIFF_CIQ">"c4559"</definedName>
    <definedName name="IQ_EST_BV_SHARE_SURPRISE_PERCENT">"c4148"</definedName>
    <definedName name="IQ_EST_BV_SHARE_SURPRISE_PERCENT_CIQ">"c4560"</definedName>
    <definedName name="IQ_EST_CAPEX_DIFF">"c4149"</definedName>
    <definedName name="IQ_EST_CAPEX_DIFF_CIQ">"c4561"</definedName>
    <definedName name="IQ_EST_CAPEX_GROWTH_1YR">"c3588"</definedName>
    <definedName name="IQ_EST_CAPEX_GROWTH_1YR_CIQ">"c4972"</definedName>
    <definedName name="IQ_EST_CAPEX_GROWTH_2YR">"c3589"</definedName>
    <definedName name="IQ_EST_CAPEX_GROWTH_2YR_CIQ">"c4973"</definedName>
    <definedName name="IQ_EST_CAPEX_GROWTH_Q_1YR">"c3590"</definedName>
    <definedName name="IQ_EST_CAPEX_GROWTH_Q_1YR_CIQ">"c4974"</definedName>
    <definedName name="IQ_EST_CAPEX_SEQ_GROWTH_Q">"c3591"</definedName>
    <definedName name="IQ_EST_CAPEX_SEQ_GROWTH_Q_CIQ">"c4975"</definedName>
    <definedName name="IQ_EST_CAPEX_SURPRISE_PERCENT">"c4151"</definedName>
    <definedName name="IQ_EST_CAPEX_SURPRISE_PERCENT_CIQ">"c4563"</definedName>
    <definedName name="IQ_EST_CASH_FLOW_DIFF">"c4152"</definedName>
    <definedName name="IQ_EST_CASH_FLOW_DIFF_CIQ">"c4564"</definedName>
    <definedName name="IQ_EST_CASH_FLOW_SURPRISE_PERCENT">"c4161"</definedName>
    <definedName name="IQ_EST_CASH_FLOW_SURPRISE_PERCENT_CIQ">"c4573"</definedName>
    <definedName name="IQ_EST_CASH_OPER_DIFF">"c4162"</definedName>
    <definedName name="IQ_EST_CASH_OPER_DIFF_CIQ">"c4574"</definedName>
    <definedName name="IQ_EST_CASH_OPER_SURPRISE_PERCENT">"c4248"</definedName>
    <definedName name="IQ_EST_CASH_OPER_SURPRISE_PERCENT_CIQ">"c4774"</definedName>
    <definedName name="IQ_EST_CFPS_DIFF">"c1871"</definedName>
    <definedName name="IQ_EST_CFPS_DIFF_CIQ">"c3723"</definedName>
    <definedName name="IQ_EST_CFPS_GROWTH_1YR">"c1774"</definedName>
    <definedName name="IQ_EST_CFPS_GROWTH_1YR_CIQ">"c3709"</definedName>
    <definedName name="IQ_EST_CFPS_GROWTH_2YR">"c1775"</definedName>
    <definedName name="IQ_EST_CFPS_GROWTH_2YR_CIQ">"c3710"</definedName>
    <definedName name="IQ_EST_CFPS_GROWTH_Q_1YR">"c1776"</definedName>
    <definedName name="IQ_EST_CFPS_GROWTH_Q_1YR_CIQ">"c3711"</definedName>
    <definedName name="IQ_EST_CFPS_SEQ_GROWTH_Q">"c1777"</definedName>
    <definedName name="IQ_EST_CFPS_SEQ_GROWTH_Q_CIQ">"c3712"</definedName>
    <definedName name="IQ_EST_CFPS_SURPRISE_PERCENT">"c1872"</definedName>
    <definedName name="IQ_EST_CFPS_SURPRISE_PERCENT_CIQ">"c3724"</definedName>
    <definedName name="IQ_EST_CURRENCY">"c2140"</definedName>
    <definedName name="IQ_EST_CURRENCY_CIQ">"c4769"</definedName>
    <definedName name="IQ_EST_DATE">"c1634"</definedName>
    <definedName name="IQ_EST_DATE_CIQ">"c4770"</definedName>
    <definedName name="IQ_EST_DISTRIBUTABLE_CASH_DIFF">"c4276"</definedName>
    <definedName name="IQ_EST_DISTRIBUTABLE_CASH_DIFF_CIQ">"c4801"</definedName>
    <definedName name="IQ_EST_DISTRIBUTABLE_CASH_GROWTH_1YR">"c4413"</definedName>
    <definedName name="IQ_EST_DISTRIBUTABLE_CASH_GROWTH_1YR_CIQ">"c4938"</definedName>
    <definedName name="IQ_EST_DISTRIBUTABLE_CASH_GROWTH_2YR">"c4414"</definedName>
    <definedName name="IQ_EST_DISTRIBUTABLE_CASH_GROWTH_2YR_CIQ">"c4939"</definedName>
    <definedName name="IQ_EST_DISTRIBUTABLE_CASH_GROWTH_Q_1YR">"c4415"</definedName>
    <definedName name="IQ_EST_DISTRIBUTABLE_CASH_GROWTH_Q_1YR_CIQ">"c4940"</definedName>
    <definedName name="IQ_EST_DISTRIBUTABLE_CASH_SEQ_GROWTH_Q">"c4416"</definedName>
    <definedName name="IQ_EST_DISTRIBUTABLE_CASH_SEQ_GROWTH_Q_CIQ">"c4941"</definedName>
    <definedName name="IQ_EST_DISTRIBUTABLE_CASH_SHARE_DIFF">"c4284"</definedName>
    <definedName name="IQ_EST_DISTRIBUTABLE_CASH_SHARE_DIFF_CIQ">"c4809"</definedName>
    <definedName name="IQ_EST_DISTRIBUTABLE_CASH_SHARE_GROWTH_1YR">"c4417"</definedName>
    <definedName name="IQ_EST_DISTRIBUTABLE_CASH_SHARE_GROWTH_1YR_CIQ">"c4942"</definedName>
    <definedName name="IQ_EST_DISTRIBUTABLE_CASH_SHARE_GROWTH_2YR">"c4418"</definedName>
    <definedName name="IQ_EST_DISTRIBUTABLE_CASH_SHARE_GROWTH_2YR_CIQ">"c4943"</definedName>
    <definedName name="IQ_EST_DISTRIBUTABLE_CASH_SHARE_GROWTH_Q_1YR">"c4419"</definedName>
    <definedName name="IQ_EST_DISTRIBUTABLE_CASH_SHARE_GROWTH_Q_1YR_CIQ">"c4944"</definedName>
    <definedName name="IQ_EST_DISTRIBUTABLE_CASH_SHARE_SEQ_GROWTH_Q">"c4420"</definedName>
    <definedName name="IQ_EST_DISTRIBUTABLE_CASH_SHARE_SEQ_GROWTH_Q_CIQ">"c4945"</definedName>
    <definedName name="IQ_EST_DISTRIBUTABLE_CASH_SHARE_SURPRISE_PERCENT">"c4293"</definedName>
    <definedName name="IQ_EST_DISTRIBUTABLE_CASH_SHARE_SURPRISE_PERCENT_CIQ">"c4818"</definedName>
    <definedName name="IQ_EST_DISTRIBUTABLE_CASH_SURPRISE_PERCENT">"c4295"</definedName>
    <definedName name="IQ_EST_DISTRIBUTABLE_CASH_SURPRISE_PERCENT_CIQ">"c4820"</definedName>
    <definedName name="IQ_EST_DPS_DIFF">"c1873"</definedName>
    <definedName name="IQ_EST_DPS_DIFF_CIQ">"c3725"</definedName>
    <definedName name="IQ_EST_DPS_GROWTH_1YR">"c1778"</definedName>
    <definedName name="IQ_EST_DPS_GROWTH_1YR_CIQ">"c3713"</definedName>
    <definedName name="IQ_EST_DPS_GROWTH_2YR">"c1779"</definedName>
    <definedName name="IQ_EST_DPS_GROWTH_2YR_CIQ">"c3714"</definedName>
    <definedName name="IQ_EST_DPS_GROWTH_Q_1YR">"c1780"</definedName>
    <definedName name="IQ_EST_DPS_GROWTH_Q_1YR_CIQ">"c3715"</definedName>
    <definedName name="IQ_EST_DPS_SEQ_GROWTH_Q">"c1781"</definedName>
    <definedName name="IQ_EST_DPS_SEQ_GROWTH_Q_CIQ">"c3716"</definedName>
    <definedName name="IQ_EST_DPS_SURPRISE_PERCENT">"c1874"</definedName>
    <definedName name="IQ_EST_DPS_SURPRISE_PERCENT_CIQ">"c3726"</definedName>
    <definedName name="IQ_EST_EBIT_DIFF">"c1875"</definedName>
    <definedName name="IQ_EST_EBIT_DIFF_CIQ">"c4747"</definedName>
    <definedName name="IQ_EST_EBIT_GW_DIFF">"c4304"</definedName>
    <definedName name="IQ_EST_EBIT_GW_DIFF_CIQ">"c4829"</definedName>
    <definedName name="IQ_EST_EBIT_GW_SURPRISE_PERCENT">"c4313"</definedName>
    <definedName name="IQ_EST_EBIT_GW_SURPRISE_PERCENT_CIQ">"c4838"</definedName>
    <definedName name="IQ_EST_EBIT_SBC_DIFF">"c4314"</definedName>
    <definedName name="IQ_EST_EBIT_SBC_DIFF_CIQ">"c4839"</definedName>
    <definedName name="IQ_EST_EBIT_SBC_GW_DIFF">"c4318"</definedName>
    <definedName name="IQ_EST_EBIT_SBC_GW_DIFF_CIQ">"c4843"</definedName>
    <definedName name="IQ_EST_EBIT_SBC_GW_SURPRISE_PERCENT">"c4327"</definedName>
    <definedName name="IQ_EST_EBIT_SBC_GW_SURPRISE_PERCENT_CIQ">"c4852"</definedName>
    <definedName name="IQ_EST_EBIT_SBC_SURPRISE_PERCENT">"c4333"</definedName>
    <definedName name="IQ_EST_EBIT_SBC_SURPRISE_PERCENT_CIQ">"c4858"</definedName>
    <definedName name="IQ_EST_EBIT_SURPRISE_PERCENT">"c1876"</definedName>
    <definedName name="IQ_EST_EBIT_SURPRISE_PERCENT_CIQ">"c4748"</definedName>
    <definedName name="IQ_EST_EBITDA_DIFF">"c1867"</definedName>
    <definedName name="IQ_EST_EBITDA_DIFF_CIQ">"c3719"</definedName>
    <definedName name="IQ_EST_EBITDA_GROWTH_1YR">"c1766"</definedName>
    <definedName name="IQ_EST_EBITDA_GROWTH_1YR_CIQ">"c3695"</definedName>
    <definedName name="IQ_EST_EBITDA_GROWTH_2YR">"c1767"</definedName>
    <definedName name="IQ_EST_EBITDA_GROWTH_2YR_CIQ">"c3696"</definedName>
    <definedName name="IQ_EST_EBITDA_GROWTH_Q_1YR">"c1768"</definedName>
    <definedName name="IQ_EST_EBITDA_GROWTH_Q_1YR_CIQ">"c3697"</definedName>
    <definedName name="IQ_EST_EBITDA_SBC_DIFF">"c4335"</definedName>
    <definedName name="IQ_EST_EBITDA_SBC_DIFF_CIQ">"c4860"</definedName>
    <definedName name="IQ_EST_EBITDA_SBC_SURPRISE_PERCENT">"c4344"</definedName>
    <definedName name="IQ_EST_EBITDA_SBC_SURPRISE_PERCENT_CIQ">"c4869"</definedName>
    <definedName name="IQ_EST_EBITDA_SEQ_GROWTH_Q">"c1769"</definedName>
    <definedName name="IQ_EST_EBITDA_SEQ_GROWTH_Q_CIQ">"c3698"</definedName>
    <definedName name="IQ_EST_EBITDA_SURPRISE_PERCENT">"c1868"</definedName>
    <definedName name="IQ_EST_EBITDA_SURPRISE_PERCENT_CIQ">"c3720"</definedName>
    <definedName name="IQ_EST_EBT_SBC_DIFF">"c4348"</definedName>
    <definedName name="IQ_EST_EBT_SBC_DIFF_CIQ">"c4873"</definedName>
    <definedName name="IQ_EST_EBT_SBC_GW_DIFF">"c4352"</definedName>
    <definedName name="IQ_EST_EBT_SBC_GW_DIFF_CIQ">"c4877"</definedName>
    <definedName name="IQ_EST_EBT_SBC_GW_SURPRISE_PERCENT">"c4361"</definedName>
    <definedName name="IQ_EST_EBT_SBC_GW_SURPRISE_PERCENT_CIQ">"c4886"</definedName>
    <definedName name="IQ_EST_EBT_SBC_SURPRISE_PERCENT">"c4367"</definedName>
    <definedName name="IQ_EST_EBT_SBC_SURPRISE_PERCENT_CIQ">"c4892"</definedName>
    <definedName name="IQ_EST_EPS_DIFF">"c1864"</definedName>
    <definedName name="IQ_EST_EPS_DIFF_CIQ">"c4999"</definedName>
    <definedName name="IQ_EST_EPS_GROWTH_1YR">"c1636"</definedName>
    <definedName name="IQ_EST_EPS_GROWTH_1YR_CIQ">"c3628"</definedName>
    <definedName name="IQ_EST_EPS_GROWTH_2YR">"c1637"</definedName>
    <definedName name="IQ_EST_EPS_GROWTH_2YR_CIQ">"c3689"</definedName>
    <definedName name="IQ_EST_EPS_GROWTH_5YR">"c1655"</definedName>
    <definedName name="IQ_EST_EPS_GROWTH_5YR_BOTTOM_UP">"c5487"</definedName>
    <definedName name="IQ_EST_EPS_GROWTH_5YR_BOTTOM_UP_CIQ">"c12024"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LOW">"c1658"</definedName>
    <definedName name="IQ_EST_EPS_GROWTH_5YR_LOW_CIQ">"c4664"</definedName>
    <definedName name="IQ_EST_EPS_GROWTH_5YR_MEDIAN">"c1656"</definedName>
    <definedName name="IQ_EST_EPS_GROWTH_5YR_MEDIAN_CIQ">"c5480"</definedName>
    <definedName name="IQ_EST_EPS_GROWTH_5YR_NUM">"c1659"</definedName>
    <definedName name="IQ_EST_EPS_GROWTH_5YR_NUM_CIQ">"c4665"</definedName>
    <definedName name="IQ_EST_EPS_GROWTH_5YR_STDDEV">"c1660"</definedName>
    <definedName name="IQ_EST_EPS_GROWTH_5YR_STDDEV_CIQ">"c4666"</definedName>
    <definedName name="IQ_EST_EPS_GROWTH_Q_1YR">"c1641"</definedName>
    <definedName name="IQ_EST_EPS_GROWTH_Q_1YR_CIQ">"c4744"</definedName>
    <definedName name="IQ_EST_EPS_GW_DIFF">"c1891"</definedName>
    <definedName name="IQ_EST_EPS_GW_DIFF_CIQ">"c4761"</definedName>
    <definedName name="IQ_EST_EPS_GW_SURPRISE_PERCENT">"c1892"</definedName>
    <definedName name="IQ_EST_EPS_GW_SURPRISE_PERCENT_CIQ">"c4762"</definedName>
    <definedName name="IQ_EST_EPS_NORM_DIFF">"c2247"</definedName>
    <definedName name="IQ_EST_EPS_NORM_DIFF_CIQ">"c4745"</definedName>
    <definedName name="IQ_EST_EPS_NORM_SURPRISE_PERCENT">"c2248"</definedName>
    <definedName name="IQ_EST_EPS_NORM_SURPRISE_PERCENT_CIQ">"c4746"</definedName>
    <definedName name="IQ_EST_EPS_REPORT_DIFF">"c1893"</definedName>
    <definedName name="IQ_EST_EPS_REPORT_DIFF_CIQ">"c4763"</definedName>
    <definedName name="IQ_EST_EPS_REPORT_SURPRISE_PERCENT">"c1894"</definedName>
    <definedName name="IQ_EST_EPS_REPORT_SURPRISE_PERCENT_CIQ">"c4764"</definedName>
    <definedName name="IQ_EST_EPS_SBC_DIFF">"c4374"</definedName>
    <definedName name="IQ_EST_EPS_SBC_DIFF_CIQ">"c4899"</definedName>
    <definedName name="IQ_EST_EPS_SBC_GW_DIFF">"c4378"</definedName>
    <definedName name="IQ_EST_EPS_SBC_GW_DIFF_CIQ">"c4903"</definedName>
    <definedName name="IQ_EST_EPS_SBC_GW_SURPRISE_PERCENT">"c4387"</definedName>
    <definedName name="IQ_EST_EPS_SBC_GW_SURPRISE_PERCENT_CIQ">"c4912"</definedName>
    <definedName name="IQ_EST_EPS_SBC_SURPRISE_PERCENT">"c4393"</definedName>
    <definedName name="IQ_EST_EPS_SBC_SURPRISE_PERCENT_CIQ">"c4918"</definedName>
    <definedName name="IQ_EST_EPS_SEQ_GROWTH_Q">"c1764"</definedName>
    <definedName name="IQ_EST_EPS_SEQ_GROWTH_Q_CIQ">"c3690"</definedName>
    <definedName name="IQ_EST_EPS_SURPRISE_PERCENT">"c1635"</definedName>
    <definedName name="IQ_EST_EPS_SURPRISE_PERCENT_CIQ">"c5000"</definedName>
    <definedName name="IQ_EST_FFO_ADJ_DIFF">"c4433"</definedName>
    <definedName name="IQ_EST_FFO_ADJ_DIFF_CIQ">"c4958"</definedName>
    <definedName name="IQ_EST_FFO_ADJ_GROWTH_1YR">"c4421"</definedName>
    <definedName name="IQ_EST_FFO_ADJ_GROWTH_1YR_CIQ">"c4946"</definedName>
    <definedName name="IQ_EST_FFO_ADJ_GROWTH_2YR">"c4422"</definedName>
    <definedName name="IQ_EST_FFO_ADJ_GROWTH_2YR_CIQ">"c4947"</definedName>
    <definedName name="IQ_EST_FFO_ADJ_GROWTH_Q_1YR">"c4423"</definedName>
    <definedName name="IQ_EST_FFO_ADJ_GROWTH_Q_1YR_CIQ">"c4948"</definedName>
    <definedName name="IQ_EST_FFO_ADJ_SEQ_GROWTH_Q">"c4424"</definedName>
    <definedName name="IQ_EST_FFO_ADJ_SEQ_GROWTH_Q_CIQ">"c4949"</definedName>
    <definedName name="IQ_EST_FFO_ADJ_SURPRISE_PERCENT">"c4442"</definedName>
    <definedName name="IQ_EST_FFO_ADJ_SURPRISE_PERCENT_CIQ">"c4967"</definedName>
    <definedName name="IQ_EST_FFO_DIFF">"c1869"</definedName>
    <definedName name="IQ_EST_FFO_DIFF_CIQ">"c3721"</definedName>
    <definedName name="IQ_EST_FFO_GROWTH_1YR">"c1770"</definedName>
    <definedName name="IQ_EST_FFO_GROWTH_1YR_CIQ">"c3705"</definedName>
    <definedName name="IQ_EST_FFO_GROWTH_2YR">"c1771"</definedName>
    <definedName name="IQ_EST_FFO_GROWTH_2YR_CIQ">"c3706"</definedName>
    <definedName name="IQ_EST_FFO_GROWTH_Q_1YR">"c1772"</definedName>
    <definedName name="IQ_EST_FFO_GROWTH_Q_1YR_CIQ">"c3707"</definedName>
    <definedName name="IQ_EST_FFO_SEQ_GROWTH_Q">"c1773"</definedName>
    <definedName name="IQ_EST_FFO_SEQ_GROWTH_Q_CIQ">"c3708"</definedName>
    <definedName name="IQ_EST_FFO_SHARE_DIFF">"c4444"</definedName>
    <definedName name="IQ_EST_FFO_SHARE_DIFF_CIQ">"c4969"</definedName>
    <definedName name="IQ_EST_FFO_SHARE_GROWTH_1YR">"c4425"</definedName>
    <definedName name="IQ_EST_FFO_SHARE_GROWTH_1YR_CIQ">"c4950"</definedName>
    <definedName name="IQ_EST_FFO_SHARE_GROWTH_2YR">"c4426"</definedName>
    <definedName name="IQ_EST_FFO_SHARE_GROWTH_2YR_CIQ">"c4951"</definedName>
    <definedName name="IQ_EST_FFO_SHARE_GROWTH_Q_1YR">"c4427"</definedName>
    <definedName name="IQ_EST_FFO_SHARE_GROWTH_Q_1YR_CIQ">"c4952"</definedName>
    <definedName name="IQ_EST_FFO_SHARE_SEQ_GROWTH_Q">"c4428"</definedName>
    <definedName name="IQ_EST_FFO_SHARE_SEQ_GROWTH_Q_CIQ">"c4953"</definedName>
    <definedName name="IQ_EST_FFO_SHARE_SURPRISE_PERCENT">"c4453"</definedName>
    <definedName name="IQ_EST_FFO_SHARE_SURPRISE_PERCENT_CIQ">"c4982"</definedName>
    <definedName name="IQ_EST_FFO_SURPRISE_PERCENT">"c1870"</definedName>
    <definedName name="IQ_EST_FFO_SURPRISE_PERCENT_CIQ">"c3722"</definedName>
    <definedName name="IQ_EST_FOOTNOTE">"c4540"</definedName>
    <definedName name="IQ_EST_FOOTNOTE_CIQ">"c12022"</definedName>
    <definedName name="IQ_EST_MAINT_CAPEX_DIFF">"c4456"</definedName>
    <definedName name="IQ_EST_MAINT_CAPEX_DIFF_CIQ">"c4985"</definedName>
    <definedName name="IQ_EST_MAINT_CAPEX_GROWTH_1YR">"c4429"</definedName>
    <definedName name="IQ_EST_MAINT_CAPEX_GROWTH_1YR_CIQ">"c4954"</definedName>
    <definedName name="IQ_EST_MAINT_CAPEX_GROWTH_2YR">"c4430"</definedName>
    <definedName name="IQ_EST_MAINT_CAPEX_GROWTH_2YR_CIQ">"c4955"</definedName>
    <definedName name="IQ_EST_MAINT_CAPEX_GROWTH_Q_1YR">"c4431"</definedName>
    <definedName name="IQ_EST_MAINT_CAPEX_GROWTH_Q_1YR_CIQ">"c4956"</definedName>
    <definedName name="IQ_EST_MAINT_CAPEX_SEQ_GROWTH_Q">"c4432"</definedName>
    <definedName name="IQ_EST_MAINT_CAPEX_SEQ_GROWTH_Q_CIQ">"c4957"</definedName>
    <definedName name="IQ_EST_MAINT_CAPEX_SURPRISE_PERCENT">"c4465"</definedName>
    <definedName name="IQ_EST_MAINT_CAPEX_SURPRISE_PERCENT_CIQ">"c5003"</definedName>
    <definedName name="IQ_EST_NAV_DIFF">"c1895"</definedName>
    <definedName name="IQ_EST_NAV_SHARE_SURPRISE_PERCENT">"c1896"</definedName>
    <definedName name="IQ_EST_NAV_SURPRISE_PERCENT">"c12040"</definedName>
    <definedName name="IQ_EST_NET_DEBT_DIFF">"c4466"</definedName>
    <definedName name="IQ_EST_NET_DEBT_DIFF_CIQ">"c5004"</definedName>
    <definedName name="IQ_EST_NET_DEBT_SURPRISE_PERCENT">"c4468"</definedName>
    <definedName name="IQ_EST_NET_DEBT_SURPRISE_PERCENT_CIQ">"c5006"</definedName>
    <definedName name="IQ_EST_NI_DIFF">"c1885"</definedName>
    <definedName name="IQ_EST_NI_DIFF_CIQ">"c4755"</definedName>
    <definedName name="IQ_EST_NI_GW_DIFF_CIQ">"c4757"</definedName>
    <definedName name="IQ_EST_NI_GW_SURPRISE_PERCENT_CIQ">"c4758"</definedName>
    <definedName name="IQ_EST_NI_REPORT_DIFF">"c1889"</definedName>
    <definedName name="IQ_EST_NI_REPORT_DIFF_CIQ">"c4759"</definedName>
    <definedName name="IQ_EST_NI_REPORT_SURPRISE_PERCENT">"c1890"</definedName>
    <definedName name="IQ_EST_NI_REPORT_SURPRISE_PERCENT_CIQ">"c4760"</definedName>
    <definedName name="IQ_EST_NI_SBC_DIFF">"c4472"</definedName>
    <definedName name="IQ_EST_NI_SBC_DIFF_CIQ">"c5010"</definedName>
    <definedName name="IQ_EST_NI_SBC_GW_DIFF">"c4476"</definedName>
    <definedName name="IQ_EST_NI_SBC_GW_DIFF_CIQ">"c5014"</definedName>
    <definedName name="IQ_EST_NI_SBC_GW_SURPRISE_PERCENT">"c4485"</definedName>
    <definedName name="IQ_EST_NI_SBC_GW_SURPRISE_PERCENT_CIQ">"c5023"</definedName>
    <definedName name="IQ_EST_NI_SBC_SURPRISE_PERCENT">"c4491"</definedName>
    <definedName name="IQ_EST_NI_SBC_SURPRISE_PERCENT_CIQ">"c5029"</definedName>
    <definedName name="IQ_EST_NI_SURPRISE_PERCENT">"c1886"</definedName>
    <definedName name="IQ_EST_NI_SURPRISE_PERCENT_CIQ">"c4756"</definedName>
    <definedName name="IQ_EST_NUM_BUY">"c1759"</definedName>
    <definedName name="IQ_EST_NUM_HIGH_REC">"c5649"</definedName>
    <definedName name="IQ_EST_NUM_HIGH_REC_CIQ">"c3701"</definedName>
    <definedName name="IQ_EST_NUM_HIGHEST_REC">"c5648"</definedName>
    <definedName name="IQ_EST_NUM_HIGHEST_REC_CIQ">"c3700"</definedName>
    <definedName name="IQ_EST_NUM_HOLD">"c1761"</definedName>
    <definedName name="IQ_EST_NUM_LOW_REC">"c5651"</definedName>
    <definedName name="IQ_EST_NUM_LOW_REC_CIQ">"c3703"</definedName>
    <definedName name="IQ_EST_NUM_LOWEST_REC">"c5652"</definedName>
    <definedName name="IQ_EST_NUM_LOWEST_REC_CIQ">"c3704"</definedName>
    <definedName name="IQ_EST_NUM_NEUTRAL_REC">"c5650"</definedName>
    <definedName name="IQ_EST_NUM_NEUTRAL_REC_CIQ">"c3702"</definedName>
    <definedName name="IQ_EST_NUM_NO_OPINION">"c1758"</definedName>
    <definedName name="IQ_EST_NUM_NO_OPINION_CIQ">"c3699"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DIFF_CIQ">"c12017"</definedName>
    <definedName name="IQ_EST_OPER_INC_SURPRISE_PERCENT">"c1878"</definedName>
    <definedName name="IQ_EST_OPER_INC_SURPRISE_PERCENT_CIQ">"c12018"</definedName>
    <definedName name="IQ_EST_PRE_TAX_DIFF">"c1879"</definedName>
    <definedName name="IQ_EST_PRE_TAX_DIFF_CIQ">"c4749"</definedName>
    <definedName name="IQ_EST_PRE_TAX_GW_DIFF">"c1881"</definedName>
    <definedName name="IQ_EST_PRE_TAX_GW_DIFF_CIQ">"c4751"</definedName>
    <definedName name="IQ_EST_PRE_TAX_GW_SURPRISE_PERCENT">"c1882"</definedName>
    <definedName name="IQ_EST_PRE_TAX_GW_SURPRISE_PERCENT_CIQ">"c4752"</definedName>
    <definedName name="IQ_EST_PRE_TAX_REPORT_DIFF">"c1883"</definedName>
    <definedName name="IQ_EST_PRE_TAX_REPORT_DIFF_CIQ">"c4753"</definedName>
    <definedName name="IQ_EST_PRE_TAX_REPORT_SURPRISE_PERCENT">"c1884"</definedName>
    <definedName name="IQ_EST_PRE_TAX_REPORT_SURPRISE_PERCENT_CIQ">"c4754"</definedName>
    <definedName name="IQ_EST_PRE_TAX_SURPRISE_PERCENT">"c1880"</definedName>
    <definedName name="IQ_EST_PRE_TAX_SURPRISE_PERCENT_CIQ">"c4750"</definedName>
    <definedName name="IQ_EST_RECURRING_PROFIT_SHARE_DIFF">"c4505"</definedName>
    <definedName name="IQ_EST_RECURRING_PROFIT_SHARE_DIFF_CIQ">"c5043"</definedName>
    <definedName name="IQ_EST_RECURRING_PROFIT_SHARE_SURPRISE_PERCENT">"c4515"</definedName>
    <definedName name="IQ_EST_RECURRING_PROFIT_SHARE_SURPRISE_PERCENT_CIQ">"c5053"</definedName>
    <definedName name="IQ_EST_REV_DIFF">"c1865"</definedName>
    <definedName name="IQ_EST_REV_DIFF_CIQ">"c3717"</definedName>
    <definedName name="IQ_EST_REV_GROWTH_1YR">"c1638"</definedName>
    <definedName name="IQ_EST_REV_GROWTH_1YR_CIQ">"c3691"</definedName>
    <definedName name="IQ_EST_REV_GROWTH_2YR">"c1639"</definedName>
    <definedName name="IQ_EST_REV_GROWTH_2YR_CIQ">"c3692"</definedName>
    <definedName name="IQ_EST_REV_GROWTH_Q_1YR">"c1640"</definedName>
    <definedName name="IQ_EST_REV_GROWTH_Q_1YR_CIQ">"c3693"</definedName>
    <definedName name="IQ_EST_REV_SEQ_GROWTH_Q">"c1765"</definedName>
    <definedName name="IQ_EST_REV_SEQ_GROWTH_Q_CIQ">"c3694"</definedName>
    <definedName name="IQ_EST_REV_SURPRISE_PERCENT">"c1866"</definedName>
    <definedName name="IQ_EST_REV_SURPRISE_PERCENT_CIQ">"c3718"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">"c4434"</definedName>
    <definedName name="IQ_FFO_ADJ_EST_CIQ">"c4959"</definedName>
    <definedName name="IQ_FFO_ADJ_GUIDANCE">"c4436"</definedName>
    <definedName name="IQ_FFO_ADJ_GUIDANCE_CIQ">"c4961"</definedName>
    <definedName name="IQ_FFO_ADJ_HIGH_EST">"c4437"</definedName>
    <definedName name="IQ_FFO_ADJ_HIGH_EST_CIQ">"c4962"</definedName>
    <definedName name="IQ_FFO_ADJ_HIGH_GUIDANCE">"c4202"</definedName>
    <definedName name="IQ_FFO_ADJ_HIGH_GUIDANCE_CIQ">"c4614"</definedName>
    <definedName name="IQ_FFO_ADJ_LOW_EST">"c4438"</definedName>
    <definedName name="IQ_FFO_ADJ_LOW_EST_CIQ">"c4963"</definedName>
    <definedName name="IQ_FFO_ADJ_LOW_GUIDANCE">"c4242"</definedName>
    <definedName name="IQ_FFO_ADJ_LOW_GUIDANCE_CIQ">"c4654"</definedName>
    <definedName name="IQ_FFO_ADJ_MEDIAN_EST">"c4439"</definedName>
    <definedName name="IQ_FFO_ADJ_MEDIAN_EST_CIQ">"c4964"</definedName>
    <definedName name="IQ_FFO_ADJ_NUM_EST">"c4440"</definedName>
    <definedName name="IQ_FFO_ADJ_NUM_EST_CIQ">"c4965"</definedName>
    <definedName name="IQ_FFO_ADJ_STDDEV_EST">"c4441"</definedName>
    <definedName name="IQ_FFO_ADJ_STDDEV_EST_CIQ">"c4966"</definedName>
    <definedName name="IQ_FFO_EST">"c418"</definedName>
    <definedName name="IQ_FFO_EST_CIQ">"c3668"</definedName>
    <definedName name="IQ_FFO_GUIDANCE">"c4443"</definedName>
    <definedName name="IQ_FFO_GUIDANCE_CIQ">"c4968"</definedName>
    <definedName name="IQ_FFO_HIGH_EST">"c419"</definedName>
    <definedName name="IQ_FFO_HIGH_EST_CIQ">"c3670"</definedName>
    <definedName name="IQ_FFO_HIGH_GUIDANCE">"c4184"</definedName>
    <definedName name="IQ_FFO_HIGH_GUIDANCE_CIQ">"c4596"</definedName>
    <definedName name="IQ_FFO_LOW_EST">"c420"</definedName>
    <definedName name="IQ_FFO_LOW_EST_CIQ">"c3671"</definedName>
    <definedName name="IQ_FFO_LOW_GUIDANCE">"c4224"</definedName>
    <definedName name="IQ_FFO_LOW_GUIDANCE_CIQ">"c4636"</definedName>
    <definedName name="IQ_FFO_MEDIAN_EST">"c1665"</definedName>
    <definedName name="IQ_FFO_MEDIAN_EST_CIQ">"c3669"</definedName>
    <definedName name="IQ_FFO_NUM_EST">"c421"</definedName>
    <definedName name="IQ_FFO_NUM_EST_CIQ">"c3672"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EST">"c4445"</definedName>
    <definedName name="IQ_FFO_SHARE_EST_CIQ">"c4970"</definedName>
    <definedName name="IQ_FFO_SHARE_GUIDANCE">"c4447"</definedName>
    <definedName name="IQ_FFO_SHARE_GUIDANCE_CIQ">"c4976"</definedName>
    <definedName name="IQ_FFO_SHARE_HIGH_EST">"c4448"</definedName>
    <definedName name="IQ_FFO_SHARE_HIGH_EST_CIQ">"c4977"</definedName>
    <definedName name="IQ_FFO_SHARE_HIGH_GUIDANCE">"c4203"</definedName>
    <definedName name="IQ_FFO_SHARE_HIGH_GUIDANCE_CIQ">"c4615"</definedName>
    <definedName name="IQ_FFO_SHARE_LOW_EST">"c4449"</definedName>
    <definedName name="IQ_FFO_SHARE_LOW_EST_CIQ">"c4978"</definedName>
    <definedName name="IQ_FFO_SHARE_LOW_GUIDANCE">"c4243"</definedName>
    <definedName name="IQ_FFO_SHARE_LOW_GUIDANCE_CIQ">"c4655"</definedName>
    <definedName name="IQ_FFO_SHARE_MEDIAN_EST">"c4450"</definedName>
    <definedName name="IQ_FFO_SHARE_MEDIAN_EST_CIQ">"c4979"</definedName>
    <definedName name="IQ_FFO_SHARE_NUM_EST">"c4451"</definedName>
    <definedName name="IQ_FFO_SHARE_NUM_EST_CIQ">"c4980"</definedName>
    <definedName name="IQ_FFO_SHARE_STDDEV_EST">"c4452"</definedName>
    <definedName name="IQ_FFO_SHARE_STDDEV_EST_CIQ">"c4981"</definedName>
    <definedName name="IQ_FFO_STDDEV_EST">"c422"</definedName>
    <definedName name="IQ_FFO_STDDEV_EST_CIQ">"c3673"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DEBT_CURRENT">"c429"</definedName>
    <definedName name="IQ_FIN_DIV_DEBT_LT">"c430"</definedName>
    <definedName name="IQ_FIN_DIV_DEBT_TOTAL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EST_CIQ">"c4986"</definedName>
    <definedName name="IQ_MAINT_CAPEX_GUIDANCE">"c4459"</definedName>
    <definedName name="IQ_MAINT_CAPEX_GUIDANCE_CIQ">"c4988"</definedName>
    <definedName name="IQ_MAINT_CAPEX_HIGH_EST">"c4460"</definedName>
    <definedName name="IQ_MAINT_CAPEX_HIGH_EST_CIQ">"c4989"</definedName>
    <definedName name="IQ_MAINT_CAPEX_HIGH_GUIDANCE">"c4197"</definedName>
    <definedName name="IQ_MAINT_CAPEX_HIGH_GUIDANCE_CIQ">"c4609"</definedName>
    <definedName name="IQ_MAINT_CAPEX_LOW_EST">"c4461"</definedName>
    <definedName name="IQ_MAINT_CAPEX_LOW_EST_CIQ">"c4990"</definedName>
    <definedName name="IQ_MAINT_CAPEX_LOW_GUIDANCE">"c4237"</definedName>
    <definedName name="IQ_MAINT_CAPEX_LOW_GUIDANCE_CIQ">"c4649"</definedName>
    <definedName name="IQ_MAINT_CAPEX_MEDIAN_EST">"c4462"</definedName>
    <definedName name="IQ_MAINT_CAPEX_MEDIAN_EST_CIQ">"c4991"</definedName>
    <definedName name="IQ_MAINT_CAPEX_NUM_EST">"c4463"</definedName>
    <definedName name="IQ_MAINT_CAPEX_NUM_EST_CIQ">"c5001"</definedName>
    <definedName name="IQ_MAINT_CAPEX_STDDEV_EST">"c4464"</definedName>
    <definedName name="IQ_MAINT_CAPEX_STDDEV_EST_CIQ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MES_REVISION_DATE_">40315.7747337963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"c2225"</definedName>
    <definedName name="IQ_NAV_SHARE_ACT_OR_EST_CIQ">"c12038"</definedName>
    <definedName name="IQ_NAV_SHARE_EST">"c5609"</definedName>
    <definedName name="IQ_NAV_SHARE_EST_CIQ">"c12032"</definedName>
    <definedName name="IQ_NAV_SHARE_HIGH_EST">"c5612"</definedName>
    <definedName name="IQ_NAV_SHARE_HIGH_EST_CIQ">"c12035"</definedName>
    <definedName name="IQ_NAV_SHARE_LOW_EST">"c5613"</definedName>
    <definedName name="IQ_NAV_SHARE_LOW_EST_CIQ">"c12036"</definedName>
    <definedName name="IQ_NAV_SHARE_MEDIAN_EST">"c5610"</definedName>
    <definedName name="IQ_NAV_SHARE_MEDIAN_EST_CIQ">"c12033"</definedName>
    <definedName name="IQ_NAV_SHARE_NUM_EST">"c5614"</definedName>
    <definedName name="IQ_NAV_SHARE_NUM_EST_CIQ">"c12037"</definedName>
    <definedName name="IQ_NAV_SHARE_STDDEV_EST">"c5611"</definedName>
    <definedName name="IQ_NAV_SHARE_STDDEV_EST_CIQ">"c12034"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">"c5070"</definedName>
    <definedName name="IQ_NET_DEBT_EBITDA">"c750"</definedName>
    <definedName name="IQ_NET_DEBT_EBITDA_CAPEX">"c2949"</definedName>
    <definedName name="IQ_NET_DEBT_EST">"c3517"</definedName>
    <definedName name="IQ_NET_DEBT_EST_CIQ">"c3814"</definedName>
    <definedName name="IQ_NET_DEBT_GUIDANCE">"c4467"</definedName>
    <definedName name="IQ_NET_DEBT_GUIDANCE_CIQ">"c5005"</definedName>
    <definedName name="IQ_NET_DEBT_HIGH_EST">"c3518"</definedName>
    <definedName name="IQ_NET_DEBT_HIGH_EST_CIQ">"c3816"</definedName>
    <definedName name="IQ_NET_DEBT_HIGH_GUIDANCE">"c4181"</definedName>
    <definedName name="IQ_NET_DEBT_HIGH_GUIDANCE_CIQ">"c4593"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CIQ">"c3817"</definedName>
    <definedName name="IQ_NET_DEBT_LOW_GUIDANCE">"c4221"</definedName>
    <definedName name="IQ_NET_DEBT_LOW_GUIDANCE_CIQ">"c4633"</definedName>
    <definedName name="IQ_NET_DEBT_MEDIAN_EST">"c3520"</definedName>
    <definedName name="IQ_NET_DEBT_MEDIAN_EST_CIQ">"c3815"</definedName>
    <definedName name="IQ_NET_DEBT_NUM_EST">"c3515"</definedName>
    <definedName name="IQ_NET_DEBT_NUM_EST_CIQ">"c3818"</definedName>
    <definedName name="IQ_NET_DEBT_STDDEV_EST">"c3516"</definedName>
    <definedName name="IQ_NET_DEBT_STDDEV_EST_CIQ">"c3819"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">"c5065"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CIQ">"c4702"</definedName>
    <definedName name="IQ_NI_GAAP_GUIDANCE">"c4470"</definedName>
    <definedName name="IQ_NI_GAAP_GUIDANCE_CIQ">"c5008"</definedName>
    <definedName name="IQ_NI_GAAP_HIGH_GUIDANCE">"c4177"</definedName>
    <definedName name="IQ_NI_GAAP_HIGH_GUIDANCE_CIQ">"c4589"</definedName>
    <definedName name="IQ_NI_GAAP_LOW_GUIDANCE">"c4217"</definedName>
    <definedName name="IQ_NI_GAAP_LOW_GUIDANCE_CIQ">"c4629"</definedName>
    <definedName name="IQ_NI_GUIDANCE">"c4469"</definedName>
    <definedName name="IQ_NI_GUIDANCE_CIQ">"c5007"</definedName>
    <definedName name="IQ_NI_GW_EST_CIQ">"c4709"</definedName>
    <definedName name="IQ_NI_GW_GUIDANCE">"c4471"</definedName>
    <definedName name="IQ_NI_GW_GUIDANCE_CIQ">"c5009"</definedName>
    <definedName name="IQ_NI_GW_HIGH_EST_CIQ">"c4711"</definedName>
    <definedName name="IQ_NI_GW_HIGH_GUIDANCE">"c4178"</definedName>
    <definedName name="IQ_NI_GW_HIGH_GUIDANCE_CIQ">"c4590"</definedName>
    <definedName name="IQ_NI_GW_LOW_EST_CIQ">"c4712"</definedName>
    <definedName name="IQ_NI_GW_LOW_GUIDANCE">"c4218"</definedName>
    <definedName name="IQ_NI_GW_LOW_GUIDANCE_CIQ">"c4630"</definedName>
    <definedName name="IQ_NI_GW_MEDIAN_EST_CIQ">"c4710"</definedName>
    <definedName name="IQ_NI_GW_NUM_EST_CIQ">"c4713"</definedName>
    <definedName name="IQ_NI_GW_STDDEV_EST_CIQ">"c4714"</definedName>
    <definedName name="IQ_NI_HIGH_EST">"c1718"</definedName>
    <definedName name="IQ_NI_HIGH_EST_CIQ">"c4704"</definedName>
    <definedName name="IQ_NI_HIGH_GUIDANCE">"c4176"</definedName>
    <definedName name="IQ_NI_HIGH_GUIDANCE_CIQ">"c4588"</definedName>
    <definedName name="IQ_NI_LOW_EST">"c1719"</definedName>
    <definedName name="IQ_NI_LOW_EST_CIQ">"c4705"</definedName>
    <definedName name="IQ_NI_LOW_GUIDANCE">"c4216"</definedName>
    <definedName name="IQ_NI_LOW_GUIDANCE_CIQ">"c4628"</definedName>
    <definedName name="IQ_NI_MARGIN">"c794"</definedName>
    <definedName name="IQ_NI_MEDIAN_EST">"c1717"</definedName>
    <definedName name="IQ_NI_MEDIAN_EST_CIQ">"c4703"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CIQ">"c4706"</definedName>
    <definedName name="IQ_NI_REPORTED_EST">"c1730"</definedName>
    <definedName name="IQ_NI_REPORTED_EST_CIQ">"c4716"</definedName>
    <definedName name="IQ_NI_REPORTED_HIGH_EST">"c1732"</definedName>
    <definedName name="IQ_NI_REPORTED_HIGH_EST_CIQ">"c4718"</definedName>
    <definedName name="IQ_NI_REPORTED_LOW_EST">"c1733"</definedName>
    <definedName name="IQ_NI_REPORTED_LOW_EST_CIQ">"c4719"</definedName>
    <definedName name="IQ_NI_REPORTED_MEDIAN_EST">"c1731"</definedName>
    <definedName name="IQ_NI_REPORTED_MEDIAN_EST_CIQ">"c4717"</definedName>
    <definedName name="IQ_NI_REPORTED_NUM_EST">"c1734"</definedName>
    <definedName name="IQ_NI_REPORTED_NUM_EST_CIQ">"c4720"</definedName>
    <definedName name="IQ_NI_REPORTED_STDDEV_EST">"c1735"</definedName>
    <definedName name="IQ_NI_REPORTED_STDDEV_EST_CIQ">"c4721"</definedName>
    <definedName name="IQ_NI_SBC_ACT_OR_EST">"c4474"</definedName>
    <definedName name="IQ_NI_SBC_ACT_OR_EST_CIQ">"c5012"</definedName>
    <definedName name="IQ_NI_SBC_EST">"c4473"</definedName>
    <definedName name="IQ_NI_SBC_EST_CIQ">"c5011"</definedName>
    <definedName name="IQ_NI_SBC_GUIDANCE">"c4475"</definedName>
    <definedName name="IQ_NI_SBC_GUIDANCE_CIQ">"c5013"</definedName>
    <definedName name="IQ_NI_SBC_GW_ACT_OR_EST">"c4478"</definedName>
    <definedName name="IQ_NI_SBC_GW_ACT_OR_EST_CIQ">"c5016"</definedName>
    <definedName name="IQ_NI_SBC_GW_EST">"c4477"</definedName>
    <definedName name="IQ_NI_SBC_GW_EST_CIQ">"c5015"</definedName>
    <definedName name="IQ_NI_SBC_GW_GUIDANCE">"c4479"</definedName>
    <definedName name="IQ_NI_SBC_GW_GUIDANCE_CIQ">"c5017"</definedName>
    <definedName name="IQ_NI_SBC_GW_HIGH_EST">"c4480"</definedName>
    <definedName name="IQ_NI_SBC_GW_HIGH_EST_CIQ">"c5018"</definedName>
    <definedName name="IQ_NI_SBC_GW_HIGH_GUIDANCE">"c4187"</definedName>
    <definedName name="IQ_NI_SBC_GW_HIGH_GUIDANCE_CIQ">"c4599"</definedName>
    <definedName name="IQ_NI_SBC_GW_LOW_EST">"c4481"</definedName>
    <definedName name="IQ_NI_SBC_GW_LOW_EST_CIQ">"c5019"</definedName>
    <definedName name="IQ_NI_SBC_GW_LOW_GUIDANCE">"c4227"</definedName>
    <definedName name="IQ_NI_SBC_GW_LOW_GUIDANCE_CIQ">"c4639"</definedName>
    <definedName name="IQ_NI_SBC_GW_MEDIAN_EST">"c4482"</definedName>
    <definedName name="IQ_NI_SBC_GW_MEDIAN_EST_CIQ">"c5020"</definedName>
    <definedName name="IQ_NI_SBC_GW_NUM_EST">"c4483"</definedName>
    <definedName name="IQ_NI_SBC_GW_NUM_EST_CIQ">"c5021"</definedName>
    <definedName name="IQ_NI_SBC_GW_STDDEV_EST">"c4484"</definedName>
    <definedName name="IQ_NI_SBC_GW_STDDEV_EST_CIQ">"c5022"</definedName>
    <definedName name="IQ_NI_SBC_HIGH_EST">"c4486"</definedName>
    <definedName name="IQ_NI_SBC_HIGH_EST_CIQ">"c5024"</definedName>
    <definedName name="IQ_NI_SBC_HIGH_GUIDANCE">"c4186"</definedName>
    <definedName name="IQ_NI_SBC_HIGH_GUIDANCE_CIQ">"c4598"</definedName>
    <definedName name="IQ_NI_SBC_LOW_EST">"c4487"</definedName>
    <definedName name="IQ_NI_SBC_LOW_EST_CIQ">"c5025"</definedName>
    <definedName name="IQ_NI_SBC_LOW_GUIDANCE">"c4226"</definedName>
    <definedName name="IQ_NI_SBC_LOW_GUIDANCE_CIQ">"c4638"</definedName>
    <definedName name="IQ_NI_SBC_MEDIAN_EST">"c4488"</definedName>
    <definedName name="IQ_NI_SBC_MEDIAN_EST_CIQ">"c5026"</definedName>
    <definedName name="IQ_NI_SBC_NUM_EST">"c4489"</definedName>
    <definedName name="IQ_NI_SBC_NUM_EST_CIQ">"c5027"</definedName>
    <definedName name="IQ_NI_SBC_STDDEV_EST">"c4490"</definedName>
    <definedName name="IQ_NI_SBC_STDDEV_EST_CIQ">"c5028"</definedName>
    <definedName name="IQ_NI_SFAS">"c795"</definedName>
    <definedName name="IQ_NI_STDDEV_EST">"c1721"</definedName>
    <definedName name="IQ_NI_STDDEV_EST_CIQ">"c4707"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ACT_OR_EST_CIQ">"c12019"</definedName>
    <definedName name="IQ_OPER_INC_BR">"c850"</definedName>
    <definedName name="IQ_OPER_INC_EST">"c1688"</definedName>
    <definedName name="IQ_OPER_INC_EST_CIQ">"c12010"</definedName>
    <definedName name="IQ_OPER_INC_FIN">"c851"</definedName>
    <definedName name="IQ_OPER_INC_HIGH_EST">"c1690"</definedName>
    <definedName name="IQ_OPER_INC_HIGH_EST_CIQ">"c12012"</definedName>
    <definedName name="IQ_OPER_INC_INS">"c852"</definedName>
    <definedName name="IQ_OPER_INC_LOW_EST">"c1691"</definedName>
    <definedName name="IQ_OPER_INC_LOW_EST_CIQ">"c12013"</definedName>
    <definedName name="IQ_OPER_INC_MARGIN">"c1448"</definedName>
    <definedName name="IQ_OPER_INC_MEDIAN_EST">"c1689"</definedName>
    <definedName name="IQ_OPER_INC_MEDIAN_EST_CIQ">"c12011"</definedName>
    <definedName name="IQ_OPER_INC_NUM_EST">"c1692"</definedName>
    <definedName name="IQ_OPER_INC_NUM_EST_CIQ">"c12014"</definedName>
    <definedName name="IQ_OPER_INC_RE">"c6240"</definedName>
    <definedName name="IQ_OPER_INC_REIT">"c853"</definedName>
    <definedName name="IQ_OPER_INC_STDDEV_EST">"c1693"</definedName>
    <definedName name="IQ_OPER_INC_STDDEV_EST_CIQ">"c12015"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8MONTHS">"c1853"</definedName>
    <definedName name="IQ_PERCENT_CHANGE_EST_5YR_GROWTH_RATE_18MONTHS_CIQ">"c3791"</definedName>
    <definedName name="IQ_PERCENT_CHANGE_EST_5YR_GROWTH_RATE_3MONTHS">"c1849"</definedName>
    <definedName name="IQ_PERCENT_CHANGE_EST_5YR_GROWTH_RATE_3MONTHS_CIQ">"c3787"</definedName>
    <definedName name="IQ_PERCENT_CHANGE_EST_5YR_GROWTH_RATE_6MONTHS">"c1850"</definedName>
    <definedName name="IQ_PERCENT_CHANGE_EST_5YR_GROWTH_RATE_6MONTHS_CIQ">"c3788"</definedName>
    <definedName name="IQ_PERCENT_CHANGE_EST_5YR_GROWTH_RATE_9MONTHS">"c1851"</definedName>
    <definedName name="IQ_PERCENT_CHANGE_EST_5YR_GROWTH_RATE_9MONTHS_CIQ">"c3789"</definedName>
    <definedName name="IQ_PERCENT_CHANGE_EST_5YR_GROWTH_RATE_DAY">"c1846"</definedName>
    <definedName name="IQ_PERCENT_CHANGE_EST_5YR_GROWTH_RATE_DAY_CIQ">"c3785"</definedName>
    <definedName name="IQ_PERCENT_CHANGE_EST_5YR_GROWTH_RATE_MONTH">"c1848"</definedName>
    <definedName name="IQ_PERCENT_CHANGE_EST_5YR_GROWTH_RATE_MONTH_CIQ">"c3786"</definedName>
    <definedName name="IQ_PERCENT_CHANGE_EST_5YR_GROWTH_RATE_WEEK">"c1847"</definedName>
    <definedName name="IQ_PERCENT_CHANGE_EST_5YR_GROWTH_RATE_WEEK_CIQ">"c3797"</definedName>
    <definedName name="IQ_PERCENT_CHANGE_EST_CFPS_12MONTHS">"c1812"</definedName>
    <definedName name="IQ_PERCENT_CHANGE_EST_CFPS_12MONTHS_CIQ">"c3755"</definedName>
    <definedName name="IQ_PERCENT_CHANGE_EST_CFPS_18MONTHS">"c1813"</definedName>
    <definedName name="IQ_PERCENT_CHANGE_EST_CFPS_18MONTHS_CIQ">"c3756"</definedName>
    <definedName name="IQ_PERCENT_CHANGE_EST_CFPS_3MONTHS">"c1809"</definedName>
    <definedName name="IQ_PERCENT_CHANGE_EST_CFPS_3MONTHS_CIQ">"c3752"</definedName>
    <definedName name="IQ_PERCENT_CHANGE_EST_CFPS_6MONTHS">"c1810"</definedName>
    <definedName name="IQ_PERCENT_CHANGE_EST_CFPS_6MONTHS_CIQ">"c3753"</definedName>
    <definedName name="IQ_PERCENT_CHANGE_EST_CFPS_9MONTHS">"c1811"</definedName>
    <definedName name="IQ_PERCENT_CHANGE_EST_CFPS_9MONTHS_CIQ">"c3754"</definedName>
    <definedName name="IQ_PERCENT_CHANGE_EST_CFPS_DAY">"c1806"</definedName>
    <definedName name="IQ_PERCENT_CHANGE_EST_CFPS_DAY_CIQ">"c3750"</definedName>
    <definedName name="IQ_PERCENT_CHANGE_EST_CFPS_MONTH">"c1808"</definedName>
    <definedName name="IQ_PERCENT_CHANGE_EST_CFPS_MONTH_CIQ">"c3751"</definedName>
    <definedName name="IQ_PERCENT_CHANGE_EST_CFPS_WEEK">"c1807"</definedName>
    <definedName name="IQ_PERCENT_CHANGE_EST_CFPS_WEEK_CIQ">"c3793"</definedName>
    <definedName name="IQ_PERCENT_CHANGE_EST_DPS_12MONTHS">"c1820"</definedName>
    <definedName name="IQ_PERCENT_CHANGE_EST_DPS_12MONTHS_CIQ">"c3762"</definedName>
    <definedName name="IQ_PERCENT_CHANGE_EST_DPS_18MONTHS">"c1821"</definedName>
    <definedName name="IQ_PERCENT_CHANGE_EST_DPS_18MONTHS_CIQ">"c3763"</definedName>
    <definedName name="IQ_PERCENT_CHANGE_EST_DPS_3MONTHS">"c1817"</definedName>
    <definedName name="IQ_PERCENT_CHANGE_EST_DPS_3MONTHS_CIQ">"c3759"</definedName>
    <definedName name="IQ_PERCENT_CHANGE_EST_DPS_6MONTHS">"c1818"</definedName>
    <definedName name="IQ_PERCENT_CHANGE_EST_DPS_6MONTHS_CIQ">"c3760"</definedName>
    <definedName name="IQ_PERCENT_CHANGE_EST_DPS_9MONTHS">"c1819"</definedName>
    <definedName name="IQ_PERCENT_CHANGE_EST_DPS_9MONTHS_CIQ">"c3761"</definedName>
    <definedName name="IQ_PERCENT_CHANGE_EST_DPS_DAY">"c1814"</definedName>
    <definedName name="IQ_PERCENT_CHANGE_EST_DPS_DAY_CIQ">"c3757"</definedName>
    <definedName name="IQ_PERCENT_CHANGE_EST_DPS_MONTH">"c1816"</definedName>
    <definedName name="IQ_PERCENT_CHANGE_EST_DPS_MONTH_CIQ">"c3758"</definedName>
    <definedName name="IQ_PERCENT_CHANGE_EST_DPS_WEEK">"c1815"</definedName>
    <definedName name="IQ_PERCENT_CHANGE_EST_DPS_WEEK_CIQ">"c3794"</definedName>
    <definedName name="IQ_PERCENT_CHANGE_EST_EBITDA_12MONTHS">"c1804"</definedName>
    <definedName name="IQ_PERCENT_CHANGE_EST_EBITDA_12MONTHS_CIQ">"c3748"</definedName>
    <definedName name="IQ_PERCENT_CHANGE_EST_EBITDA_18MONTHS">"c1805"</definedName>
    <definedName name="IQ_PERCENT_CHANGE_EST_EBITDA_18MONTHS_CIQ">"c3749"</definedName>
    <definedName name="IQ_PERCENT_CHANGE_EST_EBITDA_3MONTHS">"c1801"</definedName>
    <definedName name="IQ_PERCENT_CHANGE_EST_EBITDA_3MONTHS_CIQ">"c3745"</definedName>
    <definedName name="IQ_PERCENT_CHANGE_EST_EBITDA_6MONTHS">"c1802"</definedName>
    <definedName name="IQ_PERCENT_CHANGE_EST_EBITDA_6MONTHS_CIQ">"c3746"</definedName>
    <definedName name="IQ_PERCENT_CHANGE_EST_EBITDA_9MONTHS">"c1803"</definedName>
    <definedName name="IQ_PERCENT_CHANGE_EST_EBITDA_9MONTHS_CIQ">"c3747"</definedName>
    <definedName name="IQ_PERCENT_CHANGE_EST_EBITDA_DAY">"c1798"</definedName>
    <definedName name="IQ_PERCENT_CHANGE_EST_EBITDA_DAY_CIQ">"c3743"</definedName>
    <definedName name="IQ_PERCENT_CHANGE_EST_EBITDA_MONTH">"c1800"</definedName>
    <definedName name="IQ_PERCENT_CHANGE_EST_EBITDA_MONTH_CIQ">"c3744"</definedName>
    <definedName name="IQ_PERCENT_CHANGE_EST_EBITDA_WEEK">"c1799"</definedName>
    <definedName name="IQ_PERCENT_CHANGE_EST_EBITDA_WEEK_CIQ">"c3792"</definedName>
    <definedName name="IQ_PERCENT_CHANGE_EST_EPS_12MONTHS">"c1788"</definedName>
    <definedName name="IQ_PERCENT_CHANGE_EST_EPS_12MONTHS_CIQ">"c3733"</definedName>
    <definedName name="IQ_PERCENT_CHANGE_EST_EPS_18MONTHS">"c1789"</definedName>
    <definedName name="IQ_PERCENT_CHANGE_EST_EPS_18MONTHS_CIQ">"c3734"</definedName>
    <definedName name="IQ_PERCENT_CHANGE_EST_EPS_3MONTHS">"c1785"</definedName>
    <definedName name="IQ_PERCENT_CHANGE_EST_EPS_3MONTHS_CIQ">"c3730"</definedName>
    <definedName name="IQ_PERCENT_CHANGE_EST_EPS_6MONTHS">"c1786"</definedName>
    <definedName name="IQ_PERCENT_CHANGE_EST_EPS_6MONTHS_CIQ">"c3731"</definedName>
    <definedName name="IQ_PERCENT_CHANGE_EST_EPS_9MONTHS">"c1787"</definedName>
    <definedName name="IQ_PERCENT_CHANGE_EST_EPS_9MONTHS_CIQ">"c3732"</definedName>
    <definedName name="IQ_PERCENT_CHANGE_EST_EPS_DAY">"c1782"</definedName>
    <definedName name="IQ_PERCENT_CHANGE_EST_EPS_DAY_CIQ">"c3727"</definedName>
    <definedName name="IQ_PERCENT_CHANGE_EST_EPS_MONTH">"c1784"</definedName>
    <definedName name="IQ_PERCENT_CHANGE_EST_EPS_MONTH_CIQ">"c3729"</definedName>
    <definedName name="IQ_PERCENT_CHANGE_EST_EPS_WEEK">"c1783"</definedName>
    <definedName name="IQ_PERCENT_CHANGE_EST_EPS_WEEK_CIQ">"c3728"</definedName>
    <definedName name="IQ_PERCENT_CHANGE_EST_FFO_12MONTHS">"c1828"</definedName>
    <definedName name="IQ_PERCENT_CHANGE_EST_FFO_12MONTHS_CIQ">"c3769"</definedName>
    <definedName name="IQ_PERCENT_CHANGE_EST_FFO_18MONTHS">"c1829"</definedName>
    <definedName name="IQ_PERCENT_CHANGE_EST_FFO_18MONTHS_CIQ">"c3770"</definedName>
    <definedName name="IQ_PERCENT_CHANGE_EST_FFO_3MONTHS">"c1825"</definedName>
    <definedName name="IQ_PERCENT_CHANGE_EST_FFO_3MONTHS_CIQ">"c3766"</definedName>
    <definedName name="IQ_PERCENT_CHANGE_EST_FFO_6MONTHS">"c1826"</definedName>
    <definedName name="IQ_PERCENT_CHANGE_EST_FFO_6MONTHS_CIQ">"c3767"</definedName>
    <definedName name="IQ_PERCENT_CHANGE_EST_FFO_9MONTHS">"c1827"</definedName>
    <definedName name="IQ_PERCENT_CHANGE_EST_FFO_9MONTHS_CIQ">"c3768"</definedName>
    <definedName name="IQ_PERCENT_CHANGE_EST_FFO_DAY">"c1822"</definedName>
    <definedName name="IQ_PERCENT_CHANGE_EST_FFO_DAY_CIQ">"c3764"</definedName>
    <definedName name="IQ_PERCENT_CHANGE_EST_FFO_MONTH">"c1824"</definedName>
    <definedName name="IQ_PERCENT_CHANGE_EST_FFO_MONTH_CIQ">"c3765"</definedName>
    <definedName name="IQ_PERCENT_CHANGE_EST_FFO_WEEK">"c1823"</definedName>
    <definedName name="IQ_PERCENT_CHANGE_EST_FFO_WEEK_CIQ">"c3795"</definedName>
    <definedName name="IQ_PERCENT_CHANGE_EST_PRICE_TARGET_12MONTHS">"c1844"</definedName>
    <definedName name="IQ_PERCENT_CHANGE_EST_PRICE_TARGET_12MONTHS_CIQ">"c3783"</definedName>
    <definedName name="IQ_PERCENT_CHANGE_EST_PRICE_TARGET_18MONTHS">"c1845"</definedName>
    <definedName name="IQ_PERCENT_CHANGE_EST_PRICE_TARGET_18MONTHS_CIQ">"c3784"</definedName>
    <definedName name="IQ_PERCENT_CHANGE_EST_PRICE_TARGET_3MONTHS">"c1841"</definedName>
    <definedName name="IQ_PERCENT_CHANGE_EST_PRICE_TARGET_3MONTHS_CIQ">"c3780"</definedName>
    <definedName name="IQ_PERCENT_CHANGE_EST_PRICE_TARGET_6MONTHS">"c1842"</definedName>
    <definedName name="IQ_PERCENT_CHANGE_EST_PRICE_TARGET_6MONTHS_CIQ">"c3781"</definedName>
    <definedName name="IQ_PERCENT_CHANGE_EST_PRICE_TARGET_9MONTHS">"c1843"</definedName>
    <definedName name="IQ_PERCENT_CHANGE_EST_PRICE_TARGET_9MONTHS_CIQ">"c3782"</definedName>
    <definedName name="IQ_PERCENT_CHANGE_EST_PRICE_TARGET_DAY">"c1838"</definedName>
    <definedName name="IQ_PERCENT_CHANGE_EST_PRICE_TARGET_DAY_CIQ">"c3778"</definedName>
    <definedName name="IQ_PERCENT_CHANGE_EST_PRICE_TARGET_MONTH">"c1840"</definedName>
    <definedName name="IQ_PERCENT_CHANGE_EST_PRICE_TARGET_MONTH_CIQ">"c3779"</definedName>
    <definedName name="IQ_PERCENT_CHANGE_EST_PRICE_TARGET_WEEK">"c1839"</definedName>
    <definedName name="IQ_PERCENT_CHANGE_EST_PRICE_TARGET_WEEK_CIQ">"c3798"</definedName>
    <definedName name="IQ_PERCENT_CHANGE_EST_RECO_12MONTHS">"c1836"</definedName>
    <definedName name="IQ_PERCENT_CHANGE_EST_RECO_12MONTHS_CIQ">"c3776"</definedName>
    <definedName name="IQ_PERCENT_CHANGE_EST_RECO_18MONTHS">"c1837"</definedName>
    <definedName name="IQ_PERCENT_CHANGE_EST_RECO_18MONTHS_CIQ">"c3777"</definedName>
    <definedName name="IQ_PERCENT_CHANGE_EST_RECO_3MONTHS">"c1833"</definedName>
    <definedName name="IQ_PERCENT_CHANGE_EST_RECO_3MONTHS_CIQ">"c3773"</definedName>
    <definedName name="IQ_PERCENT_CHANGE_EST_RECO_6MONTHS">"c1834"</definedName>
    <definedName name="IQ_PERCENT_CHANGE_EST_RECO_6MONTHS_CIQ">"c3774"</definedName>
    <definedName name="IQ_PERCENT_CHANGE_EST_RECO_9MONTHS">"c1835"</definedName>
    <definedName name="IQ_PERCENT_CHANGE_EST_RECO_9MONTHS_CIQ">"c3775"</definedName>
    <definedName name="IQ_PERCENT_CHANGE_EST_RECO_DAY">"c1830"</definedName>
    <definedName name="IQ_PERCENT_CHANGE_EST_RECO_DAY_CIQ">"c3771"</definedName>
    <definedName name="IQ_PERCENT_CHANGE_EST_RECO_MONTH">"c1832"</definedName>
    <definedName name="IQ_PERCENT_CHANGE_EST_RECO_MONTH_CIQ">"c3772"</definedName>
    <definedName name="IQ_PERCENT_CHANGE_EST_RECO_WEEK">"c1831"</definedName>
    <definedName name="IQ_PERCENT_CHANGE_EST_RECO_WEEK_CIQ">"c3796"</definedName>
    <definedName name="IQ_PERCENT_CHANGE_EST_REV_12MONTHS">"c1796"</definedName>
    <definedName name="IQ_PERCENT_CHANGE_EST_REV_12MONTHS_CIQ">"c3741"</definedName>
    <definedName name="IQ_PERCENT_CHANGE_EST_REV_18MONTHS">"c1797"</definedName>
    <definedName name="IQ_PERCENT_CHANGE_EST_REV_18MONTHS_CIQ">"c3742"</definedName>
    <definedName name="IQ_PERCENT_CHANGE_EST_REV_3MONTHS">"c1793"</definedName>
    <definedName name="IQ_PERCENT_CHANGE_EST_REV_3MONTHS_CIQ">"c3738"</definedName>
    <definedName name="IQ_PERCENT_CHANGE_EST_REV_6MONTHS">"c1794"</definedName>
    <definedName name="IQ_PERCENT_CHANGE_EST_REV_6MONTHS_CIQ">"c3739"</definedName>
    <definedName name="IQ_PERCENT_CHANGE_EST_REV_9MONTHS">"c1795"</definedName>
    <definedName name="IQ_PERCENT_CHANGE_EST_REV_9MONTHS_CIQ">"c3740"</definedName>
    <definedName name="IQ_PERCENT_CHANGE_EST_REV_DAY">"c1790"</definedName>
    <definedName name="IQ_PERCENT_CHANGE_EST_REV_DAY_CIQ">"c3735"</definedName>
    <definedName name="IQ_PERCENT_CHANGE_EST_REV_MONTH">"c1792"</definedName>
    <definedName name="IQ_PERCENT_CHANGE_EST_REV_MONTH_CIQ">"c3737"</definedName>
    <definedName name="IQ_PERCENT_CHANGE_EST_REV_WEEK">"c1791"</definedName>
    <definedName name="IQ_PERCENT_CHANGE_EST_REV_WEEK_CIQ">"c3736"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">"c5064"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CIQ">"c4688"</definedName>
    <definedName name="IQ_PRETAX_GW_INC_HIGH_EST">"c1704"</definedName>
    <definedName name="IQ_PRETAX_GW_INC_HIGH_EST_CIQ">"c4690"</definedName>
    <definedName name="IQ_PRETAX_GW_INC_LOW_EST">"c1705"</definedName>
    <definedName name="IQ_PRETAX_GW_INC_LOW_EST_CIQ">"c4691"</definedName>
    <definedName name="IQ_PRETAX_GW_INC_MEDIAN_EST">"c1703"</definedName>
    <definedName name="IQ_PRETAX_GW_INC_MEDIAN_EST_CIQ">"c4689"</definedName>
    <definedName name="IQ_PRETAX_GW_INC_NUM_EST">"c1706"</definedName>
    <definedName name="IQ_PRETAX_GW_INC_NUM_EST_CIQ">"c4692"</definedName>
    <definedName name="IQ_PRETAX_GW_INC_STDDEV_EST">"c1707"</definedName>
    <definedName name="IQ_PRETAX_GW_INC_STDDEV_EST_CIQ">"c4693"</definedName>
    <definedName name="IQ_PRETAX_INC_EST">"c1695"</definedName>
    <definedName name="IQ_PRETAX_INC_EST_CIQ">"c4681"</definedName>
    <definedName name="IQ_PRETAX_INC_HIGH_EST">"c1697"</definedName>
    <definedName name="IQ_PRETAX_INC_HIGH_EST_CIQ">"c4683"</definedName>
    <definedName name="IQ_PRETAX_INC_LOW_EST">"c1698"</definedName>
    <definedName name="IQ_PRETAX_INC_LOW_EST_CIQ">"c4684"</definedName>
    <definedName name="IQ_PRETAX_INC_MEDIAN_EST">"c1696"</definedName>
    <definedName name="IQ_PRETAX_INC_MEDIAN_EST_CIQ">"c4682"</definedName>
    <definedName name="IQ_PRETAX_INC_NUM_EST">"c1699"</definedName>
    <definedName name="IQ_PRETAX_INC_NUM_EST_CIQ">"c4685"</definedName>
    <definedName name="IQ_PRETAX_INC_STDDEV_EST">"c1700"</definedName>
    <definedName name="IQ_PRETAX_INC_STDDEV_EST_CIQ">"c4686"</definedName>
    <definedName name="IQ_PRETAX_REPORT_INC_EST">"c1709"</definedName>
    <definedName name="IQ_PRETAX_REPORT_INC_EST_CIQ">"c4695"</definedName>
    <definedName name="IQ_PRETAX_REPORT_INC_HIGH_EST">"c1711"</definedName>
    <definedName name="IQ_PRETAX_REPORT_INC_HIGH_EST_CIQ">"c4697"</definedName>
    <definedName name="IQ_PRETAX_REPORT_INC_LOW_EST">"c1712"</definedName>
    <definedName name="IQ_PRETAX_REPORT_INC_LOW_EST_CIQ">"c4698"</definedName>
    <definedName name="IQ_PRETAX_REPORT_INC_MEDIAN_EST">"c1710"</definedName>
    <definedName name="IQ_PRETAX_REPORT_INC_MEDIAN_EST_CIQ">"c4696"</definedName>
    <definedName name="IQ_PRETAX_REPORT_INC_NUM_EST">"c1713"</definedName>
    <definedName name="IQ_PRETAX_REPORT_INC_NUM_EST_CIQ">"c4699"</definedName>
    <definedName name="IQ_PRETAX_REPORT_INC_STDDEV_EST">"c1714"</definedName>
    <definedName name="IQ_PRETAX_REPORT_INC_STDDEV_EST_CIQ">"c4700"</definedName>
    <definedName name="IQ_PRETAX_RETURN_ASSETS_FDIC">"c6731"</definedName>
    <definedName name="IQ_PRICE_CFPS_FWD">"c2237"</definedName>
    <definedName name="IQ_PRICE_CFPS_FWD_CIQ">"c4046"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CIQ">"c12023"</definedName>
    <definedName name="IQ_PRICE_TARGET_CIQ">"c3613"</definedName>
    <definedName name="IQ_PRICE_VOLATILITY_EST">"c4492"</definedName>
    <definedName name="IQ_PRICE_VOLATILITY_EST_CIQ">"c5030"</definedName>
    <definedName name="IQ_PRICE_VOLATILITY_HIGH">"c4493"</definedName>
    <definedName name="IQ_PRICE_VOLATILITY_HIGH_CIQ">"c5031"</definedName>
    <definedName name="IQ_PRICE_VOLATILITY_LOW">"c4494"</definedName>
    <definedName name="IQ_PRICE_VOLATILITY_LOW_CIQ">"c5032"</definedName>
    <definedName name="IQ_PRICE_VOLATILITY_MEDIAN">"c4495"</definedName>
    <definedName name="IQ_PRICE_VOLATILITY_MEDIAN_CIQ">"c5033"</definedName>
    <definedName name="IQ_PRICE_VOLATILITY_NUM">"c4496"</definedName>
    <definedName name="IQ_PRICE_VOLATILITY_NUM_CIQ">"c5034"</definedName>
    <definedName name="IQ_PRICE_VOLATILITY_STDDEV">"c4497"</definedName>
    <definedName name="IQ_PRICE_VOLATILITY_STDDEV_CIQ">"c5035"</definedName>
    <definedName name="IQ_PRICEDATE">"c1069"</definedName>
    <definedName name="IQ_PRICING_DATE">"c1613"</definedName>
    <definedName name="IQ_PRIMARY_EPS_TYPE">"c4498"</definedName>
    <definedName name="IQ_PRIMARY_EPS_TYPE_CIQ">"c5036"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EST">"c4499"</definedName>
    <definedName name="IQ_RECURRING_PROFIT_EST_CIQ">"c5037"</definedName>
    <definedName name="IQ_RECURRING_PROFIT_GUIDANCE">"c4500"</definedName>
    <definedName name="IQ_RECURRING_PROFIT_GUIDANCE_CIQ">"c5038"</definedName>
    <definedName name="IQ_RECURRING_PROFIT_HIGH_EST">"c4501"</definedName>
    <definedName name="IQ_RECURRING_PROFIT_HIGH_EST_CIQ">"c5039"</definedName>
    <definedName name="IQ_RECURRING_PROFIT_HIGH_GUIDANCE">"c4179"</definedName>
    <definedName name="IQ_RECURRING_PROFIT_HIGH_GUIDANCE_CIQ">"c4591"</definedName>
    <definedName name="IQ_RECURRING_PROFIT_LOW_EST">"c4502"</definedName>
    <definedName name="IQ_RECURRING_PROFIT_LOW_EST_CIQ">"c5040"</definedName>
    <definedName name="IQ_RECURRING_PROFIT_LOW_GUIDANCE">"c4219"</definedName>
    <definedName name="IQ_RECURRING_PROFIT_LOW_GUIDANCE_CIQ">"c4631"</definedName>
    <definedName name="IQ_RECURRING_PROFIT_MEDIAN_EST">"c4503"</definedName>
    <definedName name="IQ_RECURRING_PROFIT_MEDIAN_EST_CIQ">"c5041"</definedName>
    <definedName name="IQ_RECURRING_PROFIT_NUM_EST">"c4504"</definedName>
    <definedName name="IQ_RECURRING_PROFIT_NUM_EST_CIQ">"c5042"</definedName>
    <definedName name="IQ_RECURRING_PROFIT_SHARE_ACT_OR_EST">"c4508"</definedName>
    <definedName name="IQ_RECURRING_PROFIT_SHARE_ACT_OR_EST_CIQ">"c5046"</definedName>
    <definedName name="IQ_RECURRING_PROFIT_SHARE_EST">"c4506"</definedName>
    <definedName name="IQ_RECURRING_PROFIT_SHARE_EST_CIQ">"c5044"</definedName>
    <definedName name="IQ_RECURRING_PROFIT_SHARE_GUIDANCE">"c4509"</definedName>
    <definedName name="IQ_RECURRING_PROFIT_SHARE_GUIDANCE_CIQ">"c5047"</definedName>
    <definedName name="IQ_RECURRING_PROFIT_SHARE_HIGH_EST">"c4510"</definedName>
    <definedName name="IQ_RECURRING_PROFIT_SHARE_HIGH_EST_CIQ">"c5048"</definedName>
    <definedName name="IQ_RECURRING_PROFIT_SHARE_HIGH_GUIDANCE">"c4200"</definedName>
    <definedName name="IQ_RECURRING_PROFIT_SHARE_HIGH_GUIDANCE_CIQ">"c4612"</definedName>
    <definedName name="IQ_RECURRING_PROFIT_SHARE_LOW_EST">"c4511"</definedName>
    <definedName name="IQ_RECURRING_PROFIT_SHARE_LOW_EST_CIQ">"c5049"</definedName>
    <definedName name="IQ_RECURRING_PROFIT_SHARE_LOW_GUIDANCE">"c4240"</definedName>
    <definedName name="IQ_RECURRING_PROFIT_SHARE_LOW_GUIDANCE_CIQ">"c4652"</definedName>
    <definedName name="IQ_RECURRING_PROFIT_SHARE_MEDIAN_EST">"c4512"</definedName>
    <definedName name="IQ_RECURRING_PROFIT_SHARE_MEDIAN_EST_CIQ">"c5050"</definedName>
    <definedName name="IQ_RECURRING_PROFIT_SHARE_NUM_EST">"c4513"</definedName>
    <definedName name="IQ_RECURRING_PROFIT_SHARE_NUM_EST_CIQ">"c5051"</definedName>
    <definedName name="IQ_RECURRING_PROFIT_SHARE_STDDEV_EST">"c4514"</definedName>
    <definedName name="IQ_RECURRING_PROFIT_SHARE_STDDEV_EST_CIQ">"c5052"</definedName>
    <definedName name="IQ_RECURRING_PROFIT_STDDEV_EST">"c4516"</definedName>
    <definedName name="IQ_RECURRING_PROFIT_STDDEV_EST_CIQ">"c5054"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CIQ">"c12020"</definedName>
    <definedName name="IQ_RETURN_ASSETS_BANK">"c1114"</definedName>
    <definedName name="IQ_RETURN_ASSETS_BROK">"c1115"</definedName>
    <definedName name="IQ_RETURN_ASSETS_EST">"c3529"</definedName>
    <definedName name="IQ_RETURN_ASSETS_EST_CIQ">"c3828"</definedName>
    <definedName name="IQ_RETURN_ASSETS_FDIC">"c6730"</definedName>
    <definedName name="IQ_RETURN_ASSETS_FS">"c1116"</definedName>
    <definedName name="IQ_RETURN_ASSETS_GUIDANCE">"c4517"</definedName>
    <definedName name="IQ_RETURN_ASSETS_GUIDANCE_CIQ">"c5055"</definedName>
    <definedName name="IQ_RETURN_ASSETS_HIGH_EST">"c3530"</definedName>
    <definedName name="IQ_RETURN_ASSETS_HIGH_EST_CIQ">"c3830"</definedName>
    <definedName name="IQ_RETURN_ASSETS_HIGH_GUIDANCE">"c4183"</definedName>
    <definedName name="IQ_RETURN_ASSETS_HIGH_GUIDANCE_CIQ">"c4595"</definedName>
    <definedName name="IQ_RETURN_ASSETS_LOW_EST">"c3531"</definedName>
    <definedName name="IQ_RETURN_ASSETS_LOW_EST_CIQ">"c3831"</definedName>
    <definedName name="IQ_RETURN_ASSETS_LOW_GUIDANCE">"c4223"</definedName>
    <definedName name="IQ_RETURN_ASSETS_LOW_GUIDANCE_CIQ">"c4635"</definedName>
    <definedName name="IQ_RETURN_ASSETS_MEDIAN_EST">"c3532"</definedName>
    <definedName name="IQ_RETURN_ASSETS_MEDIAN_EST_CIQ">"c3829"</definedName>
    <definedName name="IQ_RETURN_ASSETS_NUM_EST">"c3527"</definedName>
    <definedName name="IQ_RETURN_ASSETS_NUM_EST_CIQ">"c3832"</definedName>
    <definedName name="IQ_RETURN_ASSETS_STDDEV_EST">"c3528"</definedName>
    <definedName name="IQ_RETURN_ASSETS_STDDEV_EST_CIQ">"c3833"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CIQ">"c12021"</definedName>
    <definedName name="IQ_RETURN_EQUITY_BANK">"c1119"</definedName>
    <definedName name="IQ_RETURN_EQUITY_BROK">"c1120"</definedName>
    <definedName name="IQ_RETURN_EQUITY_EST">"c3535"</definedName>
    <definedName name="IQ_RETURN_EQUITY_EST_CIQ">"c3821"</definedName>
    <definedName name="IQ_RETURN_EQUITY_FDIC">"c6732"</definedName>
    <definedName name="IQ_RETURN_EQUITY_FS">"c1121"</definedName>
    <definedName name="IQ_RETURN_EQUITY_GUIDANCE">"c4518"</definedName>
    <definedName name="IQ_RETURN_EQUITY_GUIDANCE_CIQ">"c5056"</definedName>
    <definedName name="IQ_RETURN_EQUITY_HIGH_EST">"c3536"</definedName>
    <definedName name="IQ_RETURN_EQUITY_HIGH_EST_CIQ">"c3823"</definedName>
    <definedName name="IQ_RETURN_EQUITY_HIGH_GUIDANCE">"c4182"</definedName>
    <definedName name="IQ_RETURN_EQUITY_HIGH_GUIDANCE_CIQ">"c4594"</definedName>
    <definedName name="IQ_RETURN_EQUITY_LOW_EST">"c3537"</definedName>
    <definedName name="IQ_RETURN_EQUITY_LOW_EST_CIQ">"c3824"</definedName>
    <definedName name="IQ_RETURN_EQUITY_LOW_GUIDANCE">"c4222"</definedName>
    <definedName name="IQ_RETURN_EQUITY_LOW_GUIDANCE_CIQ">"c4634"</definedName>
    <definedName name="IQ_RETURN_EQUITY_MEDIAN_EST">"c3538"</definedName>
    <definedName name="IQ_RETURN_EQUITY_MEDIAN_EST_CIQ">"c3822"</definedName>
    <definedName name="IQ_RETURN_EQUITY_NUM_EST">"c3533"</definedName>
    <definedName name="IQ_RETURN_EQUITY_NUM_EST_CIQ">"c3825"</definedName>
    <definedName name="IQ_RETURN_EQUITY_STDDEV_EST">"c3534"</definedName>
    <definedName name="IQ_RETURN_EQUITY_STDDEV_EST_CIQ">"c3826"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EST">"c1126"</definedName>
    <definedName name="IQ_REVENUE_EST_BOTTOM_UP">"c5488"</definedName>
    <definedName name="IQ_REVENUE_EST_BOTTOM_UP_CIQ">"c12025"</definedName>
    <definedName name="IQ_REVENUE_EST_CIQ">"c3616"</definedName>
    <definedName name="IQ_REVENUE_GUIDANCE">"c4519"</definedName>
    <definedName name="IQ_REVENUE_GUIDANCE_CIQ">"c5057"</definedName>
    <definedName name="IQ_REVENUE_HIGH_EST">"c1127"</definedName>
    <definedName name="IQ_REVENUE_HIGH_EST_CIQ">"c3618"</definedName>
    <definedName name="IQ_REVENUE_HIGH_GUIDANCE">"c4169"</definedName>
    <definedName name="IQ_REVENUE_HIGH_GUIDANCE_CIQ">"c4581"</definedName>
    <definedName name="IQ_REVENUE_LOW_EST">"c1128"</definedName>
    <definedName name="IQ_REVENUE_LOW_EST_CIQ">"c3619"</definedName>
    <definedName name="IQ_REVENUE_LOW_GUIDANCE">"c4209"</definedName>
    <definedName name="IQ_REVENUE_LOW_GUIDANCE_CIQ">"c4621"</definedName>
    <definedName name="IQ_REVENUE_MEDIAN_EST">"c1662"</definedName>
    <definedName name="IQ_REVENUE_MEDIAN_EST_CIQ">"c3617"</definedName>
    <definedName name="IQ_REVENUE_NUM_EST">"c1129"</definedName>
    <definedName name="IQ_REVENUE_NUM_EST_CIQ">"c3620"</definedName>
    <definedName name="IQ_REVISION_DATE_">39825.5794791667</definedName>
    <definedName name="IQ_RISK_ADJ_BANK_ASSETS">"c2670"</definedName>
    <definedName name="IQ_RISK_WEIGHTED_ASSETS_FDIC">"c6370"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ST_CIQ">"c5073"</definedName>
    <definedName name="IQ_STOCK_BASED_GA">"c2993"</definedName>
    <definedName name="IQ_STOCK_BASED_HIGH_EST">"c4521"</definedName>
    <definedName name="IQ_STOCK_BASED_HIGH_EST_CIQ">"c5074"</definedName>
    <definedName name="IQ_STOCK_BASED_LOW_EST">"c4522"</definedName>
    <definedName name="IQ_STOCK_BASED_LOW_EST_CIQ">"c5075"</definedName>
    <definedName name="IQ_STOCK_BASED_MEDIAN_EST">"c4523"</definedName>
    <definedName name="IQ_STOCK_BASED_MEDIAN_EST_CIQ">"c5076"</definedName>
    <definedName name="IQ_STOCK_BASED_NUM_EST">"c4524"</definedName>
    <definedName name="IQ_STOCK_BASED_NUM_EST_CIQ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STDDEV_EST_CIQ">"c5078"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STDDEV">"c1654"</definedName>
    <definedName name="IQ_TARGET_PRICE_STDDEV_CIQ">"c4662"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CIQ">"c4047"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MPLOYEE_AVG">"c1225"</definedName>
    <definedName name="IQ_TEV_EST">"c4526"</definedName>
    <definedName name="IQ_TEV_EST_CIQ">"c5079"</definedName>
    <definedName name="IQ_TEV_HIGH_EST">"c4527"</definedName>
    <definedName name="IQ_TEV_HIGH_EST_CIQ">"c5080"</definedName>
    <definedName name="IQ_TEV_LOW_EST">"c4528"</definedName>
    <definedName name="IQ_TEV_LOW_EST_CIQ">"c5081"</definedName>
    <definedName name="IQ_TEV_MEDIAN_EST">"c4529"</definedName>
    <definedName name="IQ_TEV_MEDIAN_EST_CIQ">"c5082"</definedName>
    <definedName name="IQ_TEV_NUM_EST">"c4530"</definedName>
    <definedName name="IQ_TEV_NUM_EST_CIQ">"c5083"</definedName>
    <definedName name="IQ_TEV_STDDEV_EST">"c4531"</definedName>
    <definedName name="IQ_TEV_STDDEV_EST_CIQ">"c5084"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ST_CIQ">"c5085"</definedName>
    <definedName name="IQ_TOTAL_DEBT_EXCL_FIN">"c2937"</definedName>
    <definedName name="IQ_TOTAL_DEBT_GUIDANCE">"c4533"</definedName>
    <definedName name="IQ_TOTAL_DEBT_GUIDANCE_CIQ">"c5086"</definedName>
    <definedName name="IQ_TOTAL_DEBT_HIGH_EST">"c4534"</definedName>
    <definedName name="IQ_TOTAL_DEBT_HIGH_EST_CIQ">"c5087"</definedName>
    <definedName name="IQ_TOTAL_DEBT_HIGH_GUIDANCE">"c4196"</definedName>
    <definedName name="IQ_TOTAL_DEBT_HIGH_GUIDANCE_CIQ">"c4608"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EST_CIQ">"c5088"</definedName>
    <definedName name="IQ_TOTAL_DEBT_LOW_GUIDANCE">"c4236"</definedName>
    <definedName name="IQ_TOTAL_DEBT_LOW_GUIDANCE_CIQ">"c4648"</definedName>
    <definedName name="IQ_TOTAL_DEBT_MEDIAN_EST">"c4536"</definedName>
    <definedName name="IQ_TOTAL_DEBT_MEDIAN_EST_CIQ">"c5089"</definedName>
    <definedName name="IQ_TOTAL_DEBT_NON_CURRENT">"c6191"</definedName>
    <definedName name="IQ_TOTAL_DEBT_NUM_EST">"c4537"</definedName>
    <definedName name="IQ_TOTAL_DEBT_NUM_EST_CIQ">"c5090"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BT_STDDEV_EST_CIQ">"c5091"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W">"c2163"</definedName>
    <definedName name="IQ_YTW_DATE">"c2164"</definedName>
    <definedName name="IQ_YTW_DATE_TYPE">"c2165"</definedName>
    <definedName name="IQ_Z_SCORE">"c1339"</definedName>
    <definedName name="IRPJ98">{#N/A,#N/A,FALSE,"IR E CS 1997";#N/A,#N/A,FALSE,"PR ND";#N/A,#N/A,FALSE,"8191";#N/A,#N/A,FALSE,"8383";#N/A,#N/A,FALSE,"MP 1024";#N/A,#N/A,FALSE,"AD_EX_97";#N/A,#N/A,FALSE,"BD 97"}</definedName>
    <definedName name="IUUI">{"RRHH",#N/A,FALSE,"Por Dirección";"Operaciones",#N/A,FALSE,"Por Dirección";"Logística",#N/A,FALSE,"Por Dirección";"Comercial",#N/A,FALSE,"Por Dirección";"Administracion",#N/A,FALSE,"Por Dirección"}</definedName>
    <definedName name="JANA">{"Fecha_Novembro",#N/A,FALSE,"FECHAMENTO-2002 ";"Defer_Novembro",#N/A,FALSE,"DIFERIDO";"Pis_Novembro",#N/A,FALSE,"PIS COFINS";"Iss_Novembro",#N/A,FALSE,"ISS"}</definedName>
    <definedName name="jessica">{"IND","COMPANIES",TRUE}</definedName>
    <definedName name="Justif">{#N/A,#N/A,FALSE,"Extra2";#N/A,#N/A,FALSE,"Comp2";#N/A,#N/A,FALSE,"Ret-PL"}</definedName>
    <definedName name="Justif_03">{#N/A,#N/A,FALSE,"Extra2";#N/A,#N/A,FALSE,"Comp2";#N/A,#N/A,FALSE,"Ret-PL"}</definedName>
    <definedName name="kj">{#N/A,#N/A,FALSE,"RESUMO"}</definedName>
    <definedName name="kk">{#N/A,#N/A,FALSE,"Previa Fech";#N/A,#N/A,FALSE,"PIS.COFINS";#N/A,#N/A,FALSE,"PDD";#N/A,#N/A,FALSE,"PIRD";#N/A,#N/A,FALSE,"C.Social";#N/A,#N/A,FALSE,"LALUR";#N/A,#N/A,FALSE,"Estimado(2)";#N/A,#N/A,FALSE,"Estimado-1";#N/A,#N/A,FALSE,"C.Social_RF";#N/A,#N/A,FALSE,"LALUR_RF";#N/A,#N/A,FALSE,"Contr.CT";#N/A,#N/A,FALSE,"Comparativo";#N/A,#N/A,FALSE,"Extra-1";#N/A,#N/A,FALSE,"RET-PL."}</definedName>
    <definedName name="kkkkk">{"TotalGeralDespesasPorArea",#N/A,FALSE,"VinculosAccessEfetivo"}</definedName>
    <definedName name="kkkkkkkkk">{"Fecha_Dezembro",#N/A,FALSE,"FECHAMENTO-2002 ";"Defer_Dezermbro",#N/A,FALSE,"DIFERIDO";"Pis_Dezembro",#N/A,FALSE,"PIS COFINS";"Iss_Dezembro",#N/A,FALSE,"ISS"}</definedName>
    <definedName name="lç">{#N/A,#N/A,FALSE,"Previa Fech";#N/A,#N/A,FALSE,"PIS.COFINS";#N/A,#N/A,FALSE,"PDD";#N/A,#N/A,FALSE,"PIRD";#N/A,#N/A,FALSE,"C.Social";#N/A,#N/A,FALSE,"LALUR";#N/A,#N/A,FALSE,"Estimado(2)";#N/A,#N/A,FALSE,"Estimado-1";#N/A,#N/A,FALSE,"C.Social_RF";#N/A,#N/A,FALSE,"LALUR_RF";#N/A,#N/A,FALSE,"Contr.CT";#N/A,#N/A,FALSE,"Comparativo";#N/A,#N/A,FALSE,"Extra-1";#N/A,#N/A,FALSE,"RET-PL.";#N/A,#N/A,FALSE,"Mét.Financ.";#N/A,#N/A,FALSE,"ficha"}</definedName>
    <definedName name="li">'[28]DRE Analyzer'!#REF!</definedName>
    <definedName name="limcount">3</definedName>
    <definedName name="LIX">{#N/A,#N/A,FALSE,"Relatórios";"Vendas e Custos",#N/A,FALSE,"Vendas e Custos";"Premissas",#N/A,FALSE,"Premissas";"Projeções",#N/A,FALSE,"Projeções";"Dolar",#N/A,FALSE,"Dolar";"Original",#N/A,FALSE,"Original e UFIR"}</definedName>
    <definedName name="lixão">{#N/A,#N/A,FALSE,"Relatórios";"Vendas e Custos",#N/A,FALSE,"Vendas e Custos";"Premissas",#N/A,FALSE,"Premissas";"Projeções",#N/A,FALSE,"Projeções";"Dolar",#N/A,FALSE,"Dolar";"Original",#N/A,FALSE,"Original e UFIR"}</definedName>
    <definedName name="lixo">{#N/A,#N/A,FALSE,"Relatórios";"Vendas e Custos",#N/A,FALSE,"Vendas e Custos";"Premissas",#N/A,FALSE,"Premissas";"Projeções",#N/A,FALSE,"Projeções";"Dolar",#N/A,FALSE,"Dolar";"Original",#N/A,FALSE,"Original e UFIR"}</definedName>
    <definedName name="lll">{"Fecha_Novembro",#N/A,FALSE,"FECHAMENTO-2002 ";"Defer_Novembro",#N/A,FALSE,"DIFERIDO";"Pis_Novembro",#N/A,FALSE,"PIS COFINS";"Iss_Novembro",#N/A,FALSE,"ISS"}</definedName>
    <definedName name="Loiana">{#N/A,#N/A,FALSE,"Extra2";#N/A,#N/A,FALSE,"Comp2";#N/A,#N/A,FALSE,"Ret-PL"}</definedName>
    <definedName name="Marcel">{"'Sheet1'!$A$1:$G$85"}</definedName>
    <definedName name="Mayo">{"RRHH",#N/A,FALSE,"Por Dirección";"Operaciones",#N/A,FALSE,"Por Dirección";"Logística",#N/A,FALSE,"Por Dirección";"Comercial",#N/A,FALSE,"Por Dirección";"Administracion",#N/A,FALSE,"Por Dirección"}</definedName>
    <definedName name="mensal">{TRUE,TRUE,0.25,-14,454.5,281.25,FALSE,TRUE,TRUE,TRUE,0,1,28,1,5,4,4,4,TRUE,TRUE,3,TRUE,1,TRUE,75,"Swvu.CATODO.","ACwvu.CATODO.",#N/A,FALSE,FALSE,0.78740157480315,0.67,0.984251968503937,0.984251968503937,2,"&amp;L&amp;14DIAC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&amp;A",TRUE,TRUE,FALSE,FALSE,1,#N/A,1,1,FALSE,FALSE,"Rwvu.CATODO.",#N/A,FALSE,FALSE,FALSE,1,300,300,FALSE,FALSE,TRUE,TRUE,TRUE}</definedName>
    <definedName name="mtk">{"Fecha_Novembro",#N/A,FALSE,"FECHAMENTO-2002 ";"Defer_Novembro",#N/A,FALSE,"DIFERIDO";"Pis_Novembro",#N/A,FALSE,"PIS COFINS";"Iss_Novembro",#N/A,FALSE,"ISS"}</definedName>
    <definedName name="NADA1">{#N/A,#N/A,TRUE,"DIÁRIA";#N/A,#N/A,TRUE,"DIÁRIA"}</definedName>
    <definedName name="NASD">{"IND","COMPANIES",TRUE}</definedName>
    <definedName name="new">{#N/A,#N/A,FALSE,"Previa Fech";#N/A,#N/A,FALSE,"PIS";#N/A,#N/A,FALSE,"COFINS";#N/A,#N/A,FALSE,"PDD";#N/A,#N/A,FALSE,"C.Social";#N/A,#N/A,FALSE,"LALUR";#N/A,#N/A,FALSE,"Estimado(2)";#N/A,#N/A,FALSE,"Estimado-1";#N/A,#N/A,FALSE,"C.Social_RF";#N/A,#N/A,FALSE,"LALUR_RF";#N/A,#N/A,FALSE,"Comparativo";#N/A,#N/A,FALSE,"Extra-1";#N/A,#N/A,FALSE,"RET-PL."}</definedName>
    <definedName name="ni">{#N/A,#N/A,FALSE,"Previa Fech";#N/A,#N/A,FALSE,"PIS";#N/A,#N/A,FALSE,"COFINS";#N/A,#N/A,FALSE,"PDD";#N/A,#N/A,FALSE,"C.Social";#N/A,#N/A,FALSE,"LALUR";#N/A,#N/A,FALSE,"Estimado(2)";#N/A,#N/A,FALSE,"Estimado-1";#N/A,#N/A,FALSE,"C.Social_RF";#N/A,#N/A,FALSE,"LALUR_RF";#N/A,#N/A,FALSE,"Comparativo";#N/A,#N/A,FALSE,"Extra-1";#N/A,#N/A,FALSE,"RET-PL."}</definedName>
    <definedName name="ñl">{"RRHH",#N/A,FALSE,"Por Dirección";"Operaciones",#N/A,FALSE,"Por Dirección";"Logística",#N/A,FALSE,"Por Dirección";"Comercial",#N/A,FALSE,"Por Dirección";"Administracion",#N/A,FALSE,"Por Dirección"}</definedName>
    <definedName name="NumofGrpAccts">2</definedName>
    <definedName name="nvnvnvnv">{#N/A,#N/A,FALSE,"Aging Summary";#N/A,#N/A,FALSE,"Ratio Analysis";#N/A,#N/A,FALSE,"Test 120 Day Accts";#N/A,#N/A,FALSE,"Tickmarks"}</definedName>
    <definedName name="OLIVIO">{TRUE,TRUE,0.25,-14,454.5,281.25,FALSE,TRUE,TRUE,TRUE,0,1,28,1,5,4,4,4,TRUE,TRUE,3,TRUE,1,TRUE,75,"Swvu.CATODO.","ACwvu.CATODO.",#N/A,FALSE,FALSE,0.78740157480315,0.67,0.984251968503937,0.984251968503937,2,"&amp;L&amp;14DIAC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&amp;A",TRUE,TRUE,FALSE,FALSE,1,#N/A,1,1,FALSE,FALSE,"Rwvu.CATODO.",#N/A,FALSE,FALSE,FALSE,1,300,300,FALSE,FALSE,TRUE,TRUE,TRUE}</definedName>
    <definedName name="ooo">{TRUE,TRUE,0.25,-14,454.5,281.25,FALSE,TRUE,TRUE,TRUE,0,1,5,1,5,4,4,4,TRUE,TRUE,3,TRUE,1,TRUE,75,"Swvu.VERGALHÃO.","ACwvu.VERGALHÃO.",#N/A,FALSE,FALSE,0.78740157480315,0.67,0.984251968503937,0.984251968503937,2,"&amp;L&amp;14DIAC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&amp;A",TRUE,TRUE,FALSE,FALSE,1,#N/A,1,1,FALSE,FALSE,"Rwvu.VERGALHÃO.",#N/A,FALSE,FALSE,FALSE,1,300,300,FALSE,FALSE,TRUE,TRUE,TRUE}</definedName>
    <definedName name="Output">{"Fecha_Novembro",#N/A,FALSE,"FECHAMENTO-2002 ";"Defer_Novembro",#N/A,FALSE,"DIFERIDO";"Pis_Novembro",#N/A,FALSE,"PIS COFINS";"Iss_Novembro",#N/A,FALSE,"ISS"}</definedName>
    <definedName name="Pal_Workbook_GUID">"FL7QJINPCEWEXYP1HMSVNPRH"</definedName>
    <definedName name="pinco">[33]ce!#REF!</definedName>
    <definedName name="pippo">[5]ce!#REF!</definedName>
    <definedName name="POSTO">{"RRHH",#N/A,FALSE,"Por Dirección";"Operaciones",#N/A,FALSE,"Por Dirección";"Logística",#N/A,FALSE,"Por Dirección";"Comercial",#N/A,FALSE,"Por Dirección";"Administracion",#N/A,FALSE,"Por Dirección"}</definedName>
    <definedName name="PUB_FileID">"L10003649.xls"</definedName>
    <definedName name="PUB_UserID">"MAYERX"</definedName>
    <definedName name="qqqqqqqqqq">{"RRHH",#N/A,FALSE,"Por Dirección";"Operaciones",#N/A,FALSE,"Por Dirección";"Logística",#N/A,FALSE,"Por Dirección";"Comercial",#N/A,FALSE,"Por Dirección";"Administracion",#N/A,FALSE,"Por Dirección"}</definedName>
    <definedName name="redo">{#N/A,#N/A,FALSE,"ACQ_GRAPHS";#N/A,#N/A,FALSE,"T_1 GRAPHS";#N/A,#N/A,FALSE,"T_2 GRAPHS";#N/A,#N/A,FALSE,"COMB_GRAPHS"}</definedName>
    <definedName name="relatorio2">{#N/A,#N/A,FALSE,"Relatórios";"Vendas e Custos",#N/A,FALSE,"Vendas e Custos";"Premissas",#N/A,FALSE,"Premissas";"Projeções",#N/A,FALSE,"Projeções";"Dolar",#N/A,FALSE,"Dolar";"Original",#N/A,FALSE,"Original e UFIR"}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7</definedName>
    <definedName name="RiskMinimizeOnStart">FALSE</definedName>
    <definedName name="RiskMonitorConvergence">FALSE</definedName>
    <definedName name="RiskMultipleCPUSupportEnabled">TRUE</definedName>
    <definedName name="RiskNumIterations">5000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ger">"                                                                                                                                                                                                                                                            38"</definedName>
    <definedName name="RowLevel">1</definedName>
    <definedName name="rraa">{#N/A,#N/A,FALSE,"Previa Fech";#N/A,#N/A,FALSE,"PIS.COFINS";#N/A,#N/A,FALSE,"PDD";#N/A,#N/A,FALSE,"PIRD";#N/A,#N/A,FALSE,"C.Social";#N/A,#N/A,FALSE,"LALUR";#N/A,#N/A,FALSE,"Estimado(2)";#N/A,#N/A,FALSE,"Estimado-1";#N/A,#N/A,FALSE,"C.Social_RF";#N/A,#N/A,FALSE,"LALUR_RF";#N/A,#N/A,FALSE,"Contr.CT";#N/A,#N/A,FALSE,"Comparativo";#N/A,#N/A,FALSE,"Extra-1";#N/A,#N/A,FALSE,"RET-PL."}</definedName>
    <definedName name="s">{"IND","COMPANIES",TRUE}</definedName>
    <definedName name="Sales_5Q99">{#N/A,#N/A,FALSE,"base"}</definedName>
    <definedName name="SAPBEXdnldView">"F2S4QV3TTPUIFKVBCHDRCGF6F"</definedName>
    <definedName name="SAPBEXhrIndnt">1</definedName>
    <definedName name="SAPBEXrevision">1</definedName>
    <definedName name="SAPBEXsysID">"BWP"</definedName>
    <definedName name="SAPBEXwbID">"44OVV3OZI2OMRWDB2C8120W7B"</definedName>
    <definedName name="SAPsysID">"708C5W7SBKP804JT78WJ0JNKI"</definedName>
    <definedName name="SAPwbID">"ARS"</definedName>
    <definedName name="sd">{"RRHH",#N/A,FALSE,"Por Dirección";"Operaciones",#N/A,FALSE,"Por Dirección";"Logística",#N/A,FALSE,"Por Dirección";"Comercial",#N/A,FALSE,"Por Dirección";"Administracion",#N/A,FALSE,"Por Dirección"}</definedName>
    <definedName name="sda">[20]SEMANAIS!#REF!</definedName>
    <definedName name="sddddddddddd">{"RRHH",#N/A,FALSE,"Por Dirección";"Operaciones",#N/A,FALSE,"Por Dirección";"Logística",#N/A,FALSE,"Por Dirección";"Comercial",#N/A,FALSE,"Por Dirección";"Administracion",#N/A,FALSE,"Por Dirección"}</definedName>
    <definedName name="seila">{#N/A,#N/A,FALSE,"Aging Summary";#N/A,#N/A,FALSE,"Ratio Analysis";#N/A,#N/A,FALSE,"Test 120 Day Accts";#N/A,#N/A,FALSE,"Tickmarks"}</definedName>
    <definedName name="sencount">1</definedName>
    <definedName name="serwe">{"RRHH",#N/A,FALSE,"Por Dirección";"Operaciones",#N/A,FALSE,"Por Dirección";"Logística",#N/A,FALSE,"Por Dirección";"Comercial",#N/A,FALSE,"Por Dirección";"Administracion",#N/A,FALSE,"Por Dirección"}</definedName>
    <definedName name="simula2">{TRUE,TRUE,0.25,-14,454.5,281.25,FALSE,TRUE,TRUE,TRUE,0,1,5,1,5,4,4,4,TRUE,TRUE,3,TRUE,1,TRUE,75,"Swvu.VERGALHÃO.","ACwvu.VERGALHÃO.",#N/A,FALSE,FALSE,0.78740157480315,0.67,0.984251968503937,0.984251968503937,2,"&amp;L&amp;14DIAC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&amp;A",TRUE,TRUE,FALSE,FALSE,1,#N/A,1,1,FALSE,FALSE,"Rwvu.VERGALHÃO.",#N/A,FALSE,FALSE,FALSE,1,300,300,FALSE,FALSE,TRUE,TRUE,TRUE}</definedName>
    <definedName name="simulado">{TRUE,TRUE,0.25,-14,454.5,281.25,FALSE,TRUE,TRUE,TRUE,0,1,5,1,5,4,4,4,TRUE,TRUE,3,TRUE,1,TRUE,75,"Swvu.VERGALHÃO.","ACwvu.VERGALHÃO.",#N/A,FALSE,FALSE,0.78740157480315,0.67,0.984251968503937,0.984251968503937,2,"&amp;L&amp;14DIAC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&amp;A",TRUE,TRUE,FALSE,FALSE,1,#N/A,1,1,FALSE,FALSE,"Rwvu.VERGALHÃO.",#N/A,FALSE,FALSE,FALSE,1,300,300,FALSE,FALSE,TRUE,TRUE,TRUE}</definedName>
    <definedName name="solver_cvg">0.001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ssss">{"Fecha_Dezembro",#N/A,FALSE,"FECHAMENTO-2002 ";"Defer_Dezermbro",#N/A,FALSE,"DIFERIDO";"Pis_Dezembro",#N/A,FALSE,"PIS COFINS";"Iss_Dezembro",#N/A,FALSE,"ISS"}</definedName>
    <definedName name="sssssss">{"Fecha_Dezembro",#N/A,FALSE,"FECHAMENTO-2002 ";"Defer_Dezermbro",#N/A,FALSE,"DIFERIDO";"Pis_Dezembro",#N/A,FALSE,"PIS COFINS";"Iss_Dezembro",#N/A,FALSE,"ISS"}</definedName>
    <definedName name="Summary">{"IND","COMPANIES",TRUE}</definedName>
    <definedName name="TBdbName">"88D5BF544BE111D2B8C5006097494125.mdb"</definedName>
    <definedName name="Temp_04.01">{#N/A,#N/A,FALSE,"Previa Fech";#N/A,#N/A,FALSE,"PIS";#N/A,#N/A,FALSE,"COFINS";#N/A,#N/A,FALSE,"PDD";#N/A,#N/A,FALSE,"C.Social";#N/A,#N/A,FALSE,"LALUR";#N/A,#N/A,FALSE,"Estimado(2)";#N/A,#N/A,FALSE,"Estimado-1";#N/A,#N/A,FALSE,"C.Social_RF";#N/A,#N/A,FALSE,"LALUR_RF";#N/A,#N/A,FALSE,"Comparativo";#N/A,#N/A,FALSE,"Extra-1";#N/A,#N/A,FALSE,"RET-PL."}</definedName>
    <definedName name="TEMP_06.01">{#N/A,#N/A,FALSE,"Previa Fech";#N/A,#N/A,FALSE,"PIS";#N/A,#N/A,FALSE,"COFINS";#N/A,#N/A,FALSE,"PDD";#N/A,#N/A,FALSE,"C.Social";#N/A,#N/A,FALSE,"LALUR";#N/A,#N/A,FALSE,"Estimado(2)";#N/A,#N/A,FALSE,"Estimado-1";#N/A,#N/A,FALSE,"C.Social_RF";#N/A,#N/A,FALSE,"LALUR_RF";#N/A,#N/A,FALSE,"Comparativo";#N/A,#N/A,FALSE,"Extra-1";#N/A,#N/A,FALSE,"RET-PL."}</definedName>
    <definedName name="Temp_07.01">{#N/A,#N/A,FALSE,"Previa Fech";#N/A,#N/A,FALSE,"PIS";#N/A,#N/A,FALSE,"COFINS";#N/A,#N/A,FALSE,"PDD";#N/A,#N/A,FALSE,"C.Social";#N/A,#N/A,FALSE,"LALUR";#N/A,#N/A,FALSE,"Estimado(2)";#N/A,#N/A,FALSE,"Estimado-1";#N/A,#N/A,FALSE,"C.Social_RF";#N/A,#N/A,FALSE,"LALUR_RF";#N/A,#N/A,FALSE,"Comparativo";#N/A,#N/A,FALSE,"Extra-1";#N/A,#N/A,FALSE,"RET-PL."}</definedName>
    <definedName name="temp_10">{#N/A,#N/A,FALSE,"Extra2";#N/A,#N/A,FALSE,"Comp2";#N/A,#N/A,FALSE,"Ret-PL"}</definedName>
    <definedName name="temp_12">{#N/A,#N/A,FALSE,"Extra2";#N/A,#N/A,FALSE,"Comp2";#N/A,#N/A,FALSE,"Ret-PL"}</definedName>
    <definedName name="teste3">{"Fecha_Outubro",#N/A,FALSE,"FECHAMENTO-2002 ";"Defer_Outubro",#N/A,FALSE,"DIFERIDO";"Pis_Outubro",#N/A,FALSE,"PIS COFINS";"Iss_Outubro",#N/A,FALSE,"ISS"}</definedName>
    <definedName name="teste4">{#N/A,#N/A,FALSE,"HONORÁRIOS"}</definedName>
    <definedName name="teste5">{"Fecha_Setembro",#N/A,FALSE,"FECHAMENTO-2002 ";"Defer_Setembro",#N/A,FALSE,"DIFERIDO";"Pis_Setembro",#N/A,FALSE,"PIS COFINS";"Iss_Setembro",#N/A,FALSE,"ISS"}</definedName>
    <definedName name="testew">{"'Quadro'!$A$4:$BG$78"}</definedName>
    <definedName name="TextRefCopyRangeCount">15</definedName>
    <definedName name="TY">{"RRHH",#N/A,FALSE,"Por Dirección";"Operaciones",#N/A,FALSE,"Por Dirección";"Logística",#N/A,FALSE,"Por Dirección";"Comercial",#N/A,FALSE,"Por Dirección";"Administracion",#N/A,FALSE,"Por Dirección"}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vbvcxhbv">{"RRHH",#N/A,FALSE,"Por Dirección";"Operaciones",#N/A,FALSE,"Por Dirección";"Logística",#N/A,FALSE,"Por Dirección";"Comercial",#N/A,FALSE,"Por Dirección";"Administracion",#N/A,FALSE,"Por Dirección"}</definedName>
    <definedName name="vdffdg">{"RRHH",#N/A,FALSE,"Por Dirección";"Operaciones",#N/A,FALSE,"Por Dirección";"Logística",#N/A,FALSE,"Por Dirección";"Comercial",#N/A,FALSE,"Por Dirección";"Administracion",#N/A,FALSE,"Por Dirección"}</definedName>
    <definedName name="VGT">{#N/A,#N/A,FALSE,"Aging Summary";#N/A,#N/A,FALSE,"Ratio Analysis";#N/A,#N/A,FALSE,"Test 120 Day Accts";#N/A,#N/A,FALSE,"Tickmarks"}</definedName>
    <definedName name="w">{#N/A,#N/A,FALSE,"Previa Fech";#N/A,#N/A,FALSE,"PIS.COFINS";#N/A,#N/A,FALSE,"PDD";#N/A,#N/A,FALSE,"PIRD";#N/A,#N/A,FALSE,"C.Social";#N/A,#N/A,FALSE,"LALUR";#N/A,#N/A,FALSE,"Estimado(2)";#N/A,#N/A,FALSE,"Estimado-1";#N/A,#N/A,FALSE,"C.Social_RF";#N/A,#N/A,FALSE,"LALUR_RF";#N/A,#N/A,FALSE,"Contr.CT";#N/A,#N/A,FALSE,"Comparativo";#N/A,#N/A,FALSE,"Extra-1";#N/A,#N/A,FALSE,"RET-PL."}</definedName>
    <definedName name="wrn.Aging._.and._.Trend._.Analysis.">{#N/A,#N/A,FALSE,"Aging Summary";#N/A,#N/A,FALSE,"Ratio Analysis";#N/A,#N/A,FALSE,"Test 120 Day Accts";#N/A,#N/A,FALSE,"Tickmarks"}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B._.P._.TDS.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lanco._.patrimonial.">{#N/A,#N/A,FALSE,"base"}</definedName>
    <definedName name="wrn.Book.">{"EVA",#N/A,FALSE,"SMT2";#N/A,#N/A,FALSE,"Summary";#N/A,#N/A,FALSE,"Graphs";#N/A,#N/A,FALSE,"4 Panel"}</definedName>
    <definedName name="wrn.BUTMAX.">{#N/A,#N/A,FALSE,"Ventas";#N/A,#N/A,FALSE,"MARGEN";#N/A,#N/A,FALSE,"Resultado";#N/A,#N/A,FALSE,"GRAFICOS";#N/A,#N/A,FALSE,"GRAFICOS (2)"}</definedName>
    <definedName name="wrn.cacri.">{#N/A,#N/A,FALSE,"RESUMO"}</definedName>
    <definedName name="wrn.catbob.">{#N/A,#N/A,FALSE,"PROGRAMAÇÃO SEMANAL";#N/A,#N/A,FALSE,"PROG. DIÁRIA -FEV"}</definedName>
    <definedName name="wrn.CATVERG.">{"VERGALHÃO",#N/A,FALSE,"DIÁRIA";"CATODO",#N/A,FALSE,"DIÁRIA"}</definedName>
    <definedName name="wrn.COMBINED.">{#N/A,#N/A,FALSE,"INPUTS";#N/A,#N/A,FALSE,"PROFORMA BSHEET";#N/A,#N/A,FALSE,"COMBINED";#N/A,#N/A,FALSE,"HIGH YIELD";#N/A,#N/A,FALSE,"COMB_GRAPHS"}</definedName>
    <definedName name="wrn.Complete.">{#N/A,#N/A,FALSE,"SMT1";#N/A,#N/A,FALSE,"SMT2";#N/A,#N/A,FALSE,"Summary";#N/A,#N/A,FALSE,"Graphs";#N/A,#N/A,FALSE,"4 Panel"}</definedName>
    <definedName name="wrn.Complete._.Set.">{#N/A,#N/A,FALSE,"Full";#N/A,#N/A,FALSE,"Half";#N/A,#N/A,FALSE,"Op Expenses";#N/A,#N/A,FALSE,"Cap Charge";#N/A,#N/A,FALSE,"Cost C";#N/A,#N/A,FALSE,"PP&amp;E";#N/A,#N/A,FALSE,"R&amp;D"}</definedName>
    <definedName name="wrn.CSOCIAL.">{#N/A,#N/A,FALSE,"CSOCIAL"}</definedName>
    <definedName name="wrn.DespesasPorArea.">{"TotalGeralDespesasPorArea",#N/A,FALSE,"VinculosAccessEfetivo"}</definedName>
    <definedName name="wrn.Dezembro.">{"Fecha_Dezembro",#N/A,FALSE,"FECHAMENTO-2002 ";"Defer_Dezermbro",#N/A,FALSE,"DIFERIDO";"Pis_Dezembro",#N/A,FALSE,"PIS COFINS";"Iss_Dezembro",#N/A,FALSE,"ISS"}</definedName>
    <definedName name="wrn.FECH._.IMPOSTOS.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wrn.Geral.">{#N/A,#N/A,FALSE,"Relatórios";"Vendas e Custos",#N/A,FALSE,"Vendas e Custos";"Premissas",#N/A,FALSE,"Premissas";"Projeções",#N/A,FALSE,"Projeções";"Dolar",#N/A,FALSE,"Dolar";"Original",#N/A,FALSE,"Original e UFIR"}</definedName>
    <definedName name="wrn.GNMAX.">{#N/A,#N/A,FALSE,"Ventas";#N/A,#N/A,FALSE,"MARGEN";#N/A,#N/A,FALSE,"Resultado";#N/A,#N/A,FALSE,"GRAFICOS";#N/A,#N/A,FALSE,"GRAFICOS (2)"}</definedName>
    <definedName name="wrn.GRAPHS.">{#N/A,#N/A,FALSE,"ACQ_GRAPHS";#N/A,#N/A,FALSE,"T_1 GRAPHS";#N/A,#N/A,FALSE,"T_2 GRAPHS";#N/A,#N/A,FALSE,"COMB_GRAPHS"}</definedName>
    <definedName name="wrn.impostos.">{#N/A,#N/A,FALSE,"Previa Fech";#N/A,#N/A,FALSE,"PIS.COFINS";#N/A,#N/A,FALSE,"PDD";#N/A,#N/A,FALSE,"PIRD";#N/A,#N/A,FALSE,"Contr.CT";#N/A,#N/A,FALSE,"C.Social";#N/A,#N/A,FALSE,"LALUR";#N/A,#N/A,FALSE,"LALUR_RF";#N/A,#N/A,FALSE,"Estimado(2)";#N/A,#N/A,FALSE,"Estimado-1";#N/A,#N/A,FALSE,"Comparativo";#N/A,#N/A,FALSE,"Extra-1";#N/A,#N/A,FALSE,"RET-PL."}</definedName>
    <definedName name="wrn.IRENDA.">{#N/A,#N/A,FALSE,"IRENDA"}</definedName>
    <definedName name="wrn.Novembro.">{"Fecha_Novembro",#N/A,FALSE,"FECHAMENTO-2002 ";"Defer_Novembro",#N/A,FALSE,"DIFERIDO";"Pis_Novembro",#N/A,FALSE,"PIS COFINS";"Iss_Novembro",#N/A,FALSE,"ISS"}</definedName>
    <definedName name="wrn.Outlook._.for._.US._.Domestic._.Paging.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ubro.">{"Fecha_Outubro",#N/A,FALSE,"FECHAMENTO-2002 ";"Defer_Outubro",#N/A,FALSE,"DIFERIDO";"Pis_Outubro",#N/A,FALSE,"PIS COFINS";"Iss_Outubro",#N/A,FALSE,"ISS"}</definedName>
    <definedName name="wrn.PIS.">{#N/A,#N/A,FALSE,"PIS"}</definedName>
    <definedName name="wrn.Print.">{"vi1",#N/A,FALSE,"Financial Statements";"vi2",#N/A,FALSE,"Financial Statements";#N/A,#N/A,FALSE,"DCF"}</definedName>
    <definedName name="wrn.PROGRAMAÇÃO._.DIÁRIA._.DE._.COBRE._.ELETROLITICO.">{#N/A,#N/A,TRUE,"DIÁRIA";#N/A,#N/A,TRUE,"DIÁRIA"}</definedName>
    <definedName name="wrn.PROVIR97.">{#N/A,#N/A,FALSE,"IR E CS 1997";#N/A,#N/A,FALSE,"PR ND";#N/A,#N/A,FALSE,"8191";#N/A,#N/A,FALSE,"8383";#N/A,#N/A,FALSE,"MP 1024";#N/A,#N/A,FALSE,"AD_EX_97";#N/A,#N/A,FALSE,"BD 97"}</definedName>
    <definedName name="wrn.REL_IR_97.">{#N/A,#N/A,TRUE,"BD 97";#N/A,#N/A,TRUE,"IR E CS 1997";#N/A,#N/A,TRUE,"CONTINGÊNCIAS";#N/A,#N/A,TRUE,"AD_EX_97";#N/A,#N/A,TRUE,"PR ND";#N/A,#N/A,TRUE,"8191";#N/A,#N/A,TRUE,"8383";#N/A,#N/A,TRUE,"MP 1024"}</definedName>
    <definedName name="wrn.RELATÓRIO._.CONTÁBIL.">{#N/A,#N/A,FALSE,"COMENTARIOS";#N/A,#N/A,FALSE,"BALANÇO";#N/A,#N/A,FALSE,"RESULTADO";#N/A,#N/A,FALSE," SALDOS ATIVOS";#N/A,#N/A,FALSE,"SALDOS PASSIVOS";#N/A,#N/A,FALSE,"RECEITA DE VENDAS";#N/A,#N/A,FALSE," CPV";#N/A,#N/A,FALSE,"DESP COMERCIAIS";#N/A,#N/A,FALSE,"DESP ADM";#N/A,#N/A,FALSE,"RES FIN ";#N/A,#N/A,FALSE,"OUTRAS  OP ";#N/A,#N/A,FALSE,"RES N OP ";#N/A,#N/A,FALSE,"INTERCIAS JAN";#N/A,#N/A,FALSE,"INTERCIAS FEV";#N/A,#N/A,FALSE,"INTERCIAS MAR";#N/A,#N/A,FALSE,"INTERCIAS ABR";#N/A,#N/A,FALSE,"INTERCIAS MAI";#N/A,#N/A,FALSE,"INTERCIAS JUN";#N/A,#N/A,FALSE,"INTERCIAS JUL";#N/A,#N/A,FALSE,"INRECIAS AGO";#N/A,#N/A,FALSE,"INTERCIAS SET";#N/A,#N/A,FALSE,"INTERCIAS OUT";#N/A,#N/A,FALSE,"INTERCIAS NOV";#N/A,#N/A,FALSE,"INTERCIAS DEZ"}</definedName>
    <definedName name="wrn.RESUMO.">{#N/A,#N/A,FALSE,"HONORÁRIOS"}</definedName>
    <definedName name="wrn.Setembro.">{"Fecha_Setembro",#N/A,FALSE,"FECHAMENTO-2002 ";"Defer_Setembro",#N/A,FALSE,"DIFERIDO";"Pis_Setembro",#N/A,FALSE,"PIS COFINS";"Iss_Setembro",#N/A,FALSE,"ISS"}</definedName>
    <definedName name="wrn.SUMÁRIO._.DE._.PRODUÇÃO.">{"CABEÇALHO",#N/A,FALSE,"DADOS";"area oeste",#N/A,FALSE,"DADOS";"CABEÇALHO",#N/A,FALSE,"DADOS";"area leste",#N/A,FALSE,"DADOS"}</definedName>
    <definedName name="wrn.Todos.">{"RRHH",#N/A,FALSE,"Por Dirección";"Operaciones",#N/A,FALSE,"Por Dirección";"Logística",#N/A,FALSE,"Por Dirección";"Comercial",#N/A,FALSE,"Por Dirección";"Administracion",#N/A,FALSE,"Por Dirección"}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VERG.">{#N/A,#N/A,FALSE,"PROG. DIÁRIA DE VERGALHÃO";"CABEÇA",#N/A,FALSE,"PROG. DIÁRIA DE VERGALHÃO";"CORPO",#N/A,FALSE,"PROG. DIÁRIA DE VERGALHÃO"}</definedName>
    <definedName name="wvu.CATODO.">{TRUE,TRUE,0.25,-14,454.5,281.25,FALSE,TRUE,TRUE,TRUE,0,1,28,1,5,4,4,4,TRUE,TRUE,3,TRUE,1,TRUE,75,"Swvu.CATODO.","ACwvu.CATODO.",#N/A,FALSE,FALSE,0.78740157480315,0.67,0.984251968503937,0.984251968503937,2,"&amp;L&amp;14DIAC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&amp;A",TRUE,TRUE,FALSE,FALSE,1,#N/A,1,1,FALSE,FALSE,"Rwvu.CATODO.",#N/A,FALSE,FALSE,FALSE,1,300,300,FALSE,FALSE,TRUE,TRUE,TRUE}</definedName>
    <definedName name="wvu.VERGALHÃO.">{TRUE,TRUE,0.25,-14,454.5,281.25,FALSE,TRUE,TRUE,TRUE,0,1,5,1,5,4,4,4,TRUE,TRUE,3,TRUE,1,TRUE,75,"Swvu.VERGALHÃO.","ACwvu.VERGALHÃO.",#N/A,FALSE,FALSE,0.78740157480315,0.67,0.984251968503937,0.984251968503937,2,"&amp;L&amp;14DIAC &amp; SEPLA &amp; DIVEL &amp; DILAM
&amp;C&amp;""Arial,Negrito""&amp;16PROGRAMAÇÃO &amp;""Arial,Normal""DIÁRIA DE COBRE- 1997
VERGALHÃO&amp;R&amp;14Emissão: 20/03/97
&amp;T&amp;8
","&amp;L&amp;8Clientes ( total= 11):&amp;10GS-DIAC-DIAC(Sonia)-DIAC(Edilson)-DIAC(Marcelo)-DIVEL-DILAM-DILAM/Expedição-DIMEL-DIQUAL-DISUP(Almeida)&amp;R&amp;14&amp;F
&amp;A",TRUE,TRUE,FALSE,FALSE,1,#N/A,1,1,FALSE,FALSE,"Rwvu.VERGALHÃO.",#N/A,FALSE,FALSE,FALSE,1,300,300,FALSE,FALSE,TRUE,TRUE,TRUE}</definedName>
    <definedName name="XREF_COLUMN_28">'[34]K Imobilizado'!#REF!</definedName>
    <definedName name="XRefColumnsCount">1</definedName>
    <definedName name="XRefCopy12">'[35]Emprestimos 102003 {ppc}'!$X$57</definedName>
    <definedName name="XRefCopy1Row">[36]XREF!$A$2:$IV$2</definedName>
    <definedName name="XRefCopy2Row">[36]XREF!$A$4:$IV$4</definedName>
    <definedName name="XRefCopy3Row">[36]XREF!$A$7:$IV$7</definedName>
    <definedName name="XRefCopy87Row">[37]XREF!#REF!</definedName>
    <definedName name="XRefCopy88Row">[37]XREF!#REF!</definedName>
    <definedName name="XRefCopy89Row">[37]XREF!#REF!</definedName>
    <definedName name="XRefCopy91Row">[37]XREF!#REF!</definedName>
    <definedName name="XRefCopy9Row">[38]XREF!$A$3:$IV$3</definedName>
    <definedName name="XRefCopyRangeCount">8</definedName>
    <definedName name="XRefPaste2">[36]Lead!$F$1072</definedName>
    <definedName name="XRefPaste2Row">[36]XREF!$A$5:$IV$5</definedName>
    <definedName name="XRefPaste3">[36]Lead!$O$1006</definedName>
    <definedName name="XRefPaste3Row">[36]XREF!$A$6:$IV$6</definedName>
    <definedName name="XRefPaste68">'[34]K Imobilizado'!#REF!</definedName>
    <definedName name="XRefPaste70Row">[39]XREF!#REF!</definedName>
    <definedName name="XRefPasteRangeCount">1</definedName>
    <definedName name="yyyyy">{"Fecha_Outubro",#N/A,FALSE,"FECHAMENTO-2002 ";"Defer_Outubro",#N/A,FALSE,"DIFERIDO";"Pis_Outubro",#N/A,FALSE,"PIS COFINS";"Iss_Outubro",#N/A,FALSE,"ISS"}</definedName>
    <definedName name="yyyyyyy">{#N/A,#N/A,FALSE,"HONORÁRIOS"}</definedName>
    <definedName name="yyyyyyyy">{"Fecha_Dezembro",#N/A,FALSE,"FECHAMENTO-2002 ";"Defer_Dezermbro",#N/A,FALSE,"DIFERIDO";"Pis_Dezembro",#N/A,FALSE,"PIS COFINS";"Iss_Dezembro",#N/A,FALSE,"ISS"}</definedName>
    <definedName name="yyyyyyyyyyyyyyyy">{"Fecha_Dezembro",#N/A,FALSE,"FECHAMENTO-2002 ";"Defer_Dezermbro",#N/A,FALSE,"DIFERIDO";"Pis_Dezembro",#N/A,FALSE,"PIS COFINS";"Iss_Dezembro",#N/A,FALSE,"ISS"}</definedName>
    <definedName name="yyyyyyyyyyyyyyyyyyy">{"Fecha_Dezembro",#N/A,FALSE,"FECHAMENTO-2002 ";"Defer_Dezermbro",#N/A,FALSE,"DIFERIDO";"Pis_Dezembro",#N/A,FALSE,"PIS COFINS";"Iss_Dezembro",#N/A,FALSE,"ISS"}</definedName>
    <definedName name="Z_70ACAE61_1F25_11D3_B062_00104BC637D4_.wvu.Cols">[9]análise!$E$1:$G$65536</definedName>
    <definedName name="Z_70ACAE61_1F25_11D3_B062_00104BC637D4_.wvu.PrintArea">[9]análise!$A$1:$AU$45</definedName>
    <definedName name="Z_70ACAE61_1F25_11D3_B062_00104BC637D4_.wvu.PrintTitles">[9]análise!$A$1:$IV$3</definedName>
    <definedName name="BLPH45">#REF!</definedName>
    <definedName name="BLPH9">#REF!</definedName>
    <definedName name="BLPH39">#REF!</definedName>
    <definedName name="BLPH31">#REF!</definedName>
    <definedName name="BLPH64">#REF!</definedName>
    <definedName name="BLPH5">#REF!</definedName>
    <definedName name="BLPH40">#REF!</definedName>
    <definedName name="BLPH25">#REF!</definedName>
    <definedName name="BLPH37">#REF!</definedName>
    <definedName name="BLPH12">#REF!</definedName>
    <definedName name="BLPH49">#REF!</definedName>
    <definedName name="BLPH58">#REF!</definedName>
    <definedName name="BLPH44">#REF!</definedName>
    <definedName name="BLPH2">#REF!</definedName>
    <definedName name="BLPH18">#REF!</definedName>
    <definedName name="BLPH36">#REF!</definedName>
    <definedName name="BLPH66">#REF!</definedName>
    <definedName name="BLPH21">#REF!</definedName>
    <definedName name="BLPH8">#REF!</definedName>
    <definedName name="BLPH11">#REF!</definedName>
    <definedName name="BLPH68">#REF!</definedName>
    <definedName name="__123Graph_E">#REF!</definedName>
    <definedName name="BLPH46">#REF!</definedName>
    <definedName name="BLPH65">#REF!</definedName>
    <definedName name="esnrc67c1">#REF!</definedName>
    <definedName name="BLPH55">#REF!</definedName>
    <definedName name="BLPH71">#REF!</definedName>
    <definedName name="BLPH17">#REF!</definedName>
    <definedName name="BLPH63">#REF!</definedName>
    <definedName name="BLPH13">#REF!</definedName>
    <definedName name="BLPH56">#REF!</definedName>
    <definedName name="BLPH23">#REF!</definedName>
    <definedName name="BLPH16">#REF!</definedName>
    <definedName name="BLPH51">#REF!</definedName>
    <definedName name="BLPH33">#REF!</definedName>
    <definedName name="BLPH14">#REF!</definedName>
    <definedName name="BLPH34">#REF!</definedName>
    <definedName name="BLPH67">#REF!</definedName>
    <definedName name="BLPH10">#REF!</definedName>
    <definedName name="BLPH53">#REF!</definedName>
    <definedName name="BLPH4">#REF!</definedName>
    <definedName name="BLPH41">#REF!</definedName>
    <definedName name="x">#REF!</definedName>
    <definedName name="BLPH3">#REF!</definedName>
    <definedName name="BLPH19">#REF!</definedName>
    <definedName name="BLPH72">#REF!</definedName>
    <definedName name="BLPH57">#REF!</definedName>
    <definedName name="BLPH61">#REF!</definedName>
    <definedName name="BLPH26">#REF!</definedName>
    <definedName name="BLPH38">#REF!</definedName>
    <definedName name="BLPH29">#REF!</definedName>
    <definedName name="BLPH42">#REF!</definedName>
    <definedName name="BLPH32">#REF!</definedName>
    <definedName name="BLPH15">#REF!</definedName>
    <definedName name="BLPH73">#REF!</definedName>
    <definedName name="BLPH54">#REF!</definedName>
    <definedName name="BLPH20">#REF!</definedName>
    <definedName name="_Table3_In2">#REF!</definedName>
    <definedName name="BLPH22">#REF!</definedName>
    <definedName name="BLPH35">#REF!</definedName>
    <definedName name="BLPH59">#REF!</definedName>
    <definedName name="BLPH6">#REF!</definedName>
    <definedName name="BLPH30">#REF!</definedName>
    <definedName name="BLPH43">#REF!</definedName>
    <definedName name="BLPH62">#REF!</definedName>
    <definedName name="BLPH47">#REF!</definedName>
    <definedName name="BLPH69">#REF!</definedName>
    <definedName name="BLPH50">#REF!</definedName>
    <definedName name="BLPH60">#REF!</definedName>
    <definedName name="BLPH24">#REF!</definedName>
    <definedName name="BLPH28">#REF!</definedName>
    <definedName name="BLPH48">#REF!</definedName>
    <definedName name="BLPH70">#REF!</definedName>
    <definedName name="BLPH7">#REF!</definedName>
    <definedName name="BLPH1">#REF!</definedName>
    <definedName name="BLPH52">#REF!</definedName>
    <definedName name="xx">#REF!</definedName>
    <definedName name="BLPH27">#REF!</definedName>
  </definedNames>
  <calcPr/>
  <extLst>
    <ext uri="GoogleSheetsCustomDataVersion2">
      <go:sheetsCustomData xmlns:go="http://customooxmlschemas.google.com/" r:id="rId49" roundtripDataChecksum="EQl1HweSc4q6RW7KSJ6huORYlIXaxnZkaBdQnvczSD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207">
      <text>
        <t xml:space="preserve">======
ID#AAABl9-Yvf4
tc={A55D7885-9FBC-488C-8FCF-120159F376C4}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Premissa do Marcelo, CFO</t>
      </text>
    </comment>
    <comment authorId="0" ref="AJ43">
      <text>
        <t xml:space="preserve">======
ID#AAABl9-Yvfc
tc={6AB8AFAF-D1F2-4380-A9AF-FF7D5F0C6342}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Premissa do Marcelo, CFO</t>
      </text>
    </comment>
  </commentList>
  <extLst>
    <ext uri="GoogleSheetsCustomDataVersion2">
      <go:sheetsCustomData xmlns:go="http://customooxmlschemas.google.com/" r:id="rId1" roundtripDataSignature="AMtx7miBLXjAHYiigkAvbc1Jh1Nlld7Oi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105">
      <text>
        <t xml:space="preserve">======
ID#AAABl9-Yvf0
tc={6F0B711B-4B8B-4B37-9B38-0BD52A0FFA79}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Premissa = 11% da receita</t>
      </text>
    </comment>
    <comment authorId="0" ref="Y47">
      <text>
        <t xml:space="preserve">======
ID#AAABl9-Yvfw
tc={26C82572-2F5E-41F5-9803-8B6D59DE0749}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 imputado por conta de ajustes em GMAIA</t>
      </text>
    </comment>
    <comment authorId="0" ref="AA47">
      <text>
        <t xml:space="preserve">======
ID#AAABl9-Yvfs
tc={5EADE400-3902-4FC5-93AB-329EAB57DE4C}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 imputado por conta de ajustes em GMAIA</t>
      </text>
    </comment>
    <comment authorId="0" ref="AV105">
      <text>
        <t xml:space="preserve">======
ID#AAABl9-Yvfo
tc={EF3EC686-8CFC-4B28-9534-C6342FFE689A}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Premissa = 11% da receita</t>
      </text>
    </comment>
    <comment authorId="0" ref="Z47">
      <text>
        <t xml:space="preserve">======
ID#AAABl9-Yvfk
tc={E44DA2C0-3F5F-43EB-91CA-68C64DE533CD}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 imputado por conta de ajustes em GMAIA</t>
      </text>
    </comment>
    <comment authorId="0" ref="Y44">
      <text>
        <t xml:space="preserve">======
ID#AAABl9-Yvfg
tc={A01B3B99-776C-4BAB-BC65-E1DB9D8E8D25}    (2025-08-07 21:25:37)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Considerei números ajustados por conta da Gmaia</t>
      </text>
    </comment>
  </commentList>
  <extLst>
    <ext uri="GoogleSheetsCustomDataVersion2">
      <go:sheetsCustomData xmlns:go="http://customooxmlschemas.google.com/" r:id="rId1" roundtripDataSignature="AMtx7mijDiIOS+CxLTESEn7Rz2kRUrSbiw=="/>
    </ext>
  </extLst>
</comments>
</file>

<file path=xl/sharedStrings.xml><?xml version="1.0" encoding="utf-8"?>
<sst xmlns="http://schemas.openxmlformats.org/spreadsheetml/2006/main" count="1546" uniqueCount="536">
  <si>
    <t>Valores em R$ (Milhares)</t>
  </si>
  <si>
    <t>Unidade</t>
  </si>
  <si>
    <t>1T17</t>
  </si>
  <si>
    <t>2T17</t>
  </si>
  <si>
    <t>3T17</t>
  </si>
  <si>
    <t>4T17</t>
  </si>
  <si>
    <t>1T18</t>
  </si>
  <si>
    <t>2T18</t>
  </si>
  <si>
    <t>3T18</t>
  </si>
  <si>
    <t>4T18</t>
  </si>
  <si>
    <t>1T19</t>
  </si>
  <si>
    <t>2T19</t>
  </si>
  <si>
    <t>3T19</t>
  </si>
  <si>
    <t>4T19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</si>
  <si>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</si>
  <si>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</si>
  <si>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</si>
  <si>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</si>
  <si>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</si>
  <si>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</si>
  <si>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</si>
  <si>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</si>
  <si>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</si>
  <si>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</si>
  <si>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</si>
  <si>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</si>
  <si>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</si>
  <si>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</si>
  <si>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</si>
  <si>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</si>
  <si>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</si>
  <si>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</si>
  <si>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</si>
  <si>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</si>
  <si>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</si>
  <si>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x</t>
  </si>
  <si>
    <t>l</t>
  </si>
  <si>
    <t>DRE</t>
  </si>
  <si>
    <t>Receita Líquida</t>
  </si>
  <si>
    <t>[BRL 000]</t>
  </si>
  <si>
    <t>a/a %</t>
  </si>
  <si>
    <t>COGS</t>
  </si>
  <si>
    <t>[%]</t>
  </si>
  <si>
    <t>Lucro Bruto</t>
  </si>
  <si>
    <t>Margem Bruta</t>
  </si>
  <si>
    <t>SG&amp;A</t>
  </si>
  <si>
    <t>SG&amp;A ex D&amp;A</t>
  </si>
  <si>
    <t>Como % da Receita Líquida</t>
  </si>
  <si>
    <t>Equivalência Patrimonial</t>
  </si>
  <si>
    <t>EBIT</t>
  </si>
  <si>
    <t>Margem Operacional</t>
  </si>
  <si>
    <t>Financial Result</t>
  </si>
  <si>
    <t>Receita Financeira</t>
  </si>
  <si>
    <t>Despesa Financeira</t>
  </si>
  <si>
    <t>EBT</t>
  </si>
  <si>
    <t>Margem EBT</t>
  </si>
  <si>
    <t>IR</t>
  </si>
  <si>
    <t>Imposto de renda</t>
  </si>
  <si>
    <t>Diferido</t>
  </si>
  <si>
    <t>Corrente</t>
  </si>
  <si>
    <t>Lucro Líquido</t>
  </si>
  <si>
    <t>Margem líquida</t>
  </si>
  <si>
    <t>(+) D&amp;A</t>
  </si>
  <si>
    <t>EBITDA</t>
  </si>
  <si>
    <t>Margem EBITDA</t>
  </si>
  <si>
    <t>Balanço Patrimonial</t>
  </si>
  <si>
    <t>Ativos Totais</t>
  </si>
  <si>
    <t>Ativos Circulantes</t>
  </si>
  <si>
    <t>Ativos Não-Circulantes</t>
  </si>
  <si>
    <t>Contas a Receber</t>
  </si>
  <si>
    <t>Passivos Totais</t>
  </si>
  <si>
    <t>Passivos Circulantes</t>
  </si>
  <si>
    <t>Passivos Não-Circulantes</t>
  </si>
  <si>
    <t>Patrimônio Líquido</t>
  </si>
  <si>
    <t>Outros</t>
  </si>
  <si>
    <t>Check</t>
  </si>
  <si>
    <t>Dívida Bruta</t>
  </si>
  <si>
    <t>Caixa</t>
  </si>
  <si>
    <t>Dívida Líquida</t>
  </si>
  <si>
    <t>EBITDA (UDM)</t>
  </si>
  <si>
    <t>Alavancagem</t>
  </si>
  <si>
    <t>Capital de Giro</t>
  </si>
  <si>
    <t>Capital Investido (Ex-CapGiro)</t>
  </si>
  <si>
    <t>Capital Investido</t>
  </si>
  <si>
    <t>NOPAT</t>
  </si>
  <si>
    <t>1-t</t>
  </si>
  <si>
    <t>ROIC</t>
  </si>
  <si>
    <t>ROE</t>
  </si>
  <si>
    <t>Capital de giro</t>
  </si>
  <si>
    <t>Tributos a recuperar</t>
  </si>
  <si>
    <t>Tributos a Pagar</t>
  </si>
  <si>
    <t>(Aumento) / Diminuição</t>
  </si>
  <si>
    <t>Demonstração de fluxo de caixa</t>
  </si>
  <si>
    <t>(-) ∆ Cap de Giro</t>
  </si>
  <si>
    <t>FCO</t>
  </si>
  <si>
    <t>(-) CAPEX</t>
  </si>
  <si>
    <t>FCI</t>
  </si>
  <si>
    <t>(-) Dividendos</t>
  </si>
  <si>
    <t>(+/-) Delta Equity</t>
  </si>
  <si>
    <t>(+/-) Delta Debt</t>
  </si>
  <si>
    <t>FCF</t>
  </si>
  <si>
    <t>Mudança em caixa</t>
  </si>
  <si>
    <t>BoP Caixa</t>
  </si>
  <si>
    <t>EoP Caixa</t>
  </si>
  <si>
    <t>∆ Capital de Giro</t>
  </si>
  <si>
    <t>Ativos Capital de Giro</t>
  </si>
  <si>
    <t xml:space="preserve">∆ </t>
  </si>
  <si>
    <t>Dias de Receita Líquida</t>
  </si>
  <si>
    <t>[DIAS]</t>
  </si>
  <si>
    <t>Estoques</t>
  </si>
  <si>
    <t>Dias de COGS</t>
  </si>
  <si>
    <t>Passivos Capital de Giro</t>
  </si>
  <si>
    <t>Fornecedores</t>
  </si>
  <si>
    <t>Salários e Encargos Sociais</t>
  </si>
  <si>
    <t>Ano Comercial</t>
  </si>
  <si>
    <t>PP&amp;E</t>
  </si>
  <si>
    <t>CapEx Total</t>
  </si>
  <si>
    <t>YoY</t>
  </si>
  <si>
    <t>Como % da Receita</t>
  </si>
  <si>
    <t>Aquisição de bens do ativo imobilizado e intangível</t>
  </si>
  <si>
    <t>Aquisição de controladas, consolidado líquido do caixa adquirido</t>
  </si>
  <si>
    <t>Depreciação e Amortização</t>
  </si>
  <si>
    <t>Como % do PP&amp;E</t>
  </si>
  <si>
    <t>PP&amp;E BoP</t>
  </si>
  <si>
    <t>(+) CapEx</t>
  </si>
  <si>
    <t>(-) D&amp;A</t>
  </si>
  <si>
    <t>(-) Outros</t>
  </si>
  <si>
    <t>PP&amp;E EoP</t>
  </si>
  <si>
    <t>Debt</t>
  </si>
  <si>
    <t>Dívida Líquida/EBITDA</t>
  </si>
  <si>
    <t>Dívida BoP</t>
  </si>
  <si>
    <t>(+) Emissão</t>
  </si>
  <si>
    <t>(-) Amortização</t>
  </si>
  <si>
    <t>(+-) Outros</t>
  </si>
  <si>
    <t>Dívida EoP</t>
  </si>
  <si>
    <t>Custo da Dívida</t>
  </si>
  <si>
    <t xml:space="preserve">CDI </t>
  </si>
  <si>
    <t>Spread CDI</t>
  </si>
  <si>
    <t>Caixa e Equivalente BoP</t>
  </si>
  <si>
    <t>Taxa de Juros Incorrida</t>
  </si>
  <si>
    <t>% do Cdi</t>
  </si>
  <si>
    <t>Dividends</t>
  </si>
  <si>
    <t>Dividendos Pagos</t>
  </si>
  <si>
    <t>a/a</t>
  </si>
  <si>
    <t>Payout</t>
  </si>
  <si>
    <t>2T25</t>
  </si>
  <si>
    <t>3T25</t>
  </si>
  <si>
    <t>4T25</t>
  </si>
  <si>
    <t>1T26</t>
  </si>
  <si>
    <t>2T26</t>
  </si>
  <si>
    <t>3T26</t>
  </si>
  <si>
    <t>4T26</t>
  </si>
  <si>
    <t>1T27</t>
  </si>
  <si>
    <t>2T27</t>
  </si>
  <si>
    <t>3T27</t>
  </si>
  <si>
    <t>4T27</t>
  </si>
  <si>
    <t>1T28</t>
  </si>
  <si>
    <t>2T28</t>
  </si>
  <si>
    <t>3T28</t>
  </si>
  <si>
    <t>4T28</t>
  </si>
  <si>
    <t>1T29</t>
  </si>
  <si>
    <t>2T29</t>
  </si>
  <si>
    <t>3T29</t>
  </si>
  <si>
    <t>4T29</t>
  </si>
  <si>
    <t>1T30</t>
  </si>
  <si>
    <t>2T30</t>
  </si>
  <si>
    <t>3T30</t>
  </si>
  <si>
    <t>4T30</t>
  </si>
  <si>
    <t>1T31</t>
  </si>
  <si>
    <t>2T31</t>
  </si>
  <si>
    <t>3T31</t>
  </si>
  <si>
    <t>4T31</t>
  </si>
  <si>
    <t>1T32</t>
  </si>
  <si>
    <t>2T32</t>
  </si>
  <si>
    <t>3T32</t>
  </si>
  <si>
    <t>4T32</t>
  </si>
  <si>
    <t>1T33</t>
  </si>
  <si>
    <t>2T33</t>
  </si>
  <si>
    <t>3T33</t>
  </si>
  <si>
    <t>4T33</t>
  </si>
  <si>
    <t>1T34</t>
  </si>
  <si>
    <t>2T34</t>
  </si>
  <si>
    <t>3T34</t>
  </si>
  <si>
    <t>4T34</t>
  </si>
  <si>
    <t>CAGR: 17-24</t>
  </si>
  <si>
    <t>CAGR: 19-23</t>
  </si>
  <si>
    <t>CAGR: 22-24</t>
  </si>
  <si>
    <t>CAGR: 23-26</t>
  </si>
  <si>
    <t>CAGR: 24-28</t>
  </si>
  <si>
    <t>CAGR: 25-28</t>
  </si>
  <si>
    <t>Quebra da Receita Bruta e Líquida</t>
  </si>
  <si>
    <t>Receita Bruta</t>
  </si>
  <si>
    <t>Tributos sobre as vendas</t>
  </si>
  <si>
    <t>% da Receita Bruta</t>
  </si>
  <si>
    <t>Cancelamentos</t>
  </si>
  <si>
    <t>% da Receita Líquida</t>
  </si>
  <si>
    <t>Montagem</t>
  </si>
  <si>
    <t>Dados Operacionais</t>
  </si>
  <si>
    <t>% do CPV</t>
  </si>
  <si>
    <t>Margem Bruta Consolidada</t>
  </si>
  <si>
    <t>Diferença</t>
  </si>
  <si>
    <t>Despesa per capita (R$ mil mensal per capita)</t>
  </si>
  <si>
    <t>Perpetuidade</t>
  </si>
  <si>
    <t>Fluxos de Caixa Livre</t>
  </si>
  <si>
    <t>(+) EBITDA</t>
  </si>
  <si>
    <t>(-) Imposto</t>
  </si>
  <si>
    <t>(-) ∆ Capital de Giro</t>
  </si>
  <si>
    <t>(+) Receitas Financeiras</t>
  </si>
  <si>
    <t>(-) Despesas Financeiras</t>
  </si>
  <si>
    <t>Fluxo de caixa livre</t>
  </si>
  <si>
    <t>Desconto</t>
  </si>
  <si>
    <t>Crescimento na Perpetuidade (g)</t>
  </si>
  <si>
    <t>Premissas</t>
  </si>
  <si>
    <t>PRNR3</t>
  </si>
  <si>
    <t>Preço da ação no último fechamento</t>
  </si>
  <si>
    <t>Data do último fechamento</t>
  </si>
  <si>
    <t>52 Week Price (Low)</t>
  </si>
  <si>
    <t>52 Week Price (High)</t>
  </si>
  <si>
    <t>Quantidade de ações</t>
  </si>
  <si>
    <t>Market Cap</t>
  </si>
  <si>
    <t>Valuation</t>
  </si>
  <si>
    <t>Valor Presente dos fluxos de caixa estágio 1</t>
  </si>
  <si>
    <t>Valor Presente da Perpetuidade</t>
  </si>
  <si>
    <t>Equity value</t>
  </si>
  <si>
    <t>Preço por ação</t>
  </si>
  <si>
    <t>Upside/Downside</t>
  </si>
  <si>
    <t>WACC</t>
  </si>
  <si>
    <t>Cost of Equity (Ke)</t>
  </si>
  <si>
    <t>Beta</t>
  </si>
  <si>
    <t>Risk Free Rate (10 Year Treasury Bond)</t>
  </si>
  <si>
    <t>Equity Risk Premium (ERP)</t>
  </si>
  <si>
    <t>Country Risk Premium (CRP)</t>
  </si>
  <si>
    <t>Devaluation Risk</t>
  </si>
  <si>
    <t>Ke</t>
  </si>
  <si>
    <t>Ke = 21% = IPCA de 5% + 16%</t>
  </si>
  <si>
    <t>Cost of Debt</t>
  </si>
  <si>
    <t>Dívida 1</t>
  </si>
  <si>
    <t>Montante</t>
  </si>
  <si>
    <t>CDI+</t>
  </si>
  <si>
    <t>Taxa</t>
  </si>
  <si>
    <t>% da dívida</t>
  </si>
  <si>
    <t>Dívida 2</t>
  </si>
  <si>
    <t>Dívida 3</t>
  </si>
  <si>
    <t>Dívida 4</t>
  </si>
  <si>
    <t>Kd</t>
  </si>
  <si>
    <t>Weighted Avarage Cost of Captial (WACC)</t>
  </si>
  <si>
    <t>Kd depois de impostos</t>
  </si>
  <si>
    <t>D</t>
  </si>
  <si>
    <t>E</t>
  </si>
  <si>
    <t>EV/EBITDA</t>
  </si>
  <si>
    <t>P/E</t>
  </si>
  <si>
    <t>TIR</t>
  </si>
  <si>
    <t>Fluxo de Caixa Livre</t>
  </si>
  <si>
    <t>Equity Value</t>
  </si>
  <si>
    <t>P/E Justo</t>
  </si>
  <si>
    <t>Compra/Venda</t>
  </si>
  <si>
    <t>Dividendos</t>
  </si>
  <si>
    <t>Fluxos para o acionista</t>
  </si>
  <si>
    <t>TIR 2030</t>
  </si>
  <si>
    <t>TIR 2034</t>
  </si>
  <si>
    <t>3Q24</t>
  </si>
  <si>
    <t>4Q24</t>
  </si>
  <si>
    <t>1Q25</t>
  </si>
  <si>
    <t>UDM</t>
  </si>
  <si>
    <t>ATIVO</t>
  </si>
  <si>
    <t>CIRCULANTE</t>
  </si>
  <si>
    <t>Caixa e equivalentes de caixa</t>
  </si>
  <si>
    <t>Títulos e valores mobiliários</t>
  </si>
  <si>
    <t>Depósitos bancários vinculados</t>
  </si>
  <si>
    <t>Contas a receber</t>
  </si>
  <si>
    <t>Contas a receber - partes relacionadas</t>
  </si>
  <si>
    <t>Mútuo a receber - partes relacionadas</t>
  </si>
  <si>
    <t>Créditos com funcionários</t>
  </si>
  <si>
    <t>Dividendos a receber</t>
  </si>
  <si>
    <t>Dididendos antecipados</t>
  </si>
  <si>
    <t>Despesas antecipadas</t>
  </si>
  <si>
    <t>Instrumentos Financeiros Derivativos</t>
  </si>
  <si>
    <t>Instrumento derivativo financeiro (Swap)</t>
  </si>
  <si>
    <t>Outros créditos a receber</t>
  </si>
  <si>
    <t>Outros ativos circulantes</t>
  </si>
  <si>
    <t>NÃO CIRCULANTE</t>
  </si>
  <si>
    <t>Notas promissórias e confissão de dívida a receber</t>
  </si>
  <si>
    <t>Outros ativos não circulantes</t>
  </si>
  <si>
    <t>Tributos diferidos</t>
  </si>
  <si>
    <t>Depósitos judiciais</t>
  </si>
  <si>
    <t xml:space="preserve">Investimentos </t>
  </si>
  <si>
    <t>Imobilizado e ativo de direito de uso</t>
  </si>
  <si>
    <t>Intangível</t>
  </si>
  <si>
    <t>TOTAL DO ATIVO</t>
  </si>
  <si>
    <t>PASSIVO E PATRIMÔNIO LÍQUIDO</t>
  </si>
  <si>
    <t>Fornecedores - partes relacionadas</t>
  </si>
  <si>
    <t>Operações de risco sacado</t>
  </si>
  <si>
    <t>Empréstimos e financiamentos</t>
  </si>
  <si>
    <t>Debêntures não conversíveis em ações</t>
  </si>
  <si>
    <t>Duplicatas descontadas a pagar</t>
  </si>
  <si>
    <t>Arrendamento financeiro a pagar - Direitos de uso CPC 06</t>
  </si>
  <si>
    <t xml:space="preserve">Imposto de renda e contribuição social    </t>
  </si>
  <si>
    <t>Juros sobre capital próprio e dividendos a pagar</t>
  </si>
  <si>
    <t>Contas a pagar por aquisição societária</t>
  </si>
  <si>
    <t>Instrumento derivativo financeiro - Swap</t>
  </si>
  <si>
    <t>Instrumentos financeiros derivativos</t>
  </si>
  <si>
    <t>Mútuo a pagar</t>
  </si>
  <si>
    <t>Provisões</t>
  </si>
  <si>
    <t>Adiantamento de clientes</t>
  </si>
  <si>
    <t>Outros Passivos</t>
  </si>
  <si>
    <t xml:space="preserve">Empréstimos e financiamentos  </t>
  </si>
  <si>
    <t>Mutuo a pagar</t>
  </si>
  <si>
    <t>Provisão para riscos tributários, cíveis e trabalhistas</t>
  </si>
  <si>
    <t>Outras provisões</t>
  </si>
  <si>
    <t>Outros passivos não circulantes</t>
  </si>
  <si>
    <t>PATRIMÔNIO LÍQUIDO</t>
  </si>
  <si>
    <t>Capital social</t>
  </si>
  <si>
    <t>Reserva de capital</t>
  </si>
  <si>
    <t>(-) Ações em tesouraria</t>
  </si>
  <si>
    <t>Ajuste avaliação patrimonial</t>
  </si>
  <si>
    <t>Reservas de lucros</t>
  </si>
  <si>
    <t>Dividendos propostos</t>
  </si>
  <si>
    <t>Lucros (Prejuízo) acumulados do período</t>
  </si>
  <si>
    <t>Patrimônio líquido atribuível aos proprietários da Controladora</t>
  </si>
  <si>
    <t>Participações não controladores</t>
  </si>
  <si>
    <t>Total do Patrimônio Líquido</t>
  </si>
  <si>
    <t>TOTAL DO PASSIVO E PATRIMÔNIO LÍQUIDO</t>
  </si>
  <si>
    <t>Capital Empregado</t>
  </si>
  <si>
    <t>Contas a Receber (clientes)</t>
  </si>
  <si>
    <t>Contas a Pagar (fornecedores e funcionários)</t>
  </si>
  <si>
    <t>Capital de Giro (clientes, fornecedores e funcionários)</t>
  </si>
  <si>
    <t>Imobilizado + Intangível</t>
  </si>
  <si>
    <t>Saldo Inicial</t>
  </si>
  <si>
    <t>Aquisições, líquidas de baixas</t>
  </si>
  <si>
    <t>Adiçoes por inclusao de controlada R&amp;R/Poliend/BKI/Gmaia na consolidação (inclui outros ágios)</t>
  </si>
  <si>
    <t>Ajuste por aumento de participação na controlada Smartcoat - diluição minoritários</t>
  </si>
  <si>
    <t>Adição Direito de uso - arrendamento CPC 06 - conf NE imobilizado</t>
  </si>
  <si>
    <t>Baixa Direito de uso - arrendamento CPC 06 - conf NE imobilizado</t>
  </si>
  <si>
    <t>Saldo Final</t>
  </si>
  <si>
    <t>Mutações do PL</t>
  </si>
  <si>
    <t>Saldo inicial</t>
  </si>
  <si>
    <t>Aporte de capital</t>
  </si>
  <si>
    <t>Gastos com emissao de ações - IPO</t>
  </si>
  <si>
    <t>Ajuste adoção inicial CPC 47/48</t>
  </si>
  <si>
    <t>Constituição de dividendos/JCP a pagar, líquido de IRRF</t>
  </si>
  <si>
    <t>IRRF s/ JCP provisionado</t>
  </si>
  <si>
    <t>Dividendos extraordinários gmaia</t>
  </si>
  <si>
    <t>Dividendos não controladores a pagar</t>
  </si>
  <si>
    <t>Remuneração premio de opções</t>
  </si>
  <si>
    <t>Outros resultados abrangentes - instrumento financeiro sobre aquisiçao de controlada</t>
  </si>
  <si>
    <t>Outras reservas de capital - alienação açoes em tesouraria</t>
  </si>
  <si>
    <t>Ajuste proforma - aquisição Real (eliminação do efeito no PL do resultado reconhecido em 2024)</t>
  </si>
  <si>
    <t>Participação dos acionistas não controladores da R&amp;R/Smartcoat/BKI/Gmaia</t>
  </si>
  <si>
    <t>Lucro líquido do período</t>
  </si>
  <si>
    <t>Ações em tesouraria</t>
  </si>
  <si>
    <t>Saldo final</t>
  </si>
  <si>
    <t>Checagem</t>
  </si>
  <si>
    <t>Juros sobre capital próprio/dividendos propostos</t>
  </si>
  <si>
    <t>Detalhamento da posição financeira líquida:</t>
  </si>
  <si>
    <t>Caixa, equivalentes e aplicações financeiras</t>
  </si>
  <si>
    <t>Empréstimos e financiamentos bancários</t>
  </si>
  <si>
    <t>Debêntures</t>
  </si>
  <si>
    <t>Empréstimos de mútuos</t>
  </si>
  <si>
    <t>Dívidas referentes a aquisições</t>
  </si>
  <si>
    <t>Posição financeira líquida</t>
  </si>
  <si>
    <t>Demonstrações de resultado</t>
  </si>
  <si>
    <t>Receita líquida de vendas e serviços</t>
  </si>
  <si>
    <t xml:space="preserve">  Custo dos produtos vendidos e serviços prestados </t>
  </si>
  <si>
    <t xml:space="preserve">Lucro bruto                                                                                                                                   </t>
  </si>
  <si>
    <t xml:space="preserve">Despesas operacionais, gerais e administrativas </t>
  </si>
  <si>
    <t>Resultado Equivalência Patrimônial</t>
  </si>
  <si>
    <t>Lucro operacional antes do resultado financeiro</t>
  </si>
  <si>
    <t xml:space="preserve">Resultado financeiro </t>
  </si>
  <si>
    <t xml:space="preserve">  Receitas financeiras</t>
  </si>
  <si>
    <t xml:space="preserve">  Despesas financeiras</t>
  </si>
  <si>
    <t xml:space="preserve">Lucro antes do imposto de renda e da contribuição social </t>
  </si>
  <si>
    <t xml:space="preserve">  Correntes</t>
  </si>
  <si>
    <t xml:space="preserve">  Diferidos</t>
  </si>
  <si>
    <t>Lucro Líquido do  exercício</t>
  </si>
  <si>
    <t>EBITDA LTM</t>
  </si>
  <si>
    <t>Dívida Líquida/EBITDA contábil LTM</t>
  </si>
  <si>
    <t>Custo dos produtos vendidos</t>
  </si>
  <si>
    <t>Custo de Execução de Obras (incluir provisão para mobilização e desmobilização)</t>
  </si>
  <si>
    <t>Depreciação de Equipamentos Locados</t>
  </si>
  <si>
    <t>Outros Custos</t>
  </si>
  <si>
    <t>Total</t>
  </si>
  <si>
    <t>Despesas Gerais e Administrativas</t>
  </si>
  <si>
    <t>Despesas Diversas</t>
  </si>
  <si>
    <t>Despesas com Aquisições, Novos Negócios, B3 eCVM - Expansão e desenvolvimento</t>
  </si>
  <si>
    <t>Provisão para Devedores Duvidosos</t>
  </si>
  <si>
    <t>AVJ de opções de compra e venda de adquiridas</t>
  </si>
  <si>
    <t>Reserva de capital (Stock Options)</t>
  </si>
  <si>
    <t>Resultados Financeiros</t>
  </si>
  <si>
    <t>Receitas de aplicações financeiras</t>
  </si>
  <si>
    <t>Juros de financiamentos (incluindo IOF)</t>
  </si>
  <si>
    <t>Juros sobre debêntures e custos da transação</t>
  </si>
  <si>
    <t>Resultado de swap, inclui variação cambial passiva</t>
  </si>
  <si>
    <t>Dívida da aquisição</t>
  </si>
  <si>
    <t>Juros de clientes (inclui atualização monetária de recuperação INSS Smartcoat)</t>
  </si>
  <si>
    <t>Cessão de direitos creditórios/Encargos Duplicatas Descontadas</t>
  </si>
  <si>
    <t>Juros e multas s/ títulos (fornecedores e tributos)</t>
  </si>
  <si>
    <t>Outros, (inclui variação cambial ativa)</t>
  </si>
  <si>
    <t>FLUXOS DE CAIXA DAS ATIVIDADES OPERACIONAIS</t>
  </si>
  <si>
    <t>Lucro (Prejuízo) líquido do período antes dos impostos</t>
  </si>
  <si>
    <t>Ajustes</t>
  </si>
  <si>
    <t>Depreciação e amortização</t>
  </si>
  <si>
    <t>Perda (ganho) na baixa de imobilizado e intangíveis</t>
  </si>
  <si>
    <t>Encargos financeiros - Arrendamento mercantil (CPC 06)</t>
  </si>
  <si>
    <t>Baixa de arrendamento mercantil (CPC 06)</t>
  </si>
  <si>
    <t>Perda de estoque</t>
  </si>
  <si>
    <t>Equivalência patrimonial</t>
  </si>
  <si>
    <t>Juros, variação monetária sobre empréstimos, atualização de derivativos e aquisição societária</t>
  </si>
  <si>
    <t>Ganho por compra vantajosa</t>
  </si>
  <si>
    <t>Provisão para riscos</t>
  </si>
  <si>
    <t>Perda estimada com créditos de liquidação duvidosa</t>
  </si>
  <si>
    <t>Despesas de stock options</t>
  </si>
  <si>
    <t>Ajuste em investimentos</t>
  </si>
  <si>
    <t>Apropriação dos custos da transação - Debêntures</t>
  </si>
  <si>
    <t>Variação nos ativos e passivos</t>
  </si>
  <si>
    <t>Contas a receber - Clientes e partes relacionadas</t>
  </si>
  <si>
    <t>Outros ativos e despesas antecipadas</t>
  </si>
  <si>
    <t>Fornecedores - Externos e partes relacionadas</t>
  </si>
  <si>
    <t>Salários e encargos sociais</t>
  </si>
  <si>
    <t>IR e CS passivo</t>
  </si>
  <si>
    <t>Tributos a pagar</t>
  </si>
  <si>
    <t>Outros passivos</t>
  </si>
  <si>
    <t>Impostos pagos</t>
  </si>
  <si>
    <t>Outros créditos</t>
  </si>
  <si>
    <t>CAIXA CONSUMIDO (GERADO) PROVENIENTE DAS ATIVIDADES OPERACIONAIS</t>
  </si>
  <si>
    <t>FLUXOS DE CAIXA DAS ATIVIDADES DE INVESTIMENTOS</t>
  </si>
  <si>
    <t>Resgate (aplicação) em títulos e valores mobiliários</t>
  </si>
  <si>
    <t>Caixa recebido na venda do imobilizado</t>
  </si>
  <si>
    <t>Saldos iniciais consolidação da controlada R&amp;R</t>
  </si>
  <si>
    <t>Redução do ágio adquirido com tributos diferidos - Incorporação</t>
  </si>
  <si>
    <t>Ajuste de participação da controlada Smartcoat devido a ajuste % acionistas minoritários</t>
  </si>
  <si>
    <t>CAIXA CONSUMIDO (GERADO) PROVENIENTE DAS ATIVIDADES DE INVESTIMENTOS</t>
  </si>
  <si>
    <t>FLUXOS DE CAIXA DAS ATIVIDADES DE FINANCIAMENTO</t>
  </si>
  <si>
    <t>Aumento de capital</t>
  </si>
  <si>
    <t>Aporte de não controladores</t>
  </si>
  <si>
    <t>Emissão de debêntures</t>
  </si>
  <si>
    <t>Ajuste adoção CPC 47/48</t>
  </si>
  <si>
    <t>Dividendos recebidos</t>
  </si>
  <si>
    <t>Juros sobre capital próprio e dividendos pagos</t>
  </si>
  <si>
    <t>Mútuo a receber - Partes relacionadas</t>
  </si>
  <si>
    <t>Mútuo a pagar - partes relacionadas</t>
  </si>
  <si>
    <t>Amortização de contas a pagar por aquisição societária - principal</t>
  </si>
  <si>
    <t>Amortização de empréstimos e debêntures - principal</t>
  </si>
  <si>
    <t>Amortização de debêntures - principal</t>
  </si>
  <si>
    <t>Captação de empréstimos</t>
  </si>
  <si>
    <t>Juros pagos em amortização de empréstimos, debêntures e aquisição por participação societária</t>
  </si>
  <si>
    <t>Financiamento limite cheque especial</t>
  </si>
  <si>
    <t>Operação de duplicatas descontadas</t>
  </si>
  <si>
    <t>Pagamento arrendamento mercantil - CPC 06 (R2)</t>
  </si>
  <si>
    <t>Ganho (amortização) de swap</t>
  </si>
  <si>
    <t>Recompra de ações</t>
  </si>
  <si>
    <t>Antecipação de dividendos</t>
  </si>
  <si>
    <t>Pagamento custos iniciais obra arrendamento mercantil</t>
  </si>
  <si>
    <t>CAIXA CONSUMIDO (GERADO) PROVENIENTE DAS ATIVIDADES DE FINANCIAMENTO</t>
  </si>
  <si>
    <t xml:space="preserve">Variação no Caixa </t>
  </si>
  <si>
    <t>Caixa Inicial</t>
  </si>
  <si>
    <t>Caixa Final</t>
  </si>
  <si>
    <t>Dados operacionais</t>
  </si>
  <si>
    <t>Quantidade total de colaboradores (final de trimestre)</t>
  </si>
  <si>
    <t>Quantidade total de colaboradores (média mensal do trimestre)</t>
  </si>
  <si>
    <t>Quantidade total de colaboradores ajustado (média mensal do trimestre)</t>
  </si>
  <si>
    <t>Receita Líquida per capita (R$ mil mensal per capita)</t>
  </si>
  <si>
    <t>Receita Líquida per capita ajustada (R$ mil mensal per capita)</t>
  </si>
  <si>
    <t>CPV per capita (R$ mil mensal per capita)</t>
  </si>
  <si>
    <t>CPV per capita ajustado (R$ mil mensal per capita)</t>
  </si>
  <si>
    <t>Lucro Bruto per capita (R$ mil mensal per capita)</t>
  </si>
  <si>
    <t>Lucro Bruto per capita ajustado (R$ mil mensal per capita)</t>
  </si>
  <si>
    <t>Lucro Operacional per capita (R$ mil mensal per capita)</t>
  </si>
  <si>
    <t>Lucro Operacional per capita ajustado (R$ mil mensal per capita)</t>
  </si>
  <si>
    <t># dias de contas a receber (clientes)</t>
  </si>
  <si>
    <t># dias de contas a pagar (fornecedores e funcionários)</t>
  </si>
  <si>
    <t># dias de capital de giro</t>
  </si>
  <si>
    <r>
      <rPr>
        <rFont val="Trebuchet MS"/>
        <b/>
        <color theme="1"/>
        <sz val="10.0"/>
        <u/>
      </rPr>
      <t>Nota</t>
    </r>
    <r>
      <rPr>
        <rFont val="Trebuchet MS"/>
        <color theme="1"/>
        <sz val="10.0"/>
      </rPr>
      <t>: valores ajustados em 2022 desconsideram contratos pontuais da gmaia.</t>
    </r>
  </si>
  <si>
    <t>Ajustes GMAIA</t>
  </si>
  <si>
    <t>Receita Bruta Ajustada</t>
  </si>
  <si>
    <t>Receita Líquida ajustada</t>
  </si>
  <si>
    <t>CPV Ajustado</t>
  </si>
  <si>
    <t>Lucro Bruto ajustado</t>
  </si>
  <si>
    <t>Margem Bruta ajustada (%)</t>
  </si>
  <si>
    <t>Lucro Operacional Ajustado</t>
  </si>
  <si>
    <t>Lucro Líquido ajustado</t>
  </si>
  <si>
    <t>Margem Líquida ajustada (%)</t>
  </si>
  <si>
    <t>EBITDA ajustado</t>
  </si>
  <si>
    <t>Margem EBITDA ajustada (%)</t>
  </si>
  <si>
    <t>ROIC Ajustado (alíquota teórica)</t>
  </si>
  <si>
    <t>ROIC Ajustado (alíquota efetiva)</t>
  </si>
  <si>
    <t>Receita Bruta contábil consolidado</t>
  </si>
  <si>
    <t>Serviços Industriais</t>
  </si>
  <si>
    <t>Infraestrutura</t>
  </si>
  <si>
    <t>Engenharia de Integridade e Inspeção</t>
  </si>
  <si>
    <t>Montagem Industrial</t>
  </si>
  <si>
    <t>Receita Líquida contábil consolidado</t>
  </si>
  <si>
    <t>Custo dos serviços prestados</t>
  </si>
  <si>
    <t>Lucro Bruto contábil consolidado</t>
  </si>
  <si>
    <t>Margem Bruta contábil consolidada</t>
  </si>
  <si>
    <t>Receita líquida consolidada</t>
  </si>
  <si>
    <t>O&amp;G Upstream</t>
  </si>
  <si>
    <t>O&amp;G Downstream</t>
  </si>
  <si>
    <t>Petroquímica</t>
  </si>
  <si>
    <t>Química</t>
  </si>
  <si>
    <t>Papel e Celulose</t>
  </si>
  <si>
    <t>Mineração</t>
  </si>
  <si>
    <t>Outros (Siderurgia, Geração de Energia e Outros)</t>
  </si>
  <si>
    <t xml:space="preserve">Receita Bruta </t>
  </si>
  <si>
    <t>Acesso</t>
  </si>
  <si>
    <t>Pintura Industrial</t>
  </si>
  <si>
    <t>Isolamento</t>
  </si>
  <si>
    <t>Caldeiraria</t>
  </si>
  <si>
    <t>Habitat</t>
  </si>
  <si>
    <t>Inspeção</t>
  </si>
  <si>
    <t>Manutenção Civil</t>
  </si>
  <si>
    <t>NOPAT  (LTM)</t>
  </si>
  <si>
    <t>EBIT (LTM)</t>
  </si>
  <si>
    <t>IR/CS (LTM)</t>
  </si>
  <si>
    <t>Capital Investido Médio</t>
  </si>
  <si>
    <t>Capital de Giro (Média LTM)</t>
  </si>
  <si>
    <t>Imob. e Intangível (Média LTM)</t>
  </si>
  <si>
    <t>ROIC Contábil LTM</t>
  </si>
  <si>
    <t>Serviços e cessão de estruturas</t>
  </si>
  <si>
    <t>Locação</t>
  </si>
  <si>
    <t>Vendas</t>
  </si>
  <si>
    <t>Indenizações, recuperação e sucatas</t>
  </si>
  <si>
    <t>Impostos sobre vendas e serviços</t>
  </si>
  <si>
    <t>Cancelamentos e devoluções de vendas</t>
  </si>
  <si>
    <t>Total da receita operacional líquida</t>
  </si>
  <si>
    <t>Receita Operacional Bruta</t>
  </si>
  <si>
    <t>Deduções de Receita</t>
  </si>
  <si>
    <t>Locação e cessão</t>
  </si>
  <si>
    <t>Serviços</t>
  </si>
  <si>
    <t>Indenizações e sucatas</t>
  </si>
  <si>
    <t>Dedução de Receita</t>
  </si>
  <si>
    <t>Cancelamentos, descontos e devoluções de vendas</t>
  </si>
  <si>
    <t>IPCA</t>
  </si>
  <si>
    <t>CDI - Acumulado do ano</t>
  </si>
  <si>
    <t>Crescimento do PIB Real</t>
  </si>
  <si>
    <t>Dólar</t>
  </si>
  <si>
    <t>[UNIT]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</si>
</sst>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0&quot;A&quot;"/>
    <numFmt numFmtId="165" formatCode="_(#,##0_);\(#,##0\);0"/>
    <numFmt numFmtId="166" formatCode="_(##,#00_);\(##,#00\);0"/>
    <numFmt numFmtId="167" formatCode="0.0%"/>
    <numFmt numFmtId="168" formatCode="#,##0.0"/>
    <numFmt numFmtId="169" formatCode="0.0"/>
    <numFmt numFmtId="170" formatCode="0.000"/>
    <numFmt numFmtId="171" formatCode="_(#,##0.0_);\(#,##0.0\);0.0"/>
    <numFmt numFmtId="172" formatCode="_(#,##0.00_);\(#,##0.00\);0.00"/>
    <numFmt numFmtId="173" formatCode="0.0&quot;x&quot;"/>
    <numFmt numFmtId="174" formatCode="#,##0.000"/>
    <numFmt numFmtId="175" formatCode="_(#,##0.0%_);\(#,##0.0%\)"/>
    <numFmt numFmtId="176" formatCode="_(##,#00.0_);\(##,#00.0\);0.0"/>
    <numFmt numFmtId="177" formatCode="#,##0.0000"/>
    <numFmt numFmtId="178" formatCode="_(##,#00.00_);\(##,#00.00\);0.00"/>
    <numFmt numFmtId="179" formatCode="[Black]#,##0_);[Black]\(#,##0\)"/>
    <numFmt numFmtId="180" formatCode="0.0000"/>
    <numFmt numFmtId="181" formatCode="0.0&quot;pp&quot;"/>
    <numFmt numFmtId="182" formatCode="_(#,##0.0&quot;x&quot;_);\(#,##0.0&quot;x&quot;\);0"/>
  </numFmts>
  <fonts count="18">
    <font>
      <sz val="11.0"/>
      <color theme="1"/>
      <name val="Calibri"/>
      <scheme val="minor"/>
    </font>
    <font>
      <sz val="9.0"/>
      <color theme="1"/>
      <name val="Calibri"/>
    </font>
    <font>
      <b/>
      <sz val="9.0"/>
      <color theme="0"/>
      <name val="Calibri"/>
    </font>
    <font>
      <b/>
      <sz val="9.0"/>
      <color theme="1"/>
      <name val="Calibri"/>
    </font>
    <font>
      <sz val="9.0"/>
      <color theme="1"/>
      <name val="Noto Sans Symbols"/>
    </font>
    <font>
      <sz val="11.0"/>
      <color theme="1"/>
      <name val="Calibri"/>
    </font>
    <font>
      <color theme="1"/>
      <name val="Calibri"/>
      <scheme val="minor"/>
    </font>
    <font>
      <sz val="9.0"/>
      <color rgb="FF00B0F0"/>
      <name val="Calibri"/>
    </font>
    <font>
      <i/>
      <sz val="9.0"/>
      <color rgb="FF75707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Trebuchet MS"/>
    </font>
    <font>
      <b/>
      <sz val="10.0"/>
      <color rgb="FF000000"/>
      <name val="Trebuchet MS"/>
    </font>
    <font>
      <sz val="10.0"/>
      <color rgb="FF000000"/>
      <name val="Trebuchet MS"/>
    </font>
    <font>
      <sz val="11.0"/>
      <color rgb="FF000000"/>
      <name val="Trebuchet MS"/>
    </font>
    <font>
      <sz val="10.0"/>
      <color rgb="FFBFBFBF"/>
      <name val="Trebuchet MS"/>
    </font>
    <font>
      <b/>
      <sz val="10.0"/>
      <color theme="1"/>
      <name val="Trebuchet MS"/>
    </font>
    <font>
      <sz val="9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A5A5A5"/>
        <bgColor rgb="FFA5A5A5"/>
      </patternFill>
    </fill>
    <fill>
      <patternFill patternType="solid">
        <fgColor rgb="FFFBF7C1"/>
        <bgColor rgb="FFFBF7C1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21">
    <border/>
    <border>
      <left/>
      <right/>
      <top/>
      <bottom/>
    </border>
    <border>
      <bottom style="thin">
        <color rgb="FF000000"/>
      </bottom>
    </border>
    <border>
      <bottom style="thin">
        <color theme="1"/>
      </bottom>
    </border>
    <border>
      <top style="thin">
        <color rgb="FF000000"/>
      </top>
      <bottom style="thin">
        <color rgb="FF000000"/>
      </bottom>
    </border>
    <border>
      <top style="thin">
        <color theme="1"/>
      </top>
      <bottom style="thin">
        <color theme="1"/>
      </bottom>
    </border>
    <border>
      <left style="thin">
        <color rgb="FF000000"/>
      </left>
      <top style="thin">
        <color rgb="FF000000"/>
      </top>
    </border>
    <border>
      <top style="thin">
        <color theme="1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right"/>
    </xf>
    <xf borderId="1" fillId="3" fontId="2" numFmtId="0" xfId="0" applyAlignment="1" applyBorder="1" applyFill="1" applyFont="1">
      <alignment horizontal="right"/>
    </xf>
    <xf borderId="0" fillId="0" fontId="3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1" fillId="2" fontId="2" numFmtId="0" xfId="0" applyAlignment="1" applyBorder="1" applyFont="1">
      <alignment horizontal="center" vertical="center"/>
    </xf>
    <xf borderId="0" fillId="0" fontId="5" numFmtId="9" xfId="0" applyFont="1" applyNumberFormat="1"/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vertical="center"/>
    </xf>
    <xf borderId="0" fillId="0" fontId="1" numFmtId="4" xfId="0" applyFont="1" applyNumberFormat="1"/>
    <xf borderId="2" fillId="0" fontId="1" numFmtId="0" xfId="0" applyAlignment="1" applyBorder="1" applyFont="1">
      <alignment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3" xfId="0" applyAlignment="1" applyBorder="1" applyFont="1" applyNumberFormat="1">
      <alignment horizontal="center"/>
    </xf>
    <xf borderId="0" fillId="0" fontId="1" numFmtId="9" xfId="0" applyFont="1" applyNumberFormat="1"/>
    <xf borderId="2" fillId="0" fontId="1" numFmtId="168" xfId="0" applyAlignment="1" applyBorder="1" applyFont="1" applyNumberFormat="1">
      <alignment horizontal="center"/>
    </xf>
    <xf borderId="2" fillId="0" fontId="3" numFmtId="168" xfId="0" applyAlignment="1" applyBorder="1" applyFont="1" applyNumberForma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6" numFmtId="0" xfId="0" applyFont="1"/>
    <xf borderId="0" fillId="0" fontId="7" numFmtId="167" xfId="0" applyAlignment="1" applyFont="1" applyNumberFormat="1">
      <alignment horizontal="center"/>
    </xf>
    <xf borderId="4" fillId="0" fontId="3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3" numFmtId="165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8" fillId="0" fontId="1" numFmtId="169" xfId="0" applyAlignment="1" applyBorder="1" applyFont="1" applyNumberFormat="1">
      <alignment horizontal="center" vertical="center"/>
    </xf>
    <xf borderId="8" fillId="0" fontId="1" numFmtId="1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vertical="center"/>
    </xf>
    <xf borderId="0" fillId="0" fontId="3" numFmtId="169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9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vertical="center"/>
    </xf>
    <xf borderId="2" fillId="0" fontId="1" numFmtId="167" xfId="0" applyAlignment="1" applyBorder="1" applyFont="1" applyNumberFormat="1">
      <alignment horizontal="center"/>
    </xf>
    <xf borderId="0" fillId="0" fontId="5" numFmtId="168" xfId="0" applyFont="1" applyNumberFormat="1"/>
    <xf borderId="0" fillId="0" fontId="5" numFmtId="169" xfId="0" applyFont="1" applyNumberFormat="1"/>
    <xf borderId="0" fillId="0" fontId="5" numFmtId="1" xfId="0" applyFont="1" applyNumberFormat="1"/>
    <xf borderId="0" fillId="0" fontId="5" numFmtId="166" xfId="0" applyFont="1" applyNumberFormat="1"/>
    <xf borderId="5" fillId="0" fontId="3" numFmtId="0" xfId="0" applyAlignment="1" applyBorder="1" applyFont="1">
      <alignment horizontal="left" vertical="center"/>
    </xf>
    <xf borderId="5" fillId="0" fontId="3" numFmtId="166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left" vertical="center"/>
    </xf>
    <xf borderId="3" fillId="0" fontId="3" numFmtId="169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169" xfId="0" applyAlignment="1" applyFont="1" applyNumberFormat="1">
      <alignment horizontal="center"/>
    </xf>
    <xf borderId="0" fillId="0" fontId="7" numFmtId="169" xfId="0" applyAlignment="1" applyFont="1" applyNumberFormat="1">
      <alignment horizontal="center"/>
    </xf>
    <xf borderId="0" fillId="0" fontId="5" numFmtId="170" xfId="0" applyFont="1" applyNumberFormat="1"/>
    <xf borderId="0" fillId="0" fontId="5" numFmtId="2" xfId="0" applyFont="1" applyNumberFormat="1"/>
    <xf borderId="5" fillId="0" fontId="1" numFmtId="166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1" numFmtId="166" xfId="0" applyAlignment="1" applyFont="1" applyNumberFormat="1">
      <alignment horizontal="center" vertical="center"/>
    </xf>
    <xf borderId="0" fillId="0" fontId="7" numFmtId="170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8" numFmtId="0" xfId="0" applyFont="1"/>
    <xf borderId="0" fillId="0" fontId="1" numFmtId="165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72" xfId="0" applyAlignment="1" applyFont="1" applyNumberFormat="1">
      <alignment horizontal="center"/>
    </xf>
    <xf borderId="0" fillId="0" fontId="5" numFmtId="172" xfId="0" applyFont="1" applyNumberFormat="1"/>
    <xf borderId="0" fillId="0" fontId="3" numFmtId="0" xfId="0" applyFont="1"/>
    <xf borderId="0" fillId="0" fontId="9" numFmtId="0" xfId="0" applyFont="1"/>
    <xf borderId="0" fillId="0" fontId="3" numFmtId="165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vertical="center"/>
    </xf>
    <xf borderId="4" fillId="0" fontId="3" numFmtId="168" xfId="0" applyAlignment="1" applyBorder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174" xfId="0" applyFont="1" applyNumberFormat="1"/>
    <xf borderId="2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0" fillId="0" fontId="1" numFmtId="165" xfId="0" applyAlignment="1" applyFont="1" applyNumberFormat="1">
      <alignment horizontal="center" vertical="center"/>
    </xf>
    <xf borderId="0" fillId="0" fontId="1" numFmtId="175" xfId="0" applyAlignment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2" fillId="0" fontId="3" numFmtId="3" xfId="0" applyAlignment="1" applyBorder="1" applyFont="1" applyNumberFormat="1">
      <alignment horizont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4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7" numFmtId="175" xfId="0" applyAlignment="1" applyFont="1" applyNumberFormat="1">
      <alignment horizontal="center" shrinkToFit="0" vertical="center" wrapText="1"/>
    </xf>
    <xf borderId="1" fillId="5" fontId="7" numFmtId="175" xfId="0" applyAlignment="1" applyBorder="1" applyFill="1" applyFont="1" applyNumberFormat="1">
      <alignment horizontal="center" shrinkToFit="0" vertical="center" wrapText="1"/>
    </xf>
    <xf borderId="0" fillId="0" fontId="1" numFmtId="171" xfId="0" applyAlignment="1" applyFont="1" applyNumberFormat="1">
      <alignment horizontal="center" vertical="center"/>
    </xf>
    <xf borderId="2" fillId="0" fontId="3" numFmtId="176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8" fillId="0" fontId="3" numFmtId="176" xfId="0" applyAlignment="1" applyBorder="1" applyFont="1" applyNumberFormat="1">
      <alignment horizontal="center" vertical="center"/>
    </xf>
    <xf borderId="0" fillId="0" fontId="5" numFmtId="4" xfId="0" applyFont="1" applyNumberFormat="1"/>
    <xf borderId="2" fillId="0" fontId="1" numFmtId="0" xfId="0" applyAlignment="1" applyBorder="1" applyFont="1">
      <alignment horizontal="left" vertical="center"/>
    </xf>
    <xf borderId="2" fillId="0" fontId="5" numFmtId="0" xfId="0" applyBorder="1" applyFont="1"/>
    <xf borderId="2" fillId="0" fontId="1" numFmtId="173" xfId="0" applyAlignment="1" applyBorder="1" applyFont="1" applyNumberFormat="1">
      <alignment horizontal="center"/>
    </xf>
    <xf borderId="8" fillId="0" fontId="1" numFmtId="168" xfId="0" applyAlignment="1" applyBorder="1" applyFont="1" applyNumberFormat="1">
      <alignment horizontal="center"/>
    </xf>
    <xf borderId="0" fillId="0" fontId="5" numFmtId="177" xfId="0" applyFont="1" applyNumberFormat="1"/>
    <xf borderId="13" fillId="4" fontId="1" numFmtId="17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168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8" fillId="0" fontId="1" numFmtId="175" xfId="0" applyAlignment="1" applyBorder="1" applyFont="1" applyNumberFormat="1">
      <alignment horizontal="center" shrinkToFit="0" vertical="center" wrapText="1"/>
    </xf>
    <xf borderId="4" fillId="0" fontId="3" numFmtId="176" xfId="0" applyAlignment="1" applyBorder="1" applyFont="1" applyNumberFormat="1">
      <alignment horizontal="center" vertical="center"/>
    </xf>
    <xf borderId="0" fillId="0" fontId="7" numFmtId="9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5" numFmtId="178" xfId="0" applyFont="1" applyNumberFormat="1"/>
    <xf borderId="2" fillId="0" fontId="1" numFmtId="166" xfId="0" applyAlignment="1" applyBorder="1" applyFont="1" applyNumberFormat="1">
      <alignment horizontal="center" vertical="center"/>
    </xf>
    <xf borderId="2" fillId="0" fontId="7" numFmtId="166" xfId="0" applyAlignment="1" applyBorder="1" applyFont="1" applyNumberFormat="1">
      <alignment horizontal="center" vertical="center"/>
    </xf>
    <xf borderId="0" fillId="0" fontId="1" numFmtId="17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6" fontId="1" numFmtId="1" xfId="0" applyAlignment="1" applyBorder="1" applyFill="1" applyFont="1" applyNumberFormat="1">
      <alignment horizontal="center"/>
    </xf>
    <xf borderId="1" fillId="6" fontId="1" numFmtId="2" xfId="0" applyAlignment="1" applyBorder="1" applyFont="1" applyNumberFormat="1">
      <alignment horizontal="center"/>
    </xf>
    <xf borderId="0" fillId="0" fontId="1" numFmtId="180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4" fillId="0" fontId="1" numFmtId="165" xfId="0" applyAlignment="1" applyBorder="1" applyFont="1" applyNumberFormat="1">
      <alignment horizontal="center" vertical="center"/>
    </xf>
    <xf borderId="4" fillId="0" fontId="3" numFmtId="167" xfId="0" applyAlignment="1" applyBorder="1" applyFont="1" applyNumberFormat="1">
      <alignment horizontal="center" vertical="center"/>
    </xf>
    <xf borderId="0" fillId="0" fontId="1" numFmtId="181" xfId="0" applyAlignment="1" applyFont="1" applyNumberFormat="1">
      <alignment horizontal="center"/>
    </xf>
    <xf borderId="1" fillId="5" fontId="7" numFmtId="167" xfId="0" applyAlignment="1" applyBorder="1" applyFont="1" applyNumberFormat="1">
      <alignment horizontal="center"/>
    </xf>
    <xf borderId="0" fillId="0" fontId="5" numFmtId="165" xfId="0" applyFont="1" applyNumberFormat="1"/>
    <xf borderId="0" fillId="0" fontId="5" numFmtId="0" xfId="0" applyAlignment="1" applyFont="1">
      <alignment horizontal="center"/>
    </xf>
    <xf borderId="0" fillId="0" fontId="1" numFmtId="14" xfId="0" applyAlignment="1" applyFont="1" applyNumberFormat="1">
      <alignment horizontal="center" vertical="center"/>
    </xf>
    <xf borderId="0" fillId="0" fontId="7" numFmtId="14" xfId="0" applyAlignment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 vertical="center"/>
    </xf>
    <xf borderId="4" fillId="0" fontId="5" numFmtId="0" xfId="0" applyBorder="1" applyFont="1"/>
    <xf borderId="11" fillId="0" fontId="3" numFmtId="165" xfId="0" applyAlignment="1" applyBorder="1" applyFont="1" applyNumberForma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8" fillId="0" fontId="1" numFmtId="166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2" fillId="4" fontId="1" numFmtId="167" xfId="0" applyAlignment="1" applyBorder="1" applyFont="1" applyNumberFormat="1">
      <alignment horizontal="center" vertical="center"/>
    </xf>
    <xf borderId="14" fillId="7" fontId="3" numFmtId="0" xfId="0" applyAlignment="1" applyBorder="1" applyFill="1" applyFont="1">
      <alignment vertical="center"/>
    </xf>
    <xf borderId="15" fillId="7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6" fillId="0" fontId="1" numFmtId="0" xfId="0" applyAlignment="1" applyBorder="1" applyFont="1">
      <alignment horizontal="center" vertical="center"/>
    </xf>
    <xf borderId="16" fillId="0" fontId="1" numFmtId="14" xfId="0" applyAlignment="1" applyBorder="1" applyFont="1" applyNumberFormat="1">
      <alignment horizontal="center" vertical="center"/>
    </xf>
    <xf borderId="16" fillId="0" fontId="1" numFmtId="166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vertical="center"/>
    </xf>
    <xf borderId="17" fillId="0" fontId="1" numFmtId="166" xfId="0" applyAlignment="1" applyBorder="1" applyFont="1" applyNumberFormat="1">
      <alignment horizontal="center" vertical="center"/>
    </xf>
    <xf borderId="16" fillId="0" fontId="1" numFmtId="176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167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16" fillId="0" fontId="1" numFmtId="17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19" fillId="0" fontId="1" numFmtId="175" xfId="0" applyAlignment="1" applyBorder="1" applyFont="1" applyNumberFormat="1">
      <alignment horizontal="center" shrinkToFit="0" vertical="center" wrapText="1"/>
    </xf>
    <xf borderId="0" fillId="0" fontId="10" numFmtId="0" xfId="0" applyFont="1"/>
    <xf borderId="20" fillId="0" fontId="1" numFmtId="0" xfId="0" applyAlignment="1" applyBorder="1" applyFont="1">
      <alignment vertical="center"/>
    </xf>
    <xf borderId="19" fillId="0" fontId="1" numFmtId="166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vertical="center"/>
    </xf>
    <xf borderId="0" fillId="0" fontId="1" numFmtId="1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left" vertical="center"/>
    </xf>
    <xf borderId="0" fillId="0" fontId="3" numFmtId="171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left" vertical="center"/>
    </xf>
    <xf borderId="0" fillId="0" fontId="9" numFmtId="9" xfId="0" applyFont="1" applyNumberFormat="1"/>
    <xf borderId="1" fillId="5" fontId="5" numFmtId="0" xfId="0" applyBorder="1" applyFont="1"/>
    <xf borderId="0" fillId="0" fontId="5" numFmtId="3" xfId="0" applyFont="1" applyNumberFormat="1"/>
    <xf borderId="0" fillId="0" fontId="6" numFmtId="3" xfId="0" applyFont="1" applyNumberFormat="1"/>
    <xf borderId="1" fillId="8" fontId="11" numFmtId="0" xfId="0" applyAlignment="1" applyBorder="1" applyFill="1" applyFont="1">
      <alignment shrinkToFit="0" wrapText="1"/>
    </xf>
    <xf borderId="1" fillId="5" fontId="9" numFmtId="0" xfId="0" applyBorder="1" applyFont="1"/>
    <xf borderId="0" fillId="0" fontId="12" numFmtId="0" xfId="0" applyFont="1"/>
    <xf borderId="0" fillId="0" fontId="13" numFmtId="0" xfId="0" applyFont="1"/>
    <xf borderId="1" fillId="5" fontId="13" numFmtId="0" xfId="0" applyBorder="1" applyFont="1"/>
    <xf borderId="0" fillId="0" fontId="11" numFmtId="0" xfId="0" applyAlignment="1" applyFont="1">
      <alignment horizontal="left" vertical="center"/>
    </xf>
    <xf borderId="0" fillId="0" fontId="14" numFmtId="0" xfId="0" applyFont="1"/>
    <xf borderId="0" fillId="0" fontId="15" numFmtId="0" xfId="0" applyFont="1"/>
    <xf borderId="1" fillId="9" fontId="13" numFmtId="179" xfId="0" applyAlignment="1" applyBorder="1" applyFill="1" applyFont="1" applyNumberFormat="1">
      <alignment horizontal="right" shrinkToFit="0" wrapText="1"/>
    </xf>
    <xf borderId="1" fillId="10" fontId="13" numFmtId="179" xfId="0" applyAlignment="1" applyBorder="1" applyFill="1" applyFont="1" applyNumberFormat="1">
      <alignment horizontal="right" shrinkToFit="0" wrapText="1"/>
    </xf>
    <xf borderId="1" fillId="5" fontId="11" numFmtId="0" xfId="0" applyAlignment="1" applyBorder="1" applyFont="1">
      <alignment horizontal="left" vertical="center"/>
    </xf>
    <xf borderId="1" fillId="9" fontId="13" numFmtId="167" xfId="0" applyAlignment="1" applyBorder="1" applyFont="1" applyNumberFormat="1">
      <alignment horizontal="right" shrinkToFit="0" wrapText="1"/>
    </xf>
    <xf borderId="0" fillId="0" fontId="16" numFmtId="0" xfId="0" applyAlignment="1" applyFont="1">
      <alignment horizontal="left" vertical="center"/>
    </xf>
    <xf borderId="1" fillId="9" fontId="12" numFmtId="179" xfId="0" applyAlignment="1" applyBorder="1" applyFont="1" applyNumberFormat="1">
      <alignment horizontal="right" shrinkToFit="0" wrapText="1"/>
    </xf>
    <xf borderId="1" fillId="9" fontId="12" numFmtId="167" xfId="0" applyAlignment="1" applyBorder="1" applyFont="1" applyNumberFormat="1">
      <alignment horizontal="right" shrinkToFit="0" wrapText="1"/>
    </xf>
    <xf borderId="0" fillId="0" fontId="9" numFmtId="0" xfId="0" applyAlignment="1" applyFont="1">
      <alignment horizontal="left"/>
    </xf>
    <xf borderId="0" fillId="0" fontId="9" numFmtId="4" xfId="0" applyFont="1" applyNumberFormat="1"/>
    <xf borderId="0" fillId="0" fontId="9" numFmtId="168" xfId="0" applyFont="1" applyNumberFormat="1"/>
    <xf borderId="0" fillId="0" fontId="5" numFmtId="167" xfId="0" applyFont="1" applyNumberFormat="1"/>
    <xf borderId="1" fillId="5" fontId="5" numFmtId="3" xfId="0" applyBorder="1" applyFont="1" applyNumberFormat="1"/>
    <xf borderId="0" fillId="0" fontId="17" numFmtId="175" xfId="0" applyAlignment="1" applyFont="1" applyNumberFormat="1">
      <alignment horizontal="center" shrinkToFit="0" vertical="center" wrapText="1"/>
    </xf>
    <xf borderId="0" fillId="0" fontId="17" numFmtId="182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numFmt numFmtId="0" formatCode="_-* #,##0_-;\-* #,##0_-;_-* &quot;-&quot;_-;_-@"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34.xml"/><Relationship Id="rId41" Type="http://schemas.openxmlformats.org/officeDocument/2006/relationships/externalLink" Target="externalLinks/externalLink33.xml"/><Relationship Id="rId44" Type="http://schemas.openxmlformats.org/officeDocument/2006/relationships/externalLink" Target="externalLinks/externalLink36.xml"/><Relationship Id="rId43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3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48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39.xml"/><Relationship Id="rId4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25.xml"/><Relationship Id="rId32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29.xml"/><Relationship Id="rId36" Type="http://schemas.openxmlformats.org/officeDocument/2006/relationships/externalLink" Target="externalLinks/externalLink28.xml"/><Relationship Id="rId39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0.xml"/><Relationship Id="rId20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Q-TGL-FS-01\USER\JOAO\PERFIL\BAL.PERFIL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RPIEREHE\aws\APPL\Tesouraria\Base%20de%20Dados\TESTE.XLW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Documents%20and%20Settings\m081142\m081142\ARQUIVO%20DE%20TRABALHO\MARY\Luci\G7ABR99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Nw_server1\SYS\Dados\Martins\Transpar&#234;ncias\fina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dministracao12\Area%20Publica\WINDOWS\TEMP\c.notes.data\ECOF1101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Q-TGL-FS-01\USER\JOAO\PERFIL\COMPLEMENTO%20-%20PERFIL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gb24166\pdmsdirs\Current%20Work\PC\9-05\9-05046\9-05046L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ARCOSCOELHO\aws\FINANCEI\TESOURAR\ARQUIVO\CAIXAAMB\YTD95\CASHMAY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RVARONPE\aws\mar16404\BALAN&#199;O%202003\09-2003\Bal-092002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Q-TGL-FS-01\Documents%20and%20Settings\tomas.maciel\Configura&#231;&#245;es%20locais\Temporary%20Internet%20Files\OLK53\CPMBraxis%20FinMod%20(14.02.08).a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sbrsp1153\Research\Documents%20and%20Settings\t608757\Local%20Settings\Temporary%20Internet%20Files\Content.Outlook\VL3MXICU\sgb24166\pdmsdirs\Current%20Work\PC\9-05\9-05046\9-05046L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sbrsp1153\Research\T\GROUPS\CFBB\DMN\COMPS\CHEMICAL\PHARMAC3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sbrsp1153\Research\Documents%20and%20Settings\t608757\Local%20Settings\Temporary%20Internet%20Files\Content.Outlook\VL3MXICU\Susst056\PDMSdirs\Current%20Work\PC\9-05\9-05046\9-05046L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sbrsp1153\Research\Documents%20and%20Settings\t608757\Local%20Settings\Temporary%20Internet%20Files\Content.Outlook\VL3MXICU\SGB24166\PDMSdirs\9-09\9-09183\CUS%20Image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PROGRAMA&#199;&#195;O%20FINANCEIRA\Teste%20-%20ACUMUL0903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ISABEL\aws\APPL\Tesouraria\Base%20de%20Dados\TESTE.XLW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T:\GROUPS\CFBB\DMN\COMPS\CHEMICAL\PHARMAC3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usst056\PDMSdirs\Current%20Work\PC\9-05\9-05046\9-05046L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GB24166\PDMSdirs\9-09\9-09183\CUS%20Image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microsoft.com/office/2006/relationships/xlExternalLinkPath/xlPathMissing" Target="SEMANAI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usny736\pdmsdirs\210\2100014n\2100014N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USNY057\groupdirs\M&amp;A\Presentations\04\9040832n\9040832n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chic001pn1\pdmsdirs\UTILITIE\Email\03_Wed\Dean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Q-TGL-FS-01\Tegma\RFLOCAL\Deb&#234;ntures\INDIPORT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LL-LOGISTICA.NET\FILESERVERALL\DOCUME~1\ADMINI~1\CONFIG~1\Temp\Diret&#243;rio%20tempor&#225;rio%201%20para%20torre2005%20v5%20prior.zip\Marco%20VIA\metas%202002\MARCO\CORRE&#199;&#195;O%20GEOM\7Relat&#243;rio%20do%20m&#234;s%20de%20Julho%20%20-%202002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sbrsp1153\Research\Documents%20and%20Settings\t608757\Local%20Settings\Temporary%20Internet%20Files\Content.Outlook\VL3MXICU\FFM_HQ_GR02\VOL1\DONT_USE\RESSORTF\FC\FCO\Bankengespr\Assume.xls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~1\ADMINI~1\CONFIG~1\Temp\Diret&#243;rio%20tempor&#225;rio%201%20para%20torre2005%20v5%20prior.zip\Marco%20VIA\metas%202002\MARCO\CORRE&#199;&#195;O%20GEOM\7Relat&#243;rio%20do%20m&#234;s%20de%20Julho%20%20-%202002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Q-TGL-FS-01\Documents%20and%20Settings\Karinar\Desktop\Consolida&#231;&#227;o\2010\Fluxo%20de%20Caixa\Mar&#231;o10\BalPublicdez09B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Middle%20Office/Geral/Indicadores%20Financeiros/Indicadores%20Economicos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Front%20Office/Caixa/Benchmark/Benchmark%20BLPV2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Q-TGL-FS-01\Users\Note_07\AppData\Local\Temp\Temp1_IRCS%202009%20-%20ITAP%20BEMIS%20-%2009.09.2009.zip\Documents%20and%20Settings\Administrador\Configura&#231;&#245;es%20locais\Temporary%20Internet%20Files\Content.IE5\8LYZ01ER\Estudo%20de%20Hedges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LL-LOGISTICA.NET\FILESERVERALL\Marco%20VIA\metas%202002\MARCO\CORRE&#199;&#195;O%20GEOM\7Relat&#243;rio%20do%20m&#234;s%20de%20Julho%20%20-%202002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dministracao12\Area%20Publica\TORO\ECOF1097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BRSILVAEL\aws\Engagements\Cia.%20Igua&#231;u\Cia.%20Igua&#231;u%20-%2031%20de%20dezembro%20de%202004\Documents\K%20Imob%20Iguacu_3o%20ITR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%20%20An&#225;lise%20Empr&#233;stimos%20-%2031%2010%202003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A%201611%20Revis&#227;o%20Anal&#237;tica%2031%2007%202006%20-%20CIAO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6310%201%20Empr&#233;stimos%20-%20&#205;nterim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6610%20Obriga&#231;&#245;es%20Sociais%20e%20Trabalhistas%20Leadsheet%202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5610%20Imobilizado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PRNR_Model_v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CAO"/>
      <sheetName val="Divisões"/>
      <sheetName val="Sheet1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STE"/>
      <sheetName val="Sheet1"/>
      <sheetName val="RECEITA"/>
      <sheetName val="ce"/>
      <sheetName val="CECO"/>
      <sheetName val="Mercado"/>
      <sheetName val="101171"/>
      <sheetName val="RESPOSTA NESTLE"/>
      <sheetName val="Data"/>
      <sheetName val="CDI"/>
      <sheetName val="ELIM_FINANCEIRA"/>
      <sheetName val="INFO"/>
      <sheetName val="MtM"/>
      <sheetName val="TESTE.XLW"/>
      <sheetName val="Depositos judiciais"/>
      <sheetName val="E75_2002"/>
      <sheetName val="Database"/>
      <sheetName val="Variance Summary"/>
      <sheetName val="O13"/>
      <sheetName val="Apur_IR_CS"/>
      <sheetName val="DRE_2014"/>
      <sheetName val="Arrend."/>
      <sheetName val="Inputs"/>
      <sheetName val="TESTE_XLW"/>
      <sheetName val="Depositos_judiciais"/>
      <sheetName val="Variance_Summary"/>
      <sheetName val="Dados"/>
      <sheetName val="CONSOL"/>
      <sheetName val="Passagem"/>
      <sheetName val="De Para"/>
      <sheetName val="T Bond e EMBI +"/>
      <sheetName val="TJLP e CDI"/>
      <sheetName val="Inflação"/>
      <sheetName val="Damodaran (Beta e ERP)"/>
      <sheetName val="bal12"/>
      <sheetName val="E74_2001"/>
      <sheetName val="E74_2002"/>
      <sheetName val="Faturamento AMM"/>
      <sheetName val="Descrição Status"/>
      <sheetName val="A"/>
      <sheetName val="B - Book Principal"/>
      <sheetName val="C - Premissas"/>
      <sheetName val="MDF"/>
      <sheetName val="D - Backup"/>
      <sheetName val="Assumptions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EOL"/>
      <sheetName val="EOL_1"/>
      <sheetName val="Resultados"/>
      <sheetName val="Mapa Comercial"/>
      <sheetName val="Lista Validação de Dados"/>
      <sheetName val="TRADUÇÃO"/>
      <sheetName val="Aux. Listbox"/>
      <sheetName val="GSA Matrix"/>
      <sheetName val="apoio"/>
      <sheetName val="Data Table"/>
      <sheetName val="Graph"/>
      <sheetName val="Fluxo de Caixa"/>
      <sheetName val="Novo Mix abrasce"/>
      <sheetName val="Descontos - Análises"/>
      <sheetName val="Inadimplência - Análises"/>
      <sheetName val="Categorias Abrasce"/>
      <sheetName val="Premissas"/>
      <sheetName val="PContas_FPP"/>
      <sheetName val="Comercial 3"/>
      <sheetName val="Macro"/>
      <sheetName val="GSI_1998"/>
      <sheetName val="De_Para"/>
      <sheetName val="T_Bond_e_EMBI_+"/>
      <sheetName val="TJLP_e_CDI"/>
      <sheetName val="Damodaran_(Beta_e_ERP)"/>
      <sheetName val="Data_Table"/>
      <sheetName val="Mapa_Comercial"/>
      <sheetName val="Lista_Validação_de_Dados"/>
      <sheetName val="Aux__Listbox"/>
      <sheetName val="GSA_Matrix"/>
      <sheetName val="Faturamento_AMM"/>
      <sheetName val="Descrição_Status"/>
      <sheetName val="Arrend_"/>
      <sheetName val="Solicitação de documentos"/>
      <sheetName val="AE Reference Sheet"/>
      <sheetName val="Gráficos"/>
      <sheetName val="Tax Guide"/>
      <sheetName val="Size Premium"/>
      <sheetName val="DM Beta17"/>
      <sheetName val="Index (2)"/>
      <sheetName val="ABRASCE"/>
      <sheetName val="Inadimplência II"/>
      <sheetName val="FPP_PContas"/>
      <sheetName val="WACC VLT"/>
      <sheetName val="WACC GRU"/>
      <sheetName val=""/>
      <sheetName val="apports"/>
      <sheetName val="Parâmetros"/>
      <sheetName val="시산표"/>
      <sheetName val="2. Entity Names"/>
      <sheetName val="parâmetro"/>
      <sheetName val="2015 Budget"/>
      <sheetName val="Total station cost"/>
      <sheetName val="Calculo global Depr."/>
      <sheetName val="Apl.Financ."/>
      <sheetName val="HANDLING - VALORE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Reconciliações Setembro"/>
      <sheetName val="FIF"/>
      <sheetName val="Lead"/>
      <sheetName val="XREF"/>
      <sheetName val="Categorias Abrasce (7)"/>
      <sheetName val="REALIZADO"/>
      <sheetName val="Reembolso"/>
      <sheetName val="Stand Abrasce"/>
      <sheetName val="Mapa_Comercial1"/>
      <sheetName val="Lista_Validação_de_Dados1"/>
      <sheetName val="Aux__Listbox1"/>
      <sheetName val="GSA_Matrix1"/>
      <sheetName val="Faturamento_AMM1"/>
      <sheetName val="Descrição_Status1"/>
      <sheetName val="Novo_Mix_abrasce"/>
      <sheetName val="Descontos_-_Análises"/>
      <sheetName val="Inadimplência_-_Análises"/>
      <sheetName val="Categorias_Abrasce"/>
      <sheetName val="Comercial_3"/>
      <sheetName val="TESTE_XLW1"/>
      <sheetName val="T_Bond_e_EMBI_+1"/>
      <sheetName val="TJLP_e_CDI1"/>
      <sheetName val="Damodaran_(Beta_e_ERP)1"/>
      <sheetName val="Depositos_judiciais1"/>
      <sheetName val="De_Para1"/>
      <sheetName val="Data_Table1"/>
      <sheetName val="Variance_Summary1"/>
      <sheetName val="Arrend_1"/>
      <sheetName val="RESPOSTA_NESTLE"/>
      <sheetName val="Fluxo_de_Caixa"/>
      <sheetName val="Solicitação_de_documentos"/>
      <sheetName val="Tax_Guide"/>
      <sheetName val="Size_Premium"/>
      <sheetName val="DM_Beta17"/>
      <sheetName val="Inadimplência_II"/>
      <sheetName val="AE_Reference_Sheet"/>
      <sheetName val="Stand_Abrasce"/>
      <sheetName val="Categorias_Abrasce_(7)"/>
      <sheetName val="Mapa_Comercial2"/>
      <sheetName val="Lista_Validação_de_Dados2"/>
      <sheetName val="Aux__Listbox2"/>
      <sheetName val="GSA_Matrix2"/>
      <sheetName val="Faturamento_AMM2"/>
      <sheetName val="Descrição_Status2"/>
      <sheetName val="Novo_Mix_abrasce1"/>
      <sheetName val="Descontos_-_Análises1"/>
      <sheetName val="Inadimplência_-_Análises1"/>
      <sheetName val="Categorias_Abrasce1"/>
      <sheetName val="Comercial_31"/>
      <sheetName val="TESTE_XLW2"/>
      <sheetName val="T_Bond_e_EMBI_+2"/>
      <sheetName val="TJLP_e_CDI2"/>
      <sheetName val="Damodaran_(Beta_e_ERP)2"/>
      <sheetName val="Depositos_judiciais2"/>
      <sheetName val="De_Para2"/>
      <sheetName val="Data_Table2"/>
      <sheetName val="Variance_Summary2"/>
      <sheetName val="Arrend_2"/>
      <sheetName val="RESPOSTA_NESTLE1"/>
      <sheetName val="Fluxo_de_Caixa1"/>
      <sheetName val="Solicitação_de_documentos1"/>
      <sheetName val="Tax_Guide1"/>
      <sheetName val="Size_Premium1"/>
      <sheetName val="DM_Beta171"/>
      <sheetName val="Inadimplência_II1"/>
      <sheetName val="AE_Reference_Sheet1"/>
      <sheetName val="Stand_Abrasce1"/>
      <sheetName val="Categorias_Abrasce_(7)1"/>
      <sheetName val="set96"/>
      <sheetName val="Capa"/>
      <sheetName val="Comentários"/>
      <sheetName val="Sumário"/>
      <sheetName val="Sumário Executivo &gt;"/>
      <sheetName val="Resumo Operacional"/>
      <sheetName val="Resumo Financeiro"/>
      <sheetName val="FLCX Aluguel Sintético"/>
      <sheetName val="FLCX Condominio Sintético"/>
      <sheetName val="FLCX FPP Sintético"/>
      <sheetName val="Operacional &gt;"/>
      <sheetName val="Vendas"/>
      <sheetName val="Aluguel"/>
      <sheetName val="Destaques vendas"/>
      <sheetName val="Analítico"/>
      <sheetName val="Custo de Ocupação"/>
      <sheetName val="Condomínio"/>
      <sheetName val="FPP"/>
      <sheetName val="Estacionamento"/>
      <sheetName val="Financeiro&gt;"/>
      <sheetName val="Descontos"/>
      <sheetName val="Inadimplência I"/>
      <sheetName val="Subsídios"/>
      <sheetName val="Comercial&gt;"/>
      <sheetName val="Comercial"/>
      <sheetName val="Comercial 2"/>
      <sheetName val="Infos Compl.&gt;"/>
      <sheetName val="Marketing I"/>
      <sheetName val="Marketing II"/>
      <sheetName val="Marketing III"/>
      <sheetName val="Marketing IV"/>
      <sheetName val="Glossário"/>
      <sheetName val="Glossary"/>
      <sheetName val="Apêndice &gt;"/>
      <sheetName val="FLCX Aluguel 2019"/>
      <sheetName val="FLCX Cond 2019"/>
      <sheetName val="FLCX FPP 2019"/>
      <sheetName val="FLCX Estacionamento Sintético"/>
      <sheetName val="Vacância"/>
      <sheetName val="CTO &amp; Vendas"/>
      <sheetName val="Inputs &gt;"/>
      <sheetName val="Orçamento"/>
      <sheetName val="planilha leasing mall"/>
      <sheetName val="Check"/>
      <sheetName val="Language"/>
      <sheetName val="FLCX Aluguel Real"/>
      <sheetName val="FLCX Cond Real"/>
      <sheetName val="FLCX FPP Real"/>
      <sheetName val="Vendas Lado a Lado"/>
      <sheetName val="Aluguel Lado a Lado"/>
      <sheetName val="Complementar Lado a Lado"/>
      <sheetName val="Al.% Lado a Lado"/>
      <sheetName val="EC Lado a Lado"/>
      <sheetName val="FPP Lado a Lado"/>
      <sheetName val="Mapa de Faturamento"/>
      <sheetName val="Receita de Encargo_V_S"/>
      <sheetName val="Suporte&gt;"/>
      <sheetName val="Vendas - Análises"/>
      <sheetName val="Aluguel - Análises"/>
      <sheetName val="Al.% - Análises"/>
      <sheetName val="Complementar - Análises"/>
      <sheetName val="FPP - Análises"/>
      <sheetName val="EC - Análises"/>
      <sheetName val="CTO - Análises"/>
      <sheetName val="MF - Análises"/>
      <sheetName val="Comercial - Análises"/>
      <sheetName val="Encargo Empreendedor - Análises"/>
      <sheetName val="Macro_Início"/>
      <sheetName val="FLCX Aluguel 2018"/>
      <sheetName val="FLCX Aluguel Orç"/>
      <sheetName val="FLCX Aluguel Forecast"/>
      <sheetName val="FLCX Cond 2018"/>
      <sheetName val="FLCX Cond Orç"/>
      <sheetName val="FLCX Cond Forecast"/>
      <sheetName val="FLCX FPP 2018"/>
      <sheetName val="FLCX FPP Orç"/>
      <sheetName val="FLCX FPP Forecast"/>
      <sheetName val="Aux. Gráfic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F-G7"/>
      <sheetName val="ENTRDADOS"/>
      <sheetName val="K "/>
      <sheetName val="TESTE"/>
      <sheetName val="outros indicadores"/>
      <sheetName val=" AnexoOpDiv99"/>
      <sheetName val="GrafdivB"/>
      <sheetName val="ServDiv"/>
      <sheetName val="Exigível"/>
      <sheetName val="ce"/>
      <sheetName val="CECO"/>
      <sheetName val="CP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luxo de caixa"/>
      <sheetName val="fina"/>
      <sheetName val="#REF"/>
      <sheetName val="K1"/>
      <sheetName val="Execução"/>
      <sheetName val="Capa"/>
      <sheetName val="Menu"/>
      <sheetName val="Mp"/>
      <sheetName val="A4"/>
      <sheetName val="C"/>
      <sheetName val="C1"/>
      <sheetName val="D"/>
      <sheetName val="E"/>
      <sheetName val="E2"/>
      <sheetName val="E2.1"/>
      <sheetName val="F"/>
      <sheetName val="G"/>
      <sheetName val="I"/>
      <sheetName val="H"/>
      <sheetName val="J"/>
      <sheetName val="K"/>
      <sheetName val="L"/>
      <sheetName val="M"/>
      <sheetName val="M1"/>
      <sheetName val="N"/>
      <sheetName val="N1"/>
      <sheetName val="Q"/>
      <sheetName val="S"/>
      <sheetName val="T"/>
      <sheetName val="U"/>
      <sheetName val="Bal 30092002"/>
      <sheetName val="Bal 30092001"/>
      <sheetName val="Bal31122001"/>
      <sheetName val="Remeasurement Balance"/>
      <sheetName val="Plan1"/>
      <sheetName val="Plan2"/>
      <sheetName val="Plan3"/>
      <sheetName val="CONSSID12-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ECO"/>
      <sheetName val="ce"/>
      <sheetName val="ce_euro"/>
      <sheetName val="C"/>
      <sheetName val="C _euro)"/>
      <sheetName val="B"/>
      <sheetName val="B _euro"/>
      <sheetName val="A"/>
      <sheetName val="A_euro"/>
      <sheetName val="n_cons"/>
      <sheetName val="NEWST.PATR"/>
      <sheetName val="NEWST.PATR_euro"/>
      <sheetName val="ST.PATR"/>
      <sheetName val="ST.PATR_euro"/>
      <sheetName val="INV_euro"/>
      <sheetName val="REDDITI"/>
      <sheetName val="REDDITI_euro"/>
      <sheetName val="RIS_TECNICHE"/>
      <sheetName val="pr_eme_toro"/>
      <sheetName val="MENS_RPR"/>
      <sheetName val="Abertura Circulante"/>
      <sheetName val="E1"/>
      <sheetName val="US"/>
      <sheetName val="Real_Teste_orig"/>
      <sheetName val="DFLSUBS"/>
      <sheetName val="MOD 7 SIN"/>
      <sheetName val="CONSMES"/>
      <sheetName val="BMSP."/>
      <sheetName val="BCO.CENTRAL"/>
      <sheetName val="CRÉDITOS"/>
      <sheetName val="A-P-DEMONST"/>
      <sheetName val="ECOF1101"/>
      <sheetName val="Param"/>
      <sheetName val="FF3"/>
      <sheetName val="K "/>
      <sheetName val="A4.3"/>
      <sheetName val="A4"/>
      <sheetName val="inc. claim 97"/>
      <sheetName val="217302"/>
      <sheetName val="Jun-01"/>
      <sheetName val="PC"/>
      <sheetName val="ELIM_FINANCEIRA"/>
      <sheetName val="PREÇOS"/>
      <sheetName val="July Posting"/>
      <sheetName val="INFO"/>
      <sheetName val="C__euro)"/>
      <sheetName val="B__euro"/>
      <sheetName val="NEWST_PATR"/>
      <sheetName val="NEWST_PATR_euro"/>
      <sheetName val="ST_PATR"/>
      <sheetName val="ST_PATR_euro"/>
      <sheetName val="Abertura_Circulante"/>
      <sheetName val="BMSP_"/>
      <sheetName val="BCO_CENTRAL"/>
      <sheetName val="MOD_7_SIN"/>
      <sheetName val="A4_3"/>
      <sheetName val="K_"/>
      <sheetName val="July_Posting"/>
      <sheetName val="Menu"/>
      <sheetName val="Mp"/>
      <sheetName val="E"/>
      <sheetName val="E2"/>
      <sheetName val="G"/>
      <sheetName val="H"/>
      <sheetName val="H1"/>
      <sheetName val="I"/>
      <sheetName val="I1"/>
      <sheetName val="J"/>
      <sheetName val="K"/>
      <sheetName val="K1"/>
      <sheetName val="L"/>
      <sheetName val="M"/>
      <sheetName val="M1"/>
      <sheetName val="N"/>
      <sheetName val="N1"/>
      <sheetName val="O"/>
      <sheetName val="Q"/>
      <sheetName val="S"/>
      <sheetName val="S1"/>
      <sheetName val="T"/>
      <sheetName val="T1"/>
      <sheetName val="U"/>
      <sheetName val="U1"/>
      <sheetName val="U2"/>
      <sheetName val="U3"/>
      <sheetName val="U4"/>
      <sheetName val="Bal032002"/>
      <sheetName val="Bal300602"/>
      <sheetName val="Bal300902"/>
      <sheetName val="Bal311202"/>
      <sheetName val="A4.1-BRASFLEX "/>
      <sheetName val="BAL1101"/>
      <sheetName val="C__euro)1"/>
      <sheetName val="B__euro1"/>
      <sheetName val="NEWST_PATR1"/>
      <sheetName val="NEWST_PATR_euro1"/>
      <sheetName val="ST_PATR1"/>
      <sheetName val="ST_PATR_euro1"/>
      <sheetName val="Abertura_Circulante1"/>
      <sheetName val="BMSP_1"/>
      <sheetName val="BCO_CENTRAL1"/>
      <sheetName val="MOD_7_SIN1"/>
      <sheetName val="A4_31"/>
      <sheetName val="K_1"/>
      <sheetName val="July_Posting1"/>
      <sheetName val="inc__claim_97"/>
      <sheetName val="A4_1-BRASFLEX_"/>
      <sheetName val="DIVIN_ARAXA"/>
      <sheetName val="A4_2-FLEXIBRAS1"/>
      <sheetName val="A4_4-MARFLEX1"/>
      <sheetName val="A4_6-SEAOIL1"/>
      <sheetName val="A4_3-SIGMA1"/>
      <sheetName val="prebdg97"/>
      <sheetName val="OUT02_REPORT2"/>
      <sheetName val="Duplicate_Rate"/>
      <sheetName val="RIEP_INC_98"/>
      <sheetName val="Res_Autor_Motivo"/>
      <sheetName val="Res_Devolv_Motivo"/>
      <sheetName val="ELIMINAÇÕES"/>
      <sheetName val="Peso_áreas_e_CPs1"/>
      <sheetName val="ACT_Input_(2)"/>
      <sheetName val="sapactivexlhiddensheet"/>
      <sheetName val="den96"/>
      <sheetName val="ABRIL_2000"/>
      <sheetName val="TELEMIG_209"/>
      <sheetName val="Resumo_CTB"/>
      <sheetName val="VENDAS_P_SUBSIDIÁRIA"/>
      <sheetName val="DF_2011"/>
      <sheetName val="Mapa Imobilizado"/>
      <sheetName val="Cover"/>
      <sheetName val="HIN-BR Detail"/>
      <sheetName val="SUMMARY (1)"/>
      <sheetName val="inc__claim_971"/>
      <sheetName val="Patrimonial"/>
      <sheetName val="Juros79mi"/>
      <sheetName val="C__euro)2"/>
      <sheetName val="B__euro2"/>
      <sheetName val="NEWST_PATR2"/>
      <sheetName val="NEWST_PATR_euro2"/>
      <sheetName val="ST_PATR2"/>
      <sheetName val="ST_PATR_euro2"/>
      <sheetName val="Abertura_Circulante2"/>
      <sheetName val="BMSP_2"/>
      <sheetName val="BCO_CENTRAL2"/>
      <sheetName val="MOD_7_SIN2"/>
      <sheetName val="K_2"/>
      <sheetName val="A4_32"/>
      <sheetName val="July_Posting2"/>
      <sheetName val="A4_1-BRASFLEX_1"/>
      <sheetName val="C__euro)3"/>
      <sheetName val="B__euro3"/>
      <sheetName val="NEWST_PATR3"/>
      <sheetName val="NEWST_PATR_euro3"/>
      <sheetName val="ST_PATR3"/>
      <sheetName val="ST_PATR_euro3"/>
      <sheetName val="Abertura_Circulante3"/>
      <sheetName val="BMSP_3"/>
      <sheetName val="BCO_CENTRAL3"/>
      <sheetName val="MOD_7_SIN3"/>
      <sheetName val="K_3"/>
      <sheetName val="A4_33"/>
      <sheetName val="July_Posting3"/>
      <sheetName val="A4_1-BRASFLEX_2"/>
      <sheetName val="inc__claim_972"/>
      <sheetName val="Sheet1"/>
      <sheetName val="Mapa_Imobilizado"/>
      <sheetName val="DATAINFO"/>
      <sheetName val="JOB_FILTER"/>
      <sheetName val="Índices"/>
      <sheetName val="N  PIS COFINS"/>
      <sheetName val="TESTE"/>
      <sheetName val="Abert vol venda x receita"/>
      <sheetName val="listas"/>
      <sheetName val="Lista de valores"/>
      <sheetName val="ce99"/>
      <sheetName val="premi96"/>
      <sheetName val="Variation Analysis"/>
      <sheetName val="Geral Contratos"/>
      <sheetName val="Translation"/>
      <sheetName val="C__euro)4"/>
      <sheetName val="B__euro4"/>
      <sheetName val="NEWST_PATR4"/>
      <sheetName val="NEWST_PATR_euro4"/>
      <sheetName val="ST_PATR4"/>
      <sheetName val="ST_PATR_euro4"/>
      <sheetName val="Abertura_Circulante4"/>
      <sheetName val="MOD_7_SIN4"/>
      <sheetName val="BMSP_4"/>
      <sheetName val="BCO_CENTRAL4"/>
      <sheetName val="K_4"/>
      <sheetName val="A4_34"/>
      <sheetName val="inc__claim_973"/>
      <sheetName val="July_Posting4"/>
      <sheetName val="A4_1-BRASFLEX_3"/>
      <sheetName val="Mapa_Imobilizado1"/>
      <sheetName val="HIN-BR_Detail"/>
      <sheetName val="SUMMARY_(1)"/>
      <sheetName val="N__PIS_COFINS"/>
      <sheetName val="F2"/>
      <sheetName val="Lists"/>
      <sheetName val="suporte prime"/>
      <sheetName val="Adiantamentos"/>
      <sheetName val="Rec Status"/>
      <sheetName val="Abert_vol_venda_x_receita"/>
      <sheetName val="Lista_de_valores"/>
      <sheetName val="C__euro)5"/>
      <sheetName val="B__euro5"/>
      <sheetName val="NEWST_PATR5"/>
      <sheetName val="NEWST_PATR_euro5"/>
      <sheetName val="ST_PATR5"/>
      <sheetName val="ST_PATR_euro5"/>
      <sheetName val="Abertura_Circulante5"/>
      <sheetName val="MOD_7_SIN5"/>
      <sheetName val="BMSP_5"/>
      <sheetName val="BCO_CENTRAL5"/>
      <sheetName val="K_5"/>
      <sheetName val="A4_35"/>
      <sheetName val="inc__claim_974"/>
      <sheetName val="July_Posting5"/>
      <sheetName val="A4_1-BRASFLEX_4"/>
      <sheetName val="Mapa_Imobilizado2"/>
      <sheetName val="HIN-BR_Detail1"/>
      <sheetName val="SUMMARY_(1)1"/>
      <sheetName val="N__PIS_COFINS1"/>
      <sheetName val="Variation_Analysis"/>
      <sheetName val="suporte_prime"/>
      <sheetName val="Formulas"/>
      <sheetName val=""/>
      <sheetName val="Base de Dados Imob"/>
      <sheetName val="Rendimentos"/>
      <sheetName val="BALANÇO_PATRIMONIAL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Inv - Cálc equiv"/>
      <sheetName val="FIF"/>
      <sheetName val="SAT Lim OK"/>
      <sheetName val="REALIZÁVEL A LONGO PRAZO"/>
      <sheetName val="COFINS PIS - liminar OK"/>
      <sheetName val="COFINS OK"/>
      <sheetName val="CSLL OK"/>
      <sheetName val="IPI Oper Isentas OK"/>
      <sheetName val="INSS Proc Adm OK"/>
      <sheetName val="CIDE OK"/>
      <sheetName val="Prov Multa IRPJ_CSLL"/>
      <sheetName val="Composição"/>
      <sheetName val="IR Diferido - 2006"/>
      <sheetName val="Lead"/>
      <sheetName val="XREF"/>
      <sheetName val="PASEP OK"/>
      <sheetName val="IRRF e Drawback OK"/>
      <sheetName val="Teste de Rec Apl Fin Dez-03"/>
      <sheetName val="Composição AF CIE"/>
      <sheetName val="N1.2 - Aging List"/>
      <sheetName val="fluxo de caixa"/>
      <sheetName val="lista"/>
      <sheetName val="Chave_CC"/>
      <sheetName val="Resumo das Marcas"/>
      <sheetName val="Links"/>
      <sheetName val="PTable"/>
      <sheetName val="BRADESCO 2505201004"/>
      <sheetName val="Tabela de Parâmetros"/>
      <sheetName val="ReceitaVoadaDesempenhoDeAgrupam"/>
      <sheetName val="Final Stats "/>
      <sheetName val="Treasury Yields"/>
      <sheetName val="Resumo"/>
      <sheetName val="Categorias e Subcategorias"/>
      <sheetName val="CC e Plano de Contas"/>
      <sheetName val="Groupings"/>
      <sheetName val="CAPEX"/>
      <sheetName val="AUX - CONTA CONTÁBIL"/>
      <sheetName val="AUX - CENTRO DE CUSTO"/>
      <sheetName val="AUX - OPERAÇÃO-EVENTO"/>
      <sheetName val="Centros de Custos"/>
      <sheetName val="Bd00"/>
      <sheetName val="Custos"/>
      <sheetName val="Banco de Dados"/>
      <sheetName val="Aux"/>
      <sheetName val="Gen"/>
      <sheetName val="Summary Information"/>
      <sheetName val="BD_DRE_RH"/>
      <sheetName val="RDEG fev 07"/>
      <sheetName val="Tabela Apoio"/>
      <sheetName val="Plan2"/>
      <sheetName val="C__euro)6"/>
      <sheetName val="B__euro6"/>
      <sheetName val="NEWST_PATR6"/>
      <sheetName val="NEWST_PATR_euro6"/>
      <sheetName val="ST_PATR6"/>
      <sheetName val="ST_PATR_euro6"/>
      <sheetName val="MOD_7_SIN6"/>
      <sheetName val="Abertura_Circulante6"/>
      <sheetName val="BMSP_6"/>
      <sheetName val="BCO_CENTRAL6"/>
      <sheetName val="K_6"/>
      <sheetName val="A4_36"/>
      <sheetName val="inc__claim_975"/>
      <sheetName val="July_Posting6"/>
      <sheetName val="A4_1-BRASFLEX_5"/>
      <sheetName val="Mapa_Imobilizado3"/>
      <sheetName val="HIN-BR_Detail2"/>
      <sheetName val="SUMMARY_(1)2"/>
      <sheetName val="N__PIS_COFINS2"/>
      <sheetName val="Abert_vol_venda_x_receita1"/>
      <sheetName val="Lista_de_valores1"/>
      <sheetName val="Variation_Analysis1"/>
      <sheetName val="Geral_Contratos"/>
      <sheetName val="suporte_prime1"/>
      <sheetName val="Rec_Status"/>
      <sheetName val="Base_de_Dados_Imob"/>
      <sheetName val="N1_2_-_Aging_List"/>
      <sheetName val="fluxo_de_caixa"/>
      <sheetName val="SETEMBRO"/>
      <sheetName val="FEV REAL"/>
      <sheetName val="Month Summary"/>
      <sheetName val="Month Overview"/>
      <sheetName val="Realizado Ajustes Financeiro"/>
      <sheetName val="Weekly"/>
      <sheetName val="Comparativo Resultado"/>
      <sheetName val="Orcado T2"/>
      <sheetName val="SUMMARY "/>
      <sheetName val="Thoughts-T3"/>
      <sheetName val="Thoughts-T2"/>
      <sheetName val="Thoughts-T1"/>
      <sheetName val="Calculating-T3"/>
      <sheetName val="Calculating-T2"/>
      <sheetName val="Calculating-T1"/>
      <sheetName val="Costs-T3"/>
      <sheetName val="Costs-T2"/>
      <sheetName val="Costs-T1"/>
      <sheetName val="Despesas-T3"/>
      <sheetName val="Despesas-T2"/>
      <sheetName val="Despesas-T1"/>
      <sheetName val="Revenues MCO-T3"/>
      <sheetName val="Revenues MCO-T2"/>
      <sheetName val="Revenues MCO-T1"/>
      <sheetName val="MIA-T3"/>
      <sheetName val="MIA-T2"/>
      <sheetName val="MIA-T1"/>
      <sheetName val="Resultado $Dolar (3)"/>
      <sheetName val="Resultado $Dolar (2)"/>
      <sheetName val="Resultado $Dolar (1)"/>
      <sheetName val="Cel.ePap. Mucuri"/>
      <sheetName val="C__euro)7"/>
      <sheetName val="B__euro7"/>
      <sheetName val="NEWST_PATR7"/>
      <sheetName val="NEWST_PATR_euro7"/>
      <sheetName val="ST_PATR7"/>
      <sheetName val="ST_PATR_euro7"/>
      <sheetName val="MOD_7_SIN7"/>
      <sheetName val="Abertura_Circulante7"/>
      <sheetName val="BMSP_7"/>
      <sheetName val="BCO_CENTRAL7"/>
      <sheetName val="K_7"/>
      <sheetName val="A4_37"/>
      <sheetName val="inc__claim_976"/>
      <sheetName val="July_Posting7"/>
      <sheetName val="A4_1-BRASFLEX_6"/>
      <sheetName val="Mapa_Imobilizado4"/>
      <sheetName val="HIN-BR_Detail3"/>
      <sheetName val="SUMMARY_(1)3"/>
      <sheetName val="N__PIS_COFINS3"/>
      <sheetName val="Abert_vol_venda_x_receita2"/>
      <sheetName val="Lista_de_valores2"/>
      <sheetName val="Variation_Analysis2"/>
      <sheetName val="Geral_Contratos1"/>
      <sheetName val="suporte_prime2"/>
      <sheetName val="Rec_Status1"/>
      <sheetName val="Base_de_Dados_Imob1"/>
      <sheetName val="N1_2_-_Aging_List1"/>
      <sheetName val="fluxo_de_caixa1"/>
      <sheetName val="AUX_-_CONTA_CONTÁBIL"/>
      <sheetName val="AUX_-_CENTRO_DE_CUSTO"/>
      <sheetName val="AUX_-_OPERAÇÃO-EVENTO"/>
      <sheetName val="Saldo"/>
      <sheetName val="Feriados"/>
      <sheetName val="Novas Lojas"/>
      <sheetName val="Base Graficos"/>
      <sheetName val="ECOF1101.XLS"/>
      <sheetName val="c)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 Imobilizado(1)"/>
      <sheetName val="SoD Chg in Preparer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Inv_-_Cálc_equiv"/>
      <sheetName val="SAT_Lim_OK"/>
      <sheetName val="REALIZÁVEL_A_LONGO_PRAZO"/>
      <sheetName val="COFINS_PIS_-_liminar_OK"/>
      <sheetName val="COFINS_OK"/>
      <sheetName val="CSLL_OK"/>
      <sheetName val="IPI_Oper_Isentas_OK"/>
      <sheetName val="INSS_Proc_Adm_OK"/>
      <sheetName val="CIDE_OK"/>
      <sheetName val="Prov_Multa_IRPJ_CSLL"/>
      <sheetName val="IR_Diferido_-_2006"/>
      <sheetName val="PASEP_OK"/>
      <sheetName val="IRRF_e_Drawback_OK"/>
      <sheetName val="Resumo_das_Marcas"/>
      <sheetName val="Centros_de_Custos"/>
      <sheetName val="Banco_de_Dados"/>
      <sheetName val="Teste_de_Rec_Apl_Fin_Dez-03"/>
      <sheetName val="Composição_AF_CIE"/>
      <sheetName val="Sheet1 (2)"/>
      <sheetName val="C__euro)8"/>
      <sheetName val="B__euro8"/>
      <sheetName val="NEWST_PATR8"/>
      <sheetName val="NEWST_PATR_euro8"/>
      <sheetName val="ST_PATR8"/>
      <sheetName val="ST_PATR_euro8"/>
      <sheetName val="Abertura_Circulante8"/>
      <sheetName val="K_8"/>
      <sheetName val="MOD_7_SIN8"/>
      <sheetName val="BMSP_8"/>
      <sheetName val="BCO_CENTRAL8"/>
      <sheetName val="A4_38"/>
      <sheetName val="inc__claim_977"/>
      <sheetName val="July_Posting8"/>
      <sheetName val="A4_1-BRASFLEX_7"/>
      <sheetName val="Mapa_Imobilizado5"/>
      <sheetName val="HIN-BR_Detail4"/>
      <sheetName val="SUMMARY_(1)4"/>
      <sheetName val="N__PIS_COFINS4"/>
      <sheetName val="Abert_vol_venda_x_receita3"/>
      <sheetName val="Lista_de_valores3"/>
      <sheetName val="Variation_Analysis3"/>
      <sheetName val="Geral_Contratos2"/>
      <sheetName val="suporte_prime3"/>
      <sheetName val="Rec_Status2"/>
      <sheetName val="Base_de_Dados_Imob2"/>
      <sheetName val="N1_2_-_Aging_List2"/>
      <sheetName val="fluxo_de_caixa2"/>
      <sheetName val="AUX_-_CONTA_CONTÁBIL1"/>
      <sheetName val="AUX_-_CENTRO_DE_CUSTO1"/>
      <sheetName val="AUX_-_OPERAÇÃO-EVENTO1"/>
      <sheetName val="Cel_ePap__Mucuri"/>
      <sheetName val="Summary_Information"/>
      <sheetName val="RDEG_fev_07"/>
      <sheetName val="FEV_REAL"/>
      <sheetName val="Tabela_Apoio"/>
      <sheetName val="ECOF1101_XLS"/>
      <sheetName val="VA89_CHG"/>
      <sheetName val="Índices_1"/>
      <sheetName val="Rel"/>
      <sheetName val="END"/>
      <sheetName val="budget+act 18-19"/>
      <sheetName val="budget CC 19-20"/>
      <sheetName val="checklist"/>
      <sheetName val="actual"/>
      <sheetName val="perex"/>
      <sheetName val="resumo por fornec"/>
      <sheetName val="Ledger 2019-2020"/>
      <sheetName val="classif.despesa"/>
      <sheetName val="Arred"/>
      <sheetName val="conta"/>
      <sheetName val="cadastro"/>
      <sheetName val="Lista DTT - Fase 1"/>
      <sheetName val="RPI.Mat.prima978"/>
      <sheetName val="Balance Sheet"/>
      <sheetName val="2006-08"/>
      <sheetName val="2006-12"/>
      <sheetName val="2006-07"/>
      <sheetName val="2006-11"/>
      <sheetName val="2006-10"/>
      <sheetName val="2006-09"/>
      <sheetName val="INSS"/>
      <sheetName val="Teste Seguros CIE 31-12-2004"/>
      <sheetName val="Teste Seguros CIE 31-12-2005"/>
      <sheetName val="Cx Seleção"/>
      <sheetName val="O1 - Apuração - IR-CS"/>
      <sheetName val="Check Diferido"/>
      <sheetName val="DINAMICA CONTA RESULTADO"/>
      <sheetName val="Dinamica BS"/>
      <sheetName val="PAT"/>
      <sheetName val="08803"/>
      <sheetName val="08421"/>
      <sheetName val="57110"/>
      <sheetName val="Planilha1"/>
      <sheetName val="690.09804"/>
      <sheetName val="82580---81530"/>
      <sheetName val="63076"/>
      <sheetName val="66201"/>
      <sheetName val="82579"/>
      <sheetName val="53501 "/>
      <sheetName val="47651"/>
      <sheetName val="47654"/>
      <sheetName val="72015"/>
      <sheetName val="72026"/>
      <sheetName val="62425"/>
      <sheetName val="34111"/>
      <sheetName val="34112_34113"/>
      <sheetName val="04510"/>
      <sheetName val="03632"/>
      <sheetName val="690.08754"/>
      <sheetName val="55750"/>
      <sheetName val="6905101.66201"/>
      <sheetName val="63076 "/>
      <sheetName val="Capa"/>
      <sheetName val="INDEX"/>
      <sheetName val="BRADESCO_2505201004"/>
      <sheetName val="Tabela_de_Parâmetros"/>
      <sheetName val="Final_Stats_"/>
      <sheetName val="Treasury_Yields"/>
      <sheetName val="Categorias_e_Subcategorias"/>
      <sheetName val="CC_e_Plano_de_Contas"/>
      <sheetName val="C__euro)9"/>
      <sheetName val="B__euro9"/>
      <sheetName val="NEWST_PATR9"/>
      <sheetName val="NEWST_PATR_euro9"/>
      <sheetName val="ST_PATR9"/>
      <sheetName val="ST_PATR_euro9"/>
      <sheetName val="MOD_7_SIN9"/>
      <sheetName val="BMSP_9"/>
      <sheetName val="BCO_CENTRAL9"/>
      <sheetName val="Abertura_Circulante9"/>
      <sheetName val="K_9"/>
      <sheetName val="A4_39"/>
      <sheetName val="inc__claim_978"/>
      <sheetName val="July_Posting9"/>
      <sheetName val="A4_1-BRASFLEX_8"/>
      <sheetName val="Mapa_Imobilizado6"/>
      <sheetName val="HIN-BR_Detail5"/>
      <sheetName val="SUMMARY_(1)5"/>
      <sheetName val="N__PIS_COFINS5"/>
      <sheetName val="Abert_vol_venda_x_receita4"/>
      <sheetName val="Lista_de_valores4"/>
      <sheetName val="Variation_Analysis4"/>
      <sheetName val="Geral_Contratos3"/>
      <sheetName val="suporte_prime4"/>
      <sheetName val="Rec_Status3"/>
      <sheetName val="Base_de_Dados_Imob3"/>
      <sheetName val="fluxo_de_caixa3"/>
      <sheetName val="N1_2_-_Aging_List3"/>
      <sheetName val="Movimentação_AF_20041"/>
      <sheetName val="Movimentação_AF_20051"/>
      <sheetName val="Movimentação_AF_20061"/>
      <sheetName val="Mov__Aplic__Financeira_31_10_01"/>
      <sheetName val="Mov__Aplic__Financeira_31_12_01"/>
      <sheetName val="Inv_-_Cálc_equiv1"/>
      <sheetName val="SAT_Lim_OK1"/>
      <sheetName val="REALIZÁVEL_A_LONGO_PRAZO1"/>
      <sheetName val="COFINS_PIS_-_liminar_OK1"/>
      <sheetName val="COFINS_OK1"/>
      <sheetName val="CSLL_OK1"/>
      <sheetName val="IPI_Oper_Isentas_OK1"/>
      <sheetName val="INSS_Proc_Adm_OK1"/>
      <sheetName val="CIDE_OK1"/>
      <sheetName val="Prov_Multa_IRPJ_CSLL1"/>
      <sheetName val="IR_Diferido_-_20061"/>
      <sheetName val="PASEP_OK1"/>
      <sheetName val="IRRF_e_Drawback_OK1"/>
      <sheetName val="Teste_de_Rec_Apl_Fin_Dez-031"/>
      <sheetName val="Composição_AF_CIE1"/>
      <sheetName val="Resumo_das_Marcas1"/>
      <sheetName val="Centros_de_Custos1"/>
      <sheetName val="AUX_-_CONTA_CONTÁBIL2"/>
      <sheetName val="AUX_-_CENTRO_DE_CUSTO2"/>
      <sheetName val="AUX_-_OPERAÇÃO-EVENTO2"/>
      <sheetName val="Banco_de_Dados1"/>
      <sheetName val="Cel_ePap__Mucuri1"/>
      <sheetName val="FEV_REAL1"/>
      <sheetName val="Summary_Information1"/>
      <sheetName val="RDEG_fev_071"/>
      <sheetName val="Tabela_Apoio1"/>
      <sheetName val="Month_Summary"/>
      <sheetName val="Month_Overview"/>
      <sheetName val="Realizado_Ajustes_Financeiro"/>
      <sheetName val="Comparativo_Resultado"/>
      <sheetName val="Orcado_T2"/>
      <sheetName val="SUMMARY_"/>
      <sheetName val="Revenues_MCO-T3"/>
      <sheetName val="Revenues_MCO-T2"/>
      <sheetName val="Revenues_MCO-T1"/>
      <sheetName val="Resultado_$Dolar_(3)"/>
      <sheetName val="Resultado_$Dolar_(2)"/>
      <sheetName val="Resultado_$Dolar_(1)"/>
      <sheetName val="ECOF1101_XLS1"/>
      <sheetName val="12_2018"/>
      <sheetName val="_Imobilizado(1)"/>
      <sheetName val="SoD_Chg_in_Preparers"/>
      <sheetName val="Sheet1_(2)"/>
      <sheetName val="Base_Graficos"/>
      <sheetName val="RPI_Mat_prima978"/>
      <sheetName val="Balance_Sheet"/>
      <sheetName val="Novas_Lojas"/>
      <sheetName val="Lista_DTT_-_Fase_1"/>
      <sheetName val="budget+act_18-19"/>
      <sheetName val="budget_CC_19-20"/>
      <sheetName val="resumo_por_fornec"/>
      <sheetName val="Ledger_2019-2020"/>
      <sheetName val="classif_despesa"/>
      <sheetName val="Cx_Seleção"/>
      <sheetName val="O1_-_Apuração_-_IR-CS"/>
      <sheetName val="Check_Diferido"/>
      <sheetName val="DINAMICA_CONTA_RESULTADO"/>
      <sheetName val="Dinamica_BS"/>
      <sheetName val="690_09804"/>
      <sheetName val="53501_"/>
      <sheetName val="690_08754"/>
      <sheetName val="6905101_66201"/>
      <sheetName val="63076_"/>
      <sheetName val="De x para realizado"/>
      <sheetName val="RealizadoDesempar"/>
      <sheetName val="DRE BR"/>
      <sheetName val="4.3. Floripa"/>
      <sheetName val="INPUT"/>
      <sheetName val="Base de dados Aging"/>
      <sheetName val="Bancos - Resumen"/>
      <sheetName val="Russia 3 companies by SKU"/>
      <sheetName val="Hoja1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Planilha2"/>
      <sheetName val="Monthy CF"/>
      <sheetName val="Comparison vs Prior CF"/>
      <sheetName val="Comparison vs last Version"/>
      <sheetName val="Bank Recon"/>
      <sheetName val="AR"/>
      <sheetName val="2020Bud"/>
      <sheetName val="Revenue"/>
      <sheetName val="Main expenses"/>
      <sheetName val="AR - Already Edit"/>
      <sheetName val="Flow gelatine"/>
      <sheetName val="Gelatine price"/>
      <sheetName val="Others - details e QES payments"/>
      <sheetName val="Freight - details"/>
      <sheetName val="Tax - details"/>
      <sheetName val="Labor cost computation"/>
      <sheetName val="Others - MKT"/>
      <sheetName val="Projeção do IR"/>
      <sheetName val="Payroll"/>
      <sheetName val="Importação QV"/>
      <sheetName val="Razão - Custo e Desp 08.2021"/>
      <sheetName val="CONSSID12-96"/>
      <sheetName val="Lookups"/>
      <sheetName val="Participações CODEPAR 2018"/>
      <sheetName val="BALANCETE2018"/>
      <sheetName val="MEP2018"/>
      <sheetName val="MAISVALIA2018"/>
      <sheetName val="Participações CODEPAR 2017"/>
      <sheetName val="Participações CODEPAR 2016"/>
      <sheetName val="Participações CODEPAR 2015"/>
      <sheetName val="1. Captable IAS"/>
      <sheetName val="2. Captable Helibrás"/>
      <sheetName val="3. Captable Datora"/>
      <sheetName val="4. Captable Biotech"/>
      <sheetName val="5. Captable CBL"/>
      <sheetName val="POA-PM"/>
      <sheetName val="PC ANAL CAIXA MENSAL"/>
      <sheetName val="C__euro)10"/>
      <sheetName val="B__euro10"/>
      <sheetName val="NEWST_PATR10"/>
      <sheetName val="NEWST_PATR_euro10"/>
      <sheetName val="ST_PATR10"/>
      <sheetName val="ST_PATR_euro10"/>
      <sheetName val="Abertura_Circulante10"/>
      <sheetName val="inc__claim_979"/>
      <sheetName val="BMSP_10"/>
      <sheetName val="BCO_CENTRAL10"/>
      <sheetName val="MOD_7_SIN10"/>
      <sheetName val="A4_310"/>
      <sheetName val="K_10"/>
      <sheetName val="July_Posting10"/>
      <sheetName val="A4_1-BRASFLEX_9"/>
      <sheetName val="Mapa_Imobilizado7"/>
      <sheetName val="HIN-BR_Detail6"/>
      <sheetName val="SUMMARY_(1)6"/>
      <sheetName val="N__PIS_COFINS6"/>
      <sheetName val="Abert_vol_venda_x_receita5"/>
      <sheetName val="Lista_de_valores5"/>
      <sheetName val="Variation_Analysis5"/>
      <sheetName val="Geral_Contratos4"/>
      <sheetName val="suporte_prime5"/>
      <sheetName val="Rec_Status4"/>
      <sheetName val="Base_de_Dados_Imob4"/>
      <sheetName val="fluxo_de_caixa4"/>
      <sheetName val="N1_2_-_Aging_List4"/>
      <sheetName val="AUX_-_CONTA_CONTÁBIL3"/>
      <sheetName val="AUX_-_CENTRO_DE_CUSTO3"/>
      <sheetName val="AUX_-_OPERAÇÃO-EVENTO3"/>
      <sheetName val="Centros_de_Custos2"/>
      <sheetName val="Movimentação_AF_20042"/>
      <sheetName val="Movimentação_AF_20052"/>
      <sheetName val="Movimentação_AF_20062"/>
      <sheetName val="Mov__Aplic__Financeira_31_10_02"/>
      <sheetName val="Mov__Aplic__Financeira_31_12_02"/>
      <sheetName val="Inv_-_Cálc_equiv2"/>
      <sheetName val="SAT_Lim_OK2"/>
      <sheetName val="REALIZÁVEL_A_LONGO_PRAZO2"/>
      <sheetName val="COFINS_PIS_-_liminar_OK2"/>
      <sheetName val="COFINS_OK2"/>
      <sheetName val="CSLL_OK2"/>
      <sheetName val="IPI_Oper_Isentas_OK2"/>
      <sheetName val="INSS_Proc_Adm_OK2"/>
      <sheetName val="CIDE_OK2"/>
      <sheetName val="Prov_Multa_IRPJ_CSLL2"/>
      <sheetName val="IR_Diferido_-_20062"/>
      <sheetName val="PASEP_OK2"/>
      <sheetName val="IRRF_e_Drawback_OK2"/>
      <sheetName val="Teste_de_Rec_Apl_Fin_Dez-032"/>
      <sheetName val="Composição_AF_CIE2"/>
      <sheetName val="Resumo_das_Marcas2"/>
      <sheetName val="Banco_de_Dados2"/>
      <sheetName val="Summary_Information2"/>
      <sheetName val="RDEG_fev_072"/>
      <sheetName val="FEV_REAL2"/>
      <sheetName val="Tabela_Apoio2"/>
      <sheetName val="Novas_Lojas1"/>
      <sheetName val="Base_Graficos1"/>
      <sheetName val="BRADESCO_25052010041"/>
      <sheetName val="Tabela_de_Parâmetros1"/>
      <sheetName val="Final_Stats_1"/>
      <sheetName val="Treasury_Yields1"/>
      <sheetName val="Categorias_e_Subcategorias1"/>
      <sheetName val="CC_e_Plano_de_Contas1"/>
      <sheetName val="Cel_ePap__Mucuri2"/>
      <sheetName val="ECOF1101_XLS2"/>
      <sheetName val="Month_Summary1"/>
      <sheetName val="Month_Overview1"/>
      <sheetName val="Realizado_Ajustes_Financeiro1"/>
      <sheetName val="Comparativo_Resultado1"/>
      <sheetName val="Orcado_T21"/>
      <sheetName val="SUMMARY_1"/>
      <sheetName val="Revenues_MCO-T31"/>
      <sheetName val="Revenues_MCO-T21"/>
      <sheetName val="Revenues_MCO-T11"/>
      <sheetName val="Resultado_$Dolar_(3)1"/>
      <sheetName val="Resultado_$Dolar_(2)1"/>
      <sheetName val="Resultado_$Dolar_(1)1"/>
      <sheetName val="12_20181"/>
      <sheetName val="Lista_DTT_-_Fase_11"/>
      <sheetName val="_Imobilizado(1)1"/>
      <sheetName val="SoD_Chg_in_Preparers1"/>
      <sheetName val="Sheet1_(2)1"/>
      <sheetName val="4_3__Floripa1"/>
      <sheetName val="4_3__Floripa"/>
      <sheetName val="C__euro)11"/>
      <sheetName val="B__euro11"/>
      <sheetName val="NEWST_PATR11"/>
      <sheetName val="NEWST_PATR_euro11"/>
      <sheetName val="ST_PATR11"/>
      <sheetName val="ST_PATR_euro11"/>
      <sheetName val="Abertura_Circulante11"/>
      <sheetName val="inc__claim_9710"/>
      <sheetName val="BMSP_11"/>
      <sheetName val="BCO_CENTRAL11"/>
      <sheetName val="MOD_7_SIN11"/>
      <sheetName val="A4_311"/>
      <sheetName val="K_11"/>
      <sheetName val="July_Posting11"/>
      <sheetName val="A4_1-BRASFLEX_10"/>
      <sheetName val="Mapa_Imobilizado8"/>
      <sheetName val="HIN-BR_Detail7"/>
      <sheetName val="SUMMARY_(1)7"/>
      <sheetName val="N__PIS_COFINS7"/>
      <sheetName val="Abert_vol_venda_x_receita6"/>
      <sheetName val="Lista_de_valores6"/>
      <sheetName val="Variation_Analysis6"/>
      <sheetName val="Geral_Contratos5"/>
      <sheetName val="suporte_prime6"/>
      <sheetName val="Rec_Status5"/>
      <sheetName val="Base_de_Dados_Imob5"/>
      <sheetName val="fluxo_de_caixa5"/>
      <sheetName val="N1_2_-_Aging_List5"/>
      <sheetName val="AUX_-_CONTA_CONTÁBIL4"/>
      <sheetName val="AUX_-_CENTRO_DE_CUSTO4"/>
      <sheetName val="AUX_-_OPERAÇÃO-EVENTO4"/>
      <sheetName val="Centros_de_Custos3"/>
      <sheetName val="Movimentação_AF_20043"/>
      <sheetName val="Movimentação_AF_20053"/>
      <sheetName val="Movimentação_AF_20063"/>
      <sheetName val="Mov__Aplic__Financeira_31_10_03"/>
      <sheetName val="Mov__Aplic__Financeira_31_12_03"/>
      <sheetName val="Inv_-_Cálc_equiv3"/>
      <sheetName val="SAT_Lim_OK3"/>
      <sheetName val="REALIZÁVEL_A_LONGO_PRAZO3"/>
      <sheetName val="COFINS_PIS_-_liminar_OK3"/>
      <sheetName val="COFINS_OK3"/>
      <sheetName val="CSLL_OK3"/>
      <sheetName val="IPI_Oper_Isentas_OK3"/>
      <sheetName val="INSS_Proc_Adm_OK3"/>
      <sheetName val="CIDE_OK3"/>
      <sheetName val="Prov_Multa_IRPJ_CSLL3"/>
      <sheetName val="IR_Diferido_-_20063"/>
      <sheetName val="PASEP_OK3"/>
      <sheetName val="IRRF_e_Drawback_OK3"/>
      <sheetName val="Teste_de_Rec_Apl_Fin_Dez-033"/>
      <sheetName val="Composição_AF_CIE3"/>
      <sheetName val="Resumo_das_Marcas3"/>
      <sheetName val="Banco_de_Dados3"/>
      <sheetName val="Summary_Information3"/>
      <sheetName val="RDEG_fev_073"/>
      <sheetName val="FEV_REAL3"/>
      <sheetName val="Tabela_Apoio3"/>
      <sheetName val="Novas_Lojas2"/>
      <sheetName val="Base_Graficos2"/>
      <sheetName val="BRADESCO_25052010042"/>
      <sheetName val="Tabela_de_Parâmetros2"/>
      <sheetName val="Final_Stats_2"/>
      <sheetName val="Treasury_Yields2"/>
      <sheetName val="Categorias_e_Subcategorias2"/>
      <sheetName val="CC_e_Plano_de_Contas2"/>
      <sheetName val="Cel_ePap__Mucuri3"/>
      <sheetName val="ECOF1101_XLS3"/>
      <sheetName val="Month_Summary2"/>
      <sheetName val="Month_Overview2"/>
      <sheetName val="Realizado_Ajustes_Financeiro2"/>
      <sheetName val="Comparativo_Resultado2"/>
      <sheetName val="Orcado_T22"/>
      <sheetName val="SUMMARY_2"/>
      <sheetName val="Revenues_MCO-T32"/>
      <sheetName val="Revenues_MCO-T22"/>
      <sheetName val="Revenues_MCO-T12"/>
      <sheetName val="Resultado_$Dolar_(3)2"/>
      <sheetName val="Resultado_$Dolar_(2)2"/>
      <sheetName val="Resultado_$Dolar_(1)2"/>
      <sheetName val="12_20182"/>
      <sheetName val="Lista_DTT_-_Fase_12"/>
      <sheetName val="_Imobilizado(1)2"/>
      <sheetName val="SoD_Chg_in_Preparers2"/>
      <sheetName val="Sheet1_(2)2"/>
      <sheetName val="4_3__Floripa2"/>
      <sheetName val="Auxiliar"/>
      <sheetName val="5121006 - Perdas Det"/>
      <sheetName val="Peso áreas e CPs"/>
      <sheetName val="REALIZADO"/>
      <sheetName val="C__euro)12"/>
      <sheetName val="B__euro12"/>
      <sheetName val="NEWST_PATR12"/>
      <sheetName val="NEWST_PATR_euro12"/>
      <sheetName val="ST_PATR12"/>
      <sheetName val="ST_PATR_euro12"/>
      <sheetName val="Abertura_Circulante12"/>
      <sheetName val="K_12"/>
      <sheetName val="MOD_7_SIN12"/>
      <sheetName val="BMSP_12"/>
      <sheetName val="BCO_CENTRAL12"/>
      <sheetName val="A4_312"/>
      <sheetName val="inc__claim_9711"/>
      <sheetName val="July_Posting12"/>
      <sheetName val="A4_1-BRASFLEX_11"/>
      <sheetName val="Mapa_Imobilizado9"/>
      <sheetName val="HIN-BR_Detail8"/>
      <sheetName val="SUMMARY_(1)8"/>
      <sheetName val="N__PIS_COFINS8"/>
      <sheetName val="Abert_vol_venda_x_receita7"/>
      <sheetName val="Lista_de_valores7"/>
      <sheetName val="Variation_Analysis7"/>
      <sheetName val="Geral_Contratos6"/>
      <sheetName val="suporte_prime7"/>
      <sheetName val="Rec_Status6"/>
      <sheetName val="Base_de_Dados_Imob6"/>
      <sheetName val="N1_2_-_Aging_List6"/>
      <sheetName val="fluxo_de_caixa6"/>
      <sheetName val="Movimentação_AF_20044"/>
      <sheetName val="Movimentação_AF_20054"/>
      <sheetName val="Movimentação_AF_20064"/>
      <sheetName val="Mov__Aplic__Financeira_31_10_04"/>
      <sheetName val="Mov__Aplic__Financeira_31_12_04"/>
      <sheetName val="Inv_-_Cálc_equiv4"/>
      <sheetName val="SAT_Lim_OK4"/>
      <sheetName val="REALIZÁVEL_A_LONGO_PRAZO4"/>
      <sheetName val="COFINS_PIS_-_liminar_OK4"/>
      <sheetName val="COFINS_OK4"/>
      <sheetName val="CSLL_OK4"/>
      <sheetName val="IPI_Oper_Isentas_OK4"/>
      <sheetName val="INSS_Proc_Adm_OK4"/>
      <sheetName val="CIDE_OK4"/>
      <sheetName val="Prov_Multa_IRPJ_CSLL4"/>
      <sheetName val="IR_Diferido_-_20064"/>
      <sheetName val="PASEP_OK4"/>
      <sheetName val="IRRF_e_Drawback_OK4"/>
      <sheetName val="Teste_de_Rec_Apl_Fin_Dez-034"/>
      <sheetName val="Composição_AF_CIE4"/>
      <sheetName val="AUX_-_CONTA_CONTÁBIL5"/>
      <sheetName val="AUX_-_CENTRO_DE_CUSTO5"/>
      <sheetName val="AUX_-_OPERAÇÃO-EVENTO5"/>
      <sheetName val="Centros_de_Custos4"/>
      <sheetName val="Resumo_das_Marcas4"/>
      <sheetName val="Banco_de_Dados4"/>
      <sheetName val="Cel_ePap__Mucuri4"/>
      <sheetName val="BRADESCO_25052010043"/>
      <sheetName val="Tabela_de_Parâmetros3"/>
      <sheetName val="Final_Stats_3"/>
      <sheetName val="Treasury_Yields3"/>
      <sheetName val="Categorias_e_Subcategorias3"/>
      <sheetName val="CC_e_Plano_de_Contas3"/>
      <sheetName val="FEV_REAL4"/>
      <sheetName val="RDEG_fev_074"/>
      <sheetName val="Summary_Information4"/>
      <sheetName val="Tabela_Apoio4"/>
      <sheetName val="Month_Summary3"/>
      <sheetName val="Month_Overview3"/>
      <sheetName val="Realizado_Ajustes_Financeiro3"/>
      <sheetName val="Comparativo_Resultado3"/>
      <sheetName val="Orcado_T23"/>
      <sheetName val="SUMMARY_3"/>
      <sheetName val="Revenues_MCO-T33"/>
      <sheetName val="Revenues_MCO-T23"/>
      <sheetName val="Revenues_MCO-T13"/>
      <sheetName val="Resultado_$Dolar_(3)3"/>
      <sheetName val="Resultado_$Dolar_(2)3"/>
      <sheetName val="Resultado_$Dolar_(1)3"/>
      <sheetName val="ECOF1101_XLS4"/>
      <sheetName val="Sheet1_(2)3"/>
      <sheetName val="12_20183"/>
      <sheetName val="_Imobilizado(1)3"/>
      <sheetName val="SoD_Chg_in_Preparers3"/>
      <sheetName val="Base_Graficos3"/>
      <sheetName val="RPI_Mat_prima9781"/>
      <sheetName val="Balance_Sheet1"/>
      <sheetName val="Novas_Lojas3"/>
      <sheetName val="Cx_Seleção1"/>
      <sheetName val="budget+act_18-191"/>
      <sheetName val="budget_CC_19-201"/>
      <sheetName val="resumo_por_fornec1"/>
      <sheetName val="Ledger_2019-20201"/>
      <sheetName val="classif_despesa1"/>
      <sheetName val="Lista_DTT_-_Fase_13"/>
      <sheetName val="O1_-_Apuração_-_IR-CS1"/>
      <sheetName val="Check_Diferido1"/>
      <sheetName val="DINAMICA_CONTA_RESULTADO1"/>
      <sheetName val="Dinamica_BS1"/>
      <sheetName val="690_098041"/>
      <sheetName val="53501_1"/>
      <sheetName val="690_087541"/>
      <sheetName val="6905101_662011"/>
      <sheetName val="63076_1"/>
      <sheetName val="De_x_para_realizado"/>
      <sheetName val="Bancos_-_Resumen"/>
      <sheetName val="4_3__Floripa3"/>
      <sheetName val="DRE_BR"/>
      <sheetName val="Teste_Seguros_CIE_31-12-2004"/>
      <sheetName val="Teste_Seguros_CIE_31-12-2005"/>
      <sheetName val="Russia_3_companies_by_SKU"/>
      <sheetName val="Base_de_dados_Aging"/>
      <sheetName val="Razão_-_Custo_e_Desp_08_2021"/>
      <sheetName val="Monthy_CF"/>
      <sheetName val="Comparison_vs_Prior_CF"/>
      <sheetName val="Comparison_vs_last_Version"/>
      <sheetName val="Bank_Recon"/>
      <sheetName val="Main_expenses"/>
      <sheetName val="AR_-_Already_Edit"/>
      <sheetName val="Flow_gelatine"/>
      <sheetName val="Gelatine_price"/>
      <sheetName val="Others_-_details_e_QES_payments"/>
      <sheetName val="Freight_-_details"/>
      <sheetName val="Tax_-_details"/>
      <sheetName val="Labor_cost_computation"/>
      <sheetName val="Others_-_MKT"/>
      <sheetName val="Projeção_do_IR"/>
      <sheetName val="Importação_QV"/>
      <sheetName val="PC_ANAL_CAIXA_MENSAL"/>
      <sheetName val="5121006_-_Perdas_Det"/>
      <sheetName val="Participações_CODEPAR_2018"/>
      <sheetName val="Participações_CODEPAR_2017"/>
      <sheetName val="Participações_CODEPAR_2016"/>
      <sheetName val="Participações_CODEPAR_2015"/>
      <sheetName val="1__Captable_IAS"/>
      <sheetName val="2__Captable_Helibrás"/>
      <sheetName val="3__Captable_Datora"/>
      <sheetName val="4__Captable_Biotech"/>
      <sheetName val="5__Captable_CBL"/>
      <sheetName val="C__euro)13"/>
      <sheetName val="B__euro13"/>
      <sheetName val="NEWST_PATR13"/>
      <sheetName val="NEWST_PATR_euro13"/>
      <sheetName val="ST_PATR13"/>
      <sheetName val="ST_PATR_euro13"/>
      <sheetName val="Abertura_Circulante13"/>
      <sheetName val="K_13"/>
      <sheetName val="MOD_7_SIN13"/>
      <sheetName val="BMSP_13"/>
      <sheetName val="BCO_CENTRAL13"/>
      <sheetName val="A4_313"/>
      <sheetName val="inc__claim_9712"/>
      <sheetName val="July_Posting13"/>
      <sheetName val="A4_1-BRASFLEX_12"/>
      <sheetName val="Mapa_Imobilizado10"/>
      <sheetName val="HIN-BR_Detail9"/>
      <sheetName val="SUMMARY_(1)9"/>
      <sheetName val="N__PIS_COFINS9"/>
      <sheetName val="Abert_vol_venda_x_receita8"/>
      <sheetName val="Lista_de_valores8"/>
      <sheetName val="Variation_Analysis8"/>
      <sheetName val="Geral_Contratos7"/>
      <sheetName val="suporte_prime8"/>
      <sheetName val="Rec_Status7"/>
      <sheetName val="Base_de_Dados_Imob7"/>
      <sheetName val="N1_2_-_Aging_List7"/>
      <sheetName val="fluxo_de_caixa7"/>
      <sheetName val="Movimentação_AF_20045"/>
      <sheetName val="Movimentação_AF_20055"/>
      <sheetName val="Movimentação_AF_20065"/>
      <sheetName val="Mov__Aplic__Financeira_31_10_06"/>
      <sheetName val="Mov__Aplic__Financeira_31_12_06"/>
      <sheetName val="Inv_-_Cálc_equiv5"/>
      <sheetName val="SAT_Lim_OK5"/>
      <sheetName val="REALIZÁVEL_A_LONGO_PRAZO5"/>
      <sheetName val="COFINS_PIS_-_liminar_OK5"/>
      <sheetName val="COFINS_OK5"/>
      <sheetName val="CSLL_OK5"/>
      <sheetName val="IPI_Oper_Isentas_OK5"/>
      <sheetName val="INSS_Proc_Adm_OK5"/>
      <sheetName val="CIDE_OK5"/>
      <sheetName val="Prov_Multa_IRPJ_CSLL5"/>
      <sheetName val="IR_Diferido_-_20065"/>
      <sheetName val="PASEP_OK5"/>
      <sheetName val="IRRF_e_Drawback_OK5"/>
      <sheetName val="Teste_de_Rec_Apl_Fin_Dez-035"/>
      <sheetName val="Composição_AF_CIE5"/>
      <sheetName val="AUX_-_CONTA_CONTÁBIL6"/>
      <sheetName val="AUX_-_CENTRO_DE_CUSTO6"/>
      <sheetName val="AUX_-_OPERAÇÃO-EVENTO6"/>
      <sheetName val="Centros_de_Custos5"/>
      <sheetName val="Resumo_das_Marcas5"/>
      <sheetName val="Banco_de_Dados5"/>
      <sheetName val="Cel_ePap__Mucuri5"/>
      <sheetName val="BRADESCO_25052010044"/>
      <sheetName val="Tabela_de_Parâmetros4"/>
      <sheetName val="Final_Stats_4"/>
      <sheetName val="Treasury_Yields4"/>
      <sheetName val="Categorias_e_Subcategorias4"/>
      <sheetName val="CC_e_Plano_de_Contas4"/>
      <sheetName val="FEV_REAL5"/>
      <sheetName val="RDEG_fev_075"/>
      <sheetName val="Summary_Information5"/>
      <sheetName val="Tabela_Apoio5"/>
      <sheetName val="Month_Summary4"/>
      <sheetName val="Month_Overview4"/>
      <sheetName val="Realizado_Ajustes_Financeiro4"/>
      <sheetName val="Comparativo_Resultado4"/>
      <sheetName val="Orcado_T24"/>
      <sheetName val="SUMMARY_4"/>
      <sheetName val="Revenues_MCO-T34"/>
      <sheetName val="Revenues_MCO-T24"/>
      <sheetName val="Revenues_MCO-T14"/>
      <sheetName val="Resultado_$Dolar_(3)4"/>
      <sheetName val="Resultado_$Dolar_(2)4"/>
      <sheetName val="Resultado_$Dolar_(1)4"/>
      <sheetName val="ECOF1101_XLS5"/>
      <sheetName val="Sheet1_(2)4"/>
      <sheetName val="12_20184"/>
      <sheetName val="_Imobilizado(1)4"/>
      <sheetName val="SoD_Chg_in_Preparers4"/>
      <sheetName val="Base_Graficos4"/>
      <sheetName val="RPI_Mat_prima9782"/>
      <sheetName val="Balance_Sheet2"/>
      <sheetName val="Novas_Lojas4"/>
      <sheetName val="Cx_Seleção2"/>
      <sheetName val="budget+act_18-192"/>
      <sheetName val="budget_CC_19-202"/>
      <sheetName val="resumo_por_fornec2"/>
      <sheetName val="Ledger_2019-20202"/>
      <sheetName val="classif_despesa2"/>
      <sheetName val="Lista_DTT_-_Fase_14"/>
      <sheetName val="O1_-_Apuração_-_IR-CS2"/>
      <sheetName val="Check_Diferido2"/>
      <sheetName val="DINAMICA_CONTA_RESULTADO2"/>
      <sheetName val="Dinamica_BS2"/>
      <sheetName val="690_098042"/>
      <sheetName val="53501_2"/>
      <sheetName val="690_087542"/>
      <sheetName val="6905101_662012"/>
      <sheetName val="63076_2"/>
      <sheetName val="De_x_para_realizado1"/>
      <sheetName val="Bancos_-_Resumen1"/>
      <sheetName val="4_3__Floripa4"/>
      <sheetName val="DRE_BR1"/>
      <sheetName val="Teste_Seguros_CIE_31-12-20041"/>
      <sheetName val="Teste_Seguros_CIE_31-12-20051"/>
      <sheetName val="Russia_3_companies_by_SKU1"/>
      <sheetName val="Base_de_dados_Aging1"/>
      <sheetName val="Razão_-_Custo_e_Desp_08_20211"/>
      <sheetName val="Monthy_CF1"/>
      <sheetName val="Comparison_vs_Prior_CF1"/>
      <sheetName val="Comparison_vs_last_Version1"/>
      <sheetName val="Bank_Recon1"/>
      <sheetName val="Main_expenses1"/>
      <sheetName val="AR_-_Already_Edit1"/>
      <sheetName val="Flow_gelatine1"/>
      <sheetName val="Gelatine_price1"/>
      <sheetName val="Others_-_details_e_QES_payment1"/>
      <sheetName val="Freight_-_details1"/>
      <sheetName val="Tax_-_details1"/>
      <sheetName val="Labor_cost_computation1"/>
      <sheetName val="Others_-_MKT1"/>
      <sheetName val="Projeção_do_IR1"/>
      <sheetName val="Importação_QV1"/>
      <sheetName val="PC_ANAL_CAIXA_MENSAL1"/>
      <sheetName val="5121006_-_Perdas_Det1"/>
      <sheetName val="Participações_CODEPAR_20181"/>
      <sheetName val="Participações_CODEPAR_20171"/>
      <sheetName val="Participações_CODEPAR_20161"/>
      <sheetName val="Participações_CODEPAR_20151"/>
      <sheetName val="1__Captable_IAS1"/>
      <sheetName val="2__Captable_Helibrás1"/>
      <sheetName val="3__Captable_Datora1"/>
      <sheetName val="4__Captable_Biotech1"/>
      <sheetName val="5__Captable_CBL1"/>
      <sheetName val="K7"/>
      <sheetName val="RESUMEN"/>
      <sheetName val="detail (2)"/>
      <sheetName val="Ativo"/>
      <sheetName val="BP"/>
      <sheetName val="BASE DE DADOS."/>
      <sheetName val="Sheet2"/>
      <sheetName val="PS"/>
      <sheetName val="Pov"/>
      <sheetName val="Data"/>
      <sheetName val="Cogen"/>
      <sheetName val="Customize Your Invoice"/>
      <sheetName val="RF-G7"/>
      <sheetName val="I CF"/>
      <sheetName val="Peso_áreas_e_CPs"/>
      <sheetName val="DRE"/>
      <sheetName val="Model"/>
      <sheetName val="ICATU"/>
      <sheetName val="Validacao_Dados"/>
      <sheetName val="REAC1"/>
      <sheetName val="OTHER TABLES"/>
      <sheetName val="Graficos Prod. Açuc. e Etanol"/>
      <sheetName val="DIPRVS12"/>
      <sheetName val="Especif"/>
      <sheetName val="LANCAPC"/>
      <sheetName val="Taxas"/>
      <sheetName val="CALMAR 11"/>
      <sheetName val="Movimentação"/>
      <sheetName val="Dept#"/>
      <sheetName val="Notes"/>
      <sheetName val="macro_data"/>
      <sheetName val="Time"/>
      <sheetName val="ALFMULT"/>
      <sheetName val="Assumptions"/>
      <sheetName val="dropdown"/>
      <sheetName val="Liste"/>
      <sheetName val="CEEMES"/>
      <sheetName val="pl atual"/>
      <sheetName val="Relatórios-REF"/>
      <sheetName val="#REF"/>
      <sheetName val="C__euro)14"/>
      <sheetName val="B__euro14"/>
      <sheetName val="NEWST_PATR14"/>
      <sheetName val="NEWST_PATR_euro14"/>
      <sheetName val="ST_PATR14"/>
      <sheetName val="ST_PATR_euro14"/>
      <sheetName val="Abertura_Circulante14"/>
      <sheetName val="K_14"/>
      <sheetName val="BMSP_14"/>
      <sheetName val="BCO_CENTRAL14"/>
      <sheetName val="MOD_7_SIN14"/>
      <sheetName val="A4_314"/>
      <sheetName val="July_Posting14"/>
      <sheetName val="A4_1-BRASFLEX_13"/>
      <sheetName val="inc__claim_9713"/>
      <sheetName val="Mapa_Imobilizado11"/>
      <sheetName val="HIN-BR_Detail10"/>
      <sheetName val="SUMMARY_(1)10"/>
      <sheetName val="N__PIS_COFINS10"/>
      <sheetName val="Abert_vol_venda_x_receita9"/>
      <sheetName val="Lista_de_valores9"/>
      <sheetName val="Variation_Analysis9"/>
      <sheetName val="Geral_Contratos8"/>
      <sheetName val="suporte_prime9"/>
      <sheetName val="Rec_Status8"/>
      <sheetName val="Base_de_Dados_Imob8"/>
      <sheetName val="fluxo_de_caixa8"/>
      <sheetName val="N1_2_-_Aging_List8"/>
      <sheetName val="AUX_-_CONTA_CONTÁBIL7"/>
      <sheetName val="AUX_-_CENTRO_DE_CUSTO7"/>
      <sheetName val="AUX_-_OPERAÇÃO-EVENTO7"/>
      <sheetName val="Movimentação_AF_20046"/>
      <sheetName val="Movimentação_AF_20056"/>
      <sheetName val="Movimentação_AF_20066"/>
      <sheetName val="Mov__Aplic__Financeira_31_10_07"/>
      <sheetName val="Mov__Aplic__Financeira_31_12_07"/>
      <sheetName val="Inv_-_Cálc_equiv6"/>
      <sheetName val="SAT_Lim_OK6"/>
      <sheetName val="REALIZÁVEL_A_LONGO_PRAZO6"/>
      <sheetName val="COFINS_PIS_-_liminar_OK6"/>
      <sheetName val="COFINS_OK6"/>
      <sheetName val="CSLL_OK6"/>
      <sheetName val="IPI_Oper_Isentas_OK6"/>
      <sheetName val="INSS_Proc_Adm_OK6"/>
      <sheetName val="CIDE_OK6"/>
      <sheetName val="Prov_Multa_IRPJ_CSLL6"/>
      <sheetName val="IR_Diferido_-_20066"/>
      <sheetName val="PASEP_OK6"/>
      <sheetName val="IRRF_e_Drawback_OK6"/>
      <sheetName val="Teste_de_Rec_Apl_Fin_Dez-036"/>
      <sheetName val="Composição_AF_CIE6"/>
      <sheetName val="Resumo_das_Marcas6"/>
      <sheetName val="Centros_de_Custos6"/>
      <sheetName val="Banco_de_Dados6"/>
      <sheetName val="Cel_ePap__Mucuri6"/>
      <sheetName val="FEV_REAL6"/>
      <sheetName val="RDEG_fev_076"/>
      <sheetName val="Summary_Information6"/>
      <sheetName val="BRADESCO_25052010045"/>
      <sheetName val="Tabela_de_Parâmetros5"/>
      <sheetName val="Final_Stats_5"/>
      <sheetName val="Treasury_Yields5"/>
      <sheetName val="Categorias_e_Subcategorias5"/>
      <sheetName val="CC_e_Plano_de_Contas5"/>
      <sheetName val="Month_Summary5"/>
      <sheetName val="Month_Overview5"/>
      <sheetName val="Realizado_Ajustes_Financeiro5"/>
      <sheetName val="Comparativo_Resultado5"/>
      <sheetName val="Orcado_T25"/>
      <sheetName val="SUMMARY_5"/>
      <sheetName val="Revenues_MCO-T35"/>
      <sheetName val="Revenues_MCO-T25"/>
      <sheetName val="Revenues_MCO-T15"/>
      <sheetName val="Resultado_$Dolar_(3)5"/>
      <sheetName val="Resultado_$Dolar_(2)5"/>
      <sheetName val="Resultado_$Dolar_(1)5"/>
      <sheetName val="Tabela_Apoio6"/>
      <sheetName val="ECOF1101_XLS6"/>
      <sheetName val="Base_Graficos5"/>
      <sheetName val="_Imobilizado(1)5"/>
      <sheetName val="SoD_Chg_in_Preparers5"/>
      <sheetName val="12_20185"/>
      <sheetName val="Sheet1_(2)5"/>
      <sheetName val="Novas_Lojas5"/>
      <sheetName val="budget+act_18-193"/>
      <sheetName val="budget_CC_19-203"/>
      <sheetName val="resumo_por_fornec3"/>
      <sheetName val="Ledger_2019-20203"/>
      <sheetName val="classif_despesa3"/>
      <sheetName val="Balance_Sheet3"/>
      <sheetName val="RPI_Mat_prima9783"/>
      <sheetName val="Lista_DTT_-_Fase_15"/>
      <sheetName val="Cx_Seleção3"/>
      <sheetName val="De_x_para_realizado2"/>
      <sheetName val="O1_-_Apuração_-_IR-CS3"/>
      <sheetName val="Check_Diferido3"/>
      <sheetName val="DINAMICA_CONTA_RESULTADO3"/>
      <sheetName val="Dinamica_BS3"/>
      <sheetName val="690_098043"/>
      <sheetName val="53501_3"/>
      <sheetName val="690_087543"/>
      <sheetName val="6905101_662013"/>
      <sheetName val="63076_3"/>
      <sheetName val="4_3__Floripa5"/>
      <sheetName val="Teste_Seguros_CIE_31-12-20042"/>
      <sheetName val="Teste_Seguros_CIE_31-12-20052"/>
      <sheetName val="Base_de_dados_Aging2"/>
      <sheetName val="Russia_3_companies_by_SKU2"/>
      <sheetName val="Bancos_-_Resumen2"/>
      <sheetName val="DRE_BR2"/>
      <sheetName val="Monthy_CF2"/>
      <sheetName val="Comparison_vs_Prior_CF2"/>
      <sheetName val="Comparison_vs_last_Version2"/>
      <sheetName val="Bank_Recon2"/>
      <sheetName val="Main_expenses2"/>
      <sheetName val="AR_-_Already_Edit2"/>
      <sheetName val="Flow_gelatine2"/>
      <sheetName val="Gelatine_price2"/>
      <sheetName val="Others_-_details_e_QES_payment2"/>
      <sheetName val="Freight_-_details2"/>
      <sheetName val="Tax_-_details2"/>
      <sheetName val="Labor_cost_computation2"/>
      <sheetName val="Others_-_MKT2"/>
      <sheetName val="Projeção_do_IR2"/>
      <sheetName val="Importação_QV2"/>
      <sheetName val="Razão_-_Custo_e_Desp_08_20212"/>
      <sheetName val="PC_ANAL_CAIXA_MENSAL2"/>
      <sheetName val="5121006_-_Perdas_Det2"/>
      <sheetName val="Participações_CODEPAR_20182"/>
      <sheetName val="Participações_CODEPAR_20172"/>
      <sheetName val="Participações_CODEPAR_20162"/>
      <sheetName val="Participações_CODEPAR_20152"/>
      <sheetName val="1__Captable_IAS2"/>
      <sheetName val="2__Captable_Helibrás2"/>
      <sheetName val="3__Captable_Datora2"/>
      <sheetName val="4__Captable_Biotech2"/>
      <sheetName val="5__Captable_CBL2"/>
      <sheetName val="Peso_áreas_e_CPs2"/>
      <sheetName val="detail_(2)"/>
      <sheetName val="BASE_DE_DADOS_"/>
      <sheetName val="Customize_Your_Invoice"/>
      <sheetName val="ener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. 8 à 10"/>
      <sheetName val="Pag .11 À 13"/>
      <sheetName val="Pag.14"/>
      <sheetName val="Pag. 16 "/>
      <sheetName val="Pag. 17"/>
      <sheetName val="Pag. 18 à 21 e 24 à 28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ales vol.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Stock Price"/>
      <sheetName val="EuroInputs"/>
      <sheetName val="Delhaize"/>
      <sheetName val="oldSEG"/>
      <sheetName val="Quarters"/>
      <sheetName val="Quarterly rates"/>
      <sheetName val="Input"/>
      <sheetName val="ProForma"/>
      <sheetName val="__FDSCACHE__"/>
      <sheetName val="Output"/>
      <sheetName val="Sheet1"/>
      <sheetName val="Gráfico"/>
      <sheetName val="c10cc13"/>
      <sheetName val="RESUMO"/>
      <sheetName val="GERAL"/>
      <sheetName val="Imob custo"/>
      <sheetName val="Imob dep"/>
      <sheetName val="RLP"/>
      <sheetName val="Equity Main"/>
      <sheetName val="company"/>
      <sheetName val="Produtos"/>
      <sheetName val="Serie Fat"/>
      <sheetName val="Serie Filial"/>
      <sheetName val="Country Risk"/>
      <sheetName val="Revisão ativo-passivo"/>
      <sheetName val="XREF"/>
      <sheetName val="consolidated"/>
      <sheetName val="brazil risk"/>
      <sheetName val="Financials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Input Projected"/>
      <sheetName val="BTMAIN"/>
      <sheetName val="Assumptions"/>
      <sheetName val="Summary"/>
      <sheetName val="OPER"/>
      <sheetName val="RSR"/>
      <sheetName val="Weeklies"/>
      <sheetName val="Opportunity Codes "/>
      <sheetName val="2013"/>
      <sheetName val="Sheet2"/>
      <sheetName val="Sheet3"/>
      <sheetName val="Sheet4"/>
      <sheetName val="Total"/>
      <sheetName val="CAPITAL PH1"/>
      <sheetName val=" BUDGET P1"/>
      <sheetName val="9-05046L"/>
      <sheetName val="MktAss"/>
      <sheetName val="A"/>
      <sheetName val="Financial Overview ShortProfile"/>
      <sheetName val="CUS Image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BS Rollup"/>
      <sheetName val="BEV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Qcharts"/>
      <sheetName val="Charts"/>
      <sheetName val="Offers G&amp;C"/>
      <sheetName val="Offers GE"/>
      <sheetName val="Offers GS"/>
      <sheetName val="Offers MC"/>
      <sheetName val="13199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DO NOT USE PRINT! Macro Data"/>
      <sheetName val="#REF"/>
      <sheetName val="Main Menu"/>
      <sheetName val="Instructions"/>
      <sheetName val="Profit &amp; Loss"/>
      <sheetName val="Balanço reunião"/>
      <sheetName val="GEN Inputs"/>
      <sheetName val="Inputs"/>
      <sheetName val="Detail"/>
      <sheetName val="Pro forma IS"/>
      <sheetName val="mes"/>
      <sheetName val="R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dos"/>
      <sheetName val="amb-pac"/>
      <sheetName val="hedg-boz"/>
      <sheetName val="cdb-aac"/>
      <sheetName val="exp-nac"/>
      <sheetName val="NAC-DI"/>
      <sheetName val="norchem"/>
      <sheetName val="ICATU"/>
      <sheetName val="BAMERINDUS"/>
      <sheetName val="ICATU COM."/>
      <sheetName val="MC-PROV"/>
      <sheetName val="Plan18"/>
      <sheetName val="Plan17"/>
      <sheetName val="MUTUO-0695"/>
      <sheetName val="daily95"/>
      <sheetName val="Plan1"/>
      <sheetName val="Plan2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A4"/>
      <sheetName val="SOC.INSTRUMENTALES"/>
      <sheetName val="CASHMAY"/>
      <sheetName val="ce"/>
      <sheetName val="Parâmetros"/>
      <sheetName val="Translation"/>
      <sheetName val="base de dados"/>
      <sheetName val="Fixed Assets"/>
      <sheetName val="SERIES CDI E PTAX"/>
      <sheetName val="Data-sheet"/>
      <sheetName val="SELIC"/>
      <sheetName val="Sheet1"/>
      <sheetName val="M1.4 - Empréstimos"/>
      <sheetName val="ICATU_COM_"/>
      <sheetName val="FINANCIAMENTO COFACE SUDAMERIS"/>
      <sheetName val="LX"/>
      <sheetName val="Mov.US$ nov a mar"/>
      <sheetName val="BD_BEBED"/>
      <sheetName val="BIO"/>
      <sheetName val="EMBAL_BEBED"/>
      <sheetName val="FR_BEBED"/>
      <sheetName val="GL_BEBED"/>
      <sheetName val="GRANEL_BEB"/>
      <sheetName val="Nypro_Bebed"/>
      <sheetName val="MT_BEBED"/>
      <sheetName val="Multi-K"/>
      <sheetName val="GRA_BEBED"/>
      <sheetName val="TB_BEBED"/>
      <sheetName val="SALES98"/>
      <sheetName val="RAC"/>
      <sheetName val="PRINCIP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álise"/>
      <sheetName val="B.analítico A (2)"/>
      <sheetName val="B.analítico B (2)"/>
      <sheetName val="BAL A (2)"/>
      <sheetName val="BAL B (2)"/>
      <sheetName val="BAL INDEX"/>
      <sheetName val="bruto mensal (2)"/>
      <sheetName val="B.America (2)"/>
      <sheetName val="B.Trading (2)"/>
      <sheetName val="capital (2)"/>
      <sheetName val="consolid soc"/>
      <sheetName val="Desp2002"/>
      <sheetName val="Desp2001"/>
      <sheetName val="Desp2001-02"/>
      <sheetName val="dívida"/>
      <sheetName val="DOAR A (2)"/>
      <sheetName val="DOAR B (2)"/>
      <sheetName val="DOAR BST"/>
      <sheetName val="DOAR BSA"/>
      <sheetName val="ebitda"/>
      <sheetName val="equyt"/>
      <sheetName val="estoque"/>
      <sheetName val="est.analítico"/>
      <sheetName val="estoque pa"/>
      <sheetName val="estoque pa (2)"/>
      <sheetName val="financeiras"/>
      <sheetName val="financeiras (A)"/>
      <sheetName val="financeiras (B)"/>
      <sheetName val="financiamentos B"/>
      <sheetName val="FLUXO A"/>
      <sheetName val="FLUXO B (2)"/>
      <sheetName val="índices bal (2)"/>
      <sheetName val="integral"/>
      <sheetName val="lb2002"/>
      <sheetName val="lb2001"/>
      <sheetName val="lb2000"/>
      <sheetName val="longo A e B"/>
      <sheetName val="lucro bruto"/>
      <sheetName val="mês a mês (2)"/>
      <sheetName val="mix"/>
      <sheetName val="mutação A (2)"/>
      <sheetName val="mutação B (2)"/>
      <sheetName val="PERFIL A (2)"/>
      <sheetName val="PERFIL B (2)"/>
      <sheetName val="preços"/>
      <sheetName val="prov-contas a receber"/>
      <sheetName val="permanente A (2)"/>
      <sheetName val="permanente B (2)"/>
      <sheetName val="produção"/>
      <sheetName val="resultado"/>
      <sheetName val="tabela"/>
      <sheetName val="volume"/>
      <sheetName val="capa (2)"/>
      <sheetName val="capa (3)"/>
      <sheetName val="Pakprint"/>
      <sheetName val="mutação Bst"/>
      <sheetName val="mutação Bsa"/>
      <sheetName val="#REF"/>
      <sheetName val="J1"/>
      <sheetName val="Balsap"/>
      <sheetName val="bal"/>
      <sheetName val="O1"/>
      <sheetName val="Proj Empresas"/>
      <sheetName val="Proj Pab"/>
      <sheetName val="Proj Rede"/>
      <sheetName val="Verdinho Real"/>
      <sheetName val="O2CC"/>
      <sheetName val="FLUXO1"/>
      <sheetName val="Plan1 (2)"/>
      <sheetName val="Criterios"/>
      <sheetName val="Duplicate Rate"/>
      <sheetName val="ICATU"/>
      <sheetName val="B_analítico_A_(2)"/>
      <sheetName val="B_analítico_B_(2)"/>
      <sheetName val="BAL_A_(2)"/>
      <sheetName val="BAL_B_(2)"/>
      <sheetName val="BAL_INDEX"/>
      <sheetName val="bruto_mensal_(2)"/>
      <sheetName val="B_America_(2)"/>
      <sheetName val="B_Trading_(2)"/>
      <sheetName val="capital_(2)"/>
      <sheetName val="consolid_soc"/>
      <sheetName val="DOAR_A_(2)"/>
      <sheetName val="DOAR_B_(2)"/>
      <sheetName val="DOAR_BST"/>
      <sheetName val="DOAR_BSA"/>
      <sheetName val="est_analítico"/>
      <sheetName val="estoque_pa"/>
      <sheetName val="estoque_pa_(2)"/>
      <sheetName val="financeiras_(A)"/>
      <sheetName val="financeiras_(B)"/>
      <sheetName val="financiamentos_B"/>
      <sheetName val="FLUXO_A"/>
      <sheetName val="FLUXO_B_(2)"/>
      <sheetName val="índices_bal_(2)"/>
      <sheetName val="longo_A_e_B"/>
      <sheetName val="lucro_bruto"/>
      <sheetName val="mês_a_mês_(2)"/>
      <sheetName val="mutação_A_(2)"/>
      <sheetName val="mutação_B_(2)"/>
      <sheetName val="PERFIL_A_(2)"/>
      <sheetName val="PERFIL_B_(2)"/>
      <sheetName val="prov-contas_a_receber"/>
      <sheetName val="permanente_A_(2)"/>
      <sheetName val="permanente_B_(2)"/>
      <sheetName val="capa_(2)"/>
      <sheetName val="capa_(3)"/>
      <sheetName val="mutação_Bst"/>
      <sheetName val="mutação_Bsa"/>
      <sheetName val="BT1"/>
      <sheetName val=""/>
      <sheetName val="E2.1-PCLD 06-2006"/>
      <sheetName val="FAt"/>
      <sheetName val="GSI_1998"/>
      <sheetName val="D2.6.1"/>
      <sheetName val="D2.6.2"/>
      <sheetName val="EBITRECS"/>
      <sheetName val="5X3"/>
      <sheetName val="Dx-AT49"/>
      <sheetName val="INDIECO1"/>
      <sheetName val="ATZ A14"/>
      <sheetName val="Ciclo Mensal"/>
      <sheetName val="RES GUA_G2"/>
      <sheetName val="STX"/>
      <sheetName val="Proc"/>
      <sheetName val="Evolutivo"/>
      <sheetName val="Consolidated Month Trend"/>
      <sheetName val="Consolidated Month VHC"/>
      <sheetName val="Consolidated Month Trend+VHC"/>
      <sheetName val="Consolidated Year Trend"/>
      <sheetName val="Consolidated Year VHC"/>
      <sheetName val="Consolidated Year Trend+VHC"/>
      <sheetName val="2019 Consolidated"/>
      <sheetName val="2019 VHC"/>
      <sheetName val="B2019 Consolidated"/>
      <sheetName val="2018 Consolidated"/>
      <sheetName val="2019 Flash"/>
      <sheetName val="Máscara - BP"/>
      <sheetName val="Máscara - LY"/>
      <sheetName val="Máscara - YTD"/>
      <sheetName val="Consolidated Quarter"/>
      <sheetName val="Máscara - Q2"/>
      <sheetName val="Máscara - BP Q2"/>
      <sheetName val="Máscara - LY Q2"/>
      <sheetName val="Janeiro"/>
      <sheetName val="Fevereiro"/>
      <sheetName val="Março"/>
      <sheetName val="1ºTrimestre"/>
      <sheetName val="2020 Trend"/>
      <sheetName val="B2020 Consolidated"/>
      <sheetName val="Máscara - Q3"/>
      <sheetName val="Máscara - BP Q3"/>
      <sheetName val="Máscara - LY Q3"/>
      <sheetName val="CONSSID12-96"/>
      <sheetName val="sheet1"/>
      <sheetName val="Contas"/>
      <sheetName val="B_analítico_A_(2)1"/>
      <sheetName val="B_analítico_B_(2)1"/>
      <sheetName val="BAL_A_(2)1"/>
      <sheetName val="BAL_B_(2)1"/>
      <sheetName val="BAL_INDEX1"/>
      <sheetName val="bruto_mensal_(2)1"/>
      <sheetName val="B_America_(2)1"/>
      <sheetName val="B_Trading_(2)1"/>
      <sheetName val="capital_(2)1"/>
      <sheetName val="consolid_soc1"/>
      <sheetName val="DOAR_A_(2)1"/>
      <sheetName val="DOAR_B_(2)1"/>
      <sheetName val="DOAR_BST1"/>
      <sheetName val="DOAR_BSA1"/>
      <sheetName val="est_analítico1"/>
      <sheetName val="estoque_pa1"/>
      <sheetName val="estoque_pa_(2)1"/>
      <sheetName val="financeiras_(A)1"/>
      <sheetName val="financeiras_(B)1"/>
      <sheetName val="financiamentos_B1"/>
      <sheetName val="FLUXO_A1"/>
      <sheetName val="FLUXO_B_(2)1"/>
      <sheetName val="índices_bal_(2)1"/>
      <sheetName val="longo_A_e_B1"/>
      <sheetName val="lucro_bruto1"/>
      <sheetName val="mês_a_mês_(2)1"/>
      <sheetName val="mutação_A_(2)1"/>
      <sheetName val="mutação_B_(2)1"/>
      <sheetName val="PERFIL_A_(2)1"/>
      <sheetName val="PERFIL_B_(2)1"/>
      <sheetName val="prov-contas_a_receber1"/>
      <sheetName val="permanente_A_(2)1"/>
      <sheetName val="permanente_B_(2)1"/>
      <sheetName val="capa_(2)1"/>
      <sheetName val="capa_(3)1"/>
      <sheetName val="mutação_Bst1"/>
      <sheetName val="mutação_Bsa1"/>
      <sheetName val="Duplicate_Rate"/>
      <sheetName val="Plan1_(2)"/>
      <sheetName val="Proj_Empresas"/>
      <sheetName val="Proj_Pab"/>
      <sheetName val="Proj_Rede"/>
      <sheetName val="Verdinho_Real"/>
      <sheetName val="E2_1-PCLD_06-2006"/>
      <sheetName val="D2_6_1"/>
      <sheetName val="D2_6_2"/>
      <sheetName val="Consolidated_Month_Trend"/>
      <sheetName val="Consolidated_Month_VHC"/>
      <sheetName val="Consolidated_Month_Trend+VHC"/>
      <sheetName val="Consolidated_Year_Trend"/>
      <sheetName val="Consolidated_Year_VHC"/>
      <sheetName val="Consolidated_Year_Trend+VHC"/>
      <sheetName val="2019_Consolidated"/>
      <sheetName val="2019_VHC"/>
      <sheetName val="B2019_Consolidated"/>
      <sheetName val="2018_Consolidated"/>
      <sheetName val="2019_Flash"/>
      <sheetName val="Máscara_-_BP"/>
      <sheetName val="Máscara_-_LY"/>
      <sheetName val="Máscara_-_YTD"/>
      <sheetName val="Consolidated_Quarter"/>
      <sheetName val="Máscara_-_Q2"/>
      <sheetName val="Máscara_-_BP_Q2"/>
      <sheetName val="Máscara_-_LY_Q2"/>
      <sheetName val="2020_Trend"/>
      <sheetName val="B2020_Consolidated"/>
      <sheetName val="Máscara_-_Q3"/>
      <sheetName val="Máscara_-_BP_Q3"/>
      <sheetName val="Máscara_-_LY_Q3"/>
      <sheetName val="RES_GUA_G2"/>
      <sheetName val="ATZ_A14"/>
      <sheetName val="Ciclo_Mensal"/>
      <sheetName val="N"/>
      <sheetName val="Stock Price"/>
      <sheetName val="Inventory Input"/>
      <sheetName val="Mutuo"/>
      <sheetName val="GRAFICOS PPT"/>
      <sheetName val="Codices ML"/>
      <sheetName val="Quarters"/>
      <sheetName val="oldSEG"/>
      <sheetName val="Tab4-01p"/>
      <sheetName val="premisas inflacion"/>
      <sheetName val="Energia (98 - 00)"/>
      <sheetName val="ANALI2001"/>
      <sheetName val="RF-G7"/>
      <sheetName val="evarebr"/>
      <sheetName val="ANALISE"/>
      <sheetName val="planilha principal"/>
      <sheetName val="B_analítico_A_(2)2"/>
      <sheetName val="B_analítico_B_(2)2"/>
      <sheetName val="BAL_A_(2)2"/>
      <sheetName val="BAL_B_(2)2"/>
      <sheetName val="BAL_INDEX2"/>
      <sheetName val="bruto_mensal_(2)2"/>
      <sheetName val="B_America_(2)2"/>
      <sheetName val="B_Trading_(2)2"/>
      <sheetName val="capital_(2)2"/>
      <sheetName val="consolid_soc2"/>
      <sheetName val="DOAR_A_(2)2"/>
      <sheetName val="DOAR_B_(2)2"/>
      <sheetName val="DOAR_BST2"/>
      <sheetName val="DOAR_BSA2"/>
      <sheetName val="est_analítico2"/>
      <sheetName val="estoque_pa2"/>
      <sheetName val="estoque_pa_(2)2"/>
      <sheetName val="financeiras_(A)2"/>
      <sheetName val="financeiras_(B)2"/>
      <sheetName val="financiamentos_B2"/>
      <sheetName val="FLUXO_A2"/>
      <sheetName val="FLUXO_B_(2)2"/>
      <sheetName val="índices_bal_(2)2"/>
      <sheetName val="longo_A_e_B2"/>
      <sheetName val="lucro_bruto2"/>
      <sheetName val="mês_a_mês_(2)2"/>
      <sheetName val="mutação_A_(2)2"/>
      <sheetName val="mutação_B_(2)2"/>
      <sheetName val="PERFIL_A_(2)2"/>
      <sheetName val="PERFIL_B_(2)2"/>
      <sheetName val="prov-contas_a_receber2"/>
      <sheetName val="permanente_A_(2)2"/>
      <sheetName val="permanente_B_(2)2"/>
      <sheetName val="capa_(2)2"/>
      <sheetName val="capa_(3)2"/>
      <sheetName val="mutação_Bst2"/>
      <sheetName val="mutação_Bsa2"/>
      <sheetName val="Plan1_(2)1"/>
      <sheetName val="Proj_Empresas1"/>
      <sheetName val="Proj_Pab1"/>
      <sheetName val="Proj_Rede1"/>
      <sheetName val="Verdinho_Real1"/>
      <sheetName val="Duplicate_Rate1"/>
      <sheetName val="E2_1-PCLD_06-20061"/>
      <sheetName val="D2_6_11"/>
      <sheetName val="D2_6_21"/>
      <sheetName val="RES_GUA_G21"/>
      <sheetName val="Consolidated_Month_Trend1"/>
      <sheetName val="Consolidated_Month_VHC1"/>
      <sheetName val="Consolidated_Month_Trend+VHC1"/>
      <sheetName val="Consolidated_Year_Trend1"/>
      <sheetName val="Consolidated_Year_VHC1"/>
      <sheetName val="Consolidated_Year_Trend+VHC1"/>
      <sheetName val="2019_Consolidated1"/>
      <sheetName val="2019_VHC1"/>
      <sheetName val="B2019_Consolidated1"/>
      <sheetName val="2018_Consolidated1"/>
      <sheetName val="2019_Flash1"/>
      <sheetName val="Máscara_-_BP1"/>
      <sheetName val="Máscara_-_LY1"/>
      <sheetName val="Máscara_-_YTD1"/>
      <sheetName val="Consolidated_Quarter1"/>
      <sheetName val="Máscara_-_Q21"/>
      <sheetName val="Máscara_-_BP_Q21"/>
      <sheetName val="Máscara_-_LY_Q21"/>
      <sheetName val="2020_Trend1"/>
      <sheetName val="B2020_Consolidated1"/>
      <sheetName val="Máscara_-_Q31"/>
      <sheetName val="Máscara_-_BP_Q31"/>
      <sheetName val="Máscara_-_LY_Q31"/>
      <sheetName val="ATZ_A141"/>
      <sheetName val="Ciclo_Mensal1"/>
      <sheetName val="Stock_Price"/>
      <sheetName val="Input"/>
      <sheetName val="Host Tax Deprec "/>
      <sheetName val="BankLoan"/>
      <sheetName val="Model"/>
      <sheetName val="Carry"/>
      <sheetName val="cases"/>
      <sheetName val="Summary"/>
      <sheetName val="SPR"/>
      <sheetName val="BP"/>
      <sheetName val="Market"/>
      <sheetName val="TESTE"/>
      <sheetName val="fluxo de caixa"/>
      <sheetName val="Assum"/>
      <sheetName val="Netearnanal"/>
      <sheetName val="sales vol."/>
      <sheetName val="vtas"/>
      <sheetName val="Index (2)"/>
      <sheetName val="49415003-01"/>
      <sheetName val="22410001-01 02"/>
      <sheetName val="18845006-03"/>
      <sheetName val="49415003-02"/>
      <sheetName val="LALURA"/>
      <sheetName val="LALUR"/>
      <sheetName val="18845006-05"/>
      <sheetName val="49420902-04"/>
      <sheetName val="Energia_(98_-_0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PMBraxis FinMod (14.02.08).a"/>
      <sheetName val="#REF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ock Price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  <sheetName val="Total"/>
      <sheetName val="Stock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ldSEG"/>
      <sheetName val="Quarters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les vol."/>
      <sheetName val="CUS Image"/>
      <sheetName val="CUSImag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Auxili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STE"/>
      <sheetName val="Depositos judiciais"/>
      <sheetName val="ce"/>
      <sheetName val="CECO"/>
      <sheetName val="TESTE.XLW"/>
      <sheetName val="E75_2002"/>
      <sheetName val="CONSOL"/>
      <sheetName val="Apur_IR_CS"/>
      <sheetName val="DRE_2014"/>
      <sheetName val="Database"/>
      <sheetName val="Variance Summary"/>
      <sheetName val="INFO"/>
      <sheetName val="Arrend."/>
      <sheetName val="O13"/>
      <sheetName val="Inputs"/>
      <sheetName val="Sheet1"/>
      <sheetName val="Passagem"/>
      <sheetName val="De Para"/>
      <sheetName val="TESTE_XLW"/>
      <sheetName val="Depositos_judiciais"/>
      <sheetName val="Variance_Summary"/>
      <sheetName val="Dados"/>
      <sheetName val="RECEITA"/>
      <sheetName val="Mercado"/>
      <sheetName val="101171"/>
      <sheetName val="RESPOSTA NESTLE"/>
      <sheetName val="Data"/>
      <sheetName val="CDI"/>
      <sheetName val="ELIM_FINANCEIRA"/>
      <sheetName val="GSI_1998"/>
      <sheetName val="Faturamento AMM"/>
      <sheetName val="Descrição Status"/>
      <sheetName val="T Bond e EMBI +"/>
      <sheetName val="TJLP e CDI"/>
      <sheetName val="Inflação"/>
      <sheetName val="Damodaran (Beta e ERP)"/>
      <sheetName val="bal12"/>
      <sheetName val="EOL"/>
      <sheetName val="EOL_1"/>
      <sheetName val="Resultados"/>
      <sheetName val="Mapa Comercial"/>
      <sheetName val="Lista Validação de Dados"/>
      <sheetName val="TRADUÇÃO"/>
      <sheetName val="Aux. Listbox"/>
      <sheetName val="GSA Matrix"/>
      <sheetName val="apoio"/>
      <sheetName val="Macro"/>
      <sheetName val="Data Table"/>
      <sheetName val="Graph"/>
      <sheetName val="Fluxo de Caixa"/>
      <sheetName val="E74_2001"/>
      <sheetName val="E74_2002"/>
      <sheetName val="Novo Mix abrasce"/>
      <sheetName val="Descontos - Análises"/>
      <sheetName val="Inadimplência - Análises"/>
      <sheetName val="Categorias Abrasce"/>
      <sheetName val="Premissas"/>
      <sheetName val="PContas_FPP"/>
      <sheetName val="Comercial 3"/>
      <sheetName val="De_Para"/>
      <sheetName val="T_Bond_e_EMBI_+"/>
      <sheetName val="TJLP_e_CDI"/>
      <sheetName val="Damodaran_(Beta_e_ERP)"/>
      <sheetName val="Data_Table"/>
      <sheetName val="Mapa_Comercial"/>
      <sheetName val="Lista_Validação_de_Dados"/>
      <sheetName val="Aux__Listbox"/>
      <sheetName val="GSA_Matrix"/>
      <sheetName val="Faturamento_AMM"/>
      <sheetName val="Descrição_Status"/>
      <sheetName val="Arrend_"/>
      <sheetName val="Tax Guide"/>
      <sheetName val="Size Premium"/>
      <sheetName val="DM Beta17"/>
      <sheetName val="MtM"/>
      <sheetName val="Solicitação de documentos"/>
      <sheetName val="Index (2)"/>
      <sheetName val="ABRASCE"/>
      <sheetName val="Inadimplência II"/>
      <sheetName val="FPP_PContas"/>
      <sheetName val="WACC VLT"/>
      <sheetName val="WACC GRU"/>
      <sheetName val="parâmetro"/>
      <sheetName val="2015 Budget"/>
      <sheetName val="Total station cost"/>
      <sheetName val="Calculo global Depr."/>
      <sheetName val="Apl.Financ."/>
      <sheetName val="HANDLING - VALORE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Reconciliações Setembro"/>
      <sheetName val="FIF"/>
      <sheetName val="Lead"/>
      <sheetName val="XREF"/>
      <sheetName val="apports"/>
      <sheetName val=""/>
      <sheetName val="Parâmetros"/>
      <sheetName val="AE Reference Sheet"/>
      <sheetName val="Categorias Abrasce (7)"/>
      <sheetName val="REALIZADO"/>
      <sheetName val="Reembolso"/>
      <sheetName val="Stand Abrasce"/>
      <sheetName val="시산표"/>
      <sheetName val="2. Entity Names"/>
      <sheetName val="Gráficos"/>
      <sheetName val="TESTE_XLW1"/>
      <sheetName val="Depositos_judiciais1"/>
      <sheetName val="Variance_Summary1"/>
      <sheetName val="Arrend_1"/>
      <sheetName val="De_Para1"/>
      <sheetName val="Faturamento_AMM1"/>
      <sheetName val="Descrição_Status1"/>
      <sheetName val="T_Bond_e_EMBI_+1"/>
      <sheetName val="TJLP_e_CDI1"/>
      <sheetName val="Damodaran_(Beta_e_ERP)1"/>
      <sheetName val="Lista_Validação_de_Dados1"/>
      <sheetName val="Mapa_Comercial1"/>
      <sheetName val="RESPOSTA_NESTLE"/>
      <sheetName val="Solicitação_de_documentos"/>
      <sheetName val="Aux__Listbox1"/>
      <sheetName val="GSA_Matrix1"/>
      <sheetName val="Data_Table1"/>
      <sheetName val="Novo_Mix_abrasce"/>
      <sheetName val="Descontos_-_Análises"/>
      <sheetName val="Inadimplência_-_Análises"/>
      <sheetName val="Categorias_Abrasce"/>
      <sheetName val="Comercial_3"/>
      <sheetName val="Inadimplência_II"/>
      <sheetName val="Fluxo_de_Caixa"/>
      <sheetName val="Tax_Guide"/>
      <sheetName val="Size_Premium"/>
      <sheetName val="DM_Beta17"/>
      <sheetName val="set96"/>
      <sheetName val="Premissas Gerais"/>
      <sheetName val="Capa"/>
      <sheetName val="Comentários"/>
      <sheetName val="Sumário"/>
      <sheetName val="Sumário Executivo &gt;"/>
      <sheetName val="Resumo Operacional"/>
      <sheetName val="Resumo Financeiro"/>
      <sheetName val="FLCX Aluguel Sintético"/>
      <sheetName val="FLCX Condominio Sintético"/>
      <sheetName val="FLCX FPP Sintético"/>
      <sheetName val="Operacional &gt;"/>
      <sheetName val="Vendas"/>
      <sheetName val="Aluguel"/>
      <sheetName val="Destaques vendas"/>
      <sheetName val="Analítico"/>
      <sheetName val="Custo de Ocupação"/>
      <sheetName val="Condomínio"/>
      <sheetName val="FPP"/>
      <sheetName val="Estacionamento"/>
      <sheetName val="Financeiro&gt;"/>
      <sheetName val="Descontos"/>
      <sheetName val="Inadimplência I"/>
      <sheetName val="Subsídios"/>
      <sheetName val="Comercial&gt;"/>
      <sheetName val="Comercial"/>
      <sheetName val="Comercial 2"/>
      <sheetName val="Infos Compl.&gt;"/>
      <sheetName val="Marketing I"/>
      <sheetName val="Marketing II"/>
      <sheetName val="Marketing III"/>
      <sheetName val="Marketing IV"/>
      <sheetName val="Glossário"/>
      <sheetName val="Glossary"/>
      <sheetName val="Apêndice &gt;"/>
      <sheetName val="FLCX Aluguel 2019"/>
      <sheetName val="FLCX Cond 2019"/>
      <sheetName val="FLCX FPP 2019"/>
      <sheetName val="FLCX Estacionamento Sintético"/>
      <sheetName val="Vacância"/>
      <sheetName val="CTO &amp; Vendas"/>
      <sheetName val="Inputs &gt;"/>
      <sheetName val="Orçamento"/>
      <sheetName val="planilha leasing mall"/>
      <sheetName val="Check"/>
      <sheetName val="Language"/>
      <sheetName val="FLCX Aluguel Real"/>
      <sheetName val="FLCX Cond Real"/>
      <sheetName val="FLCX FPP Real"/>
      <sheetName val="Vendas Lado a Lado"/>
      <sheetName val="Aluguel Lado a Lado"/>
      <sheetName val="Complementar Lado a Lado"/>
      <sheetName val="Al.% Lado a Lado"/>
      <sheetName val="EC Lado a Lado"/>
      <sheetName val="FPP Lado a Lado"/>
      <sheetName val="Mapa de Faturamento"/>
      <sheetName val="Receita de Encargo_V_S"/>
      <sheetName val="Suporte&gt;"/>
      <sheetName val="Vendas - Análises"/>
      <sheetName val="Aluguel - Análises"/>
      <sheetName val="Al.% - Análises"/>
      <sheetName val="Complementar - Análises"/>
      <sheetName val="FPP - Análises"/>
      <sheetName val="EC - Análises"/>
      <sheetName val="CTO - Análises"/>
      <sheetName val="MF - Análises"/>
      <sheetName val="Comercial - Análises"/>
      <sheetName val="Encargo Empreendedor - Análises"/>
      <sheetName val="Macro_Início"/>
      <sheetName val="FLCX Aluguel 2018"/>
      <sheetName val="FLCX Aluguel Orç"/>
      <sheetName val="FLCX Aluguel Forecast"/>
      <sheetName val="FLCX Cond 2018"/>
      <sheetName val="FLCX Cond Orç"/>
      <sheetName val="FLCX Cond Forecast"/>
      <sheetName val="FLCX FPP 2018"/>
      <sheetName val="FLCX FPP Orç"/>
      <sheetName val="FLCX FPP Forecast"/>
      <sheetName val="Aux. Gráficos"/>
      <sheetName val="AE_Reference_Sheet"/>
      <sheetName val="Stand_Abrasce"/>
      <sheetName val="Categorias_Abrasce_(7)"/>
      <sheetName val="BEA Opened"/>
      <sheetName val="Mapa_Comercial2"/>
      <sheetName val="Lista_Validação_de_Dados2"/>
      <sheetName val="Aux__Listbox2"/>
      <sheetName val="GSA_Matrix2"/>
      <sheetName val="Faturamento_AMM2"/>
      <sheetName val="Descrição_Status2"/>
      <sheetName val="Novo_Mix_abrasce1"/>
      <sheetName val="Descontos_-_Análises1"/>
      <sheetName val="Inadimplência_-_Análises1"/>
      <sheetName val="Categorias_Abrasce1"/>
      <sheetName val="Comercial_31"/>
      <sheetName val="TESTE_XLW2"/>
      <sheetName val="T_Bond_e_EMBI_+2"/>
      <sheetName val="TJLP_e_CDI2"/>
      <sheetName val="Damodaran_(Beta_e_ERP)2"/>
      <sheetName val="Depositos_judiciais2"/>
      <sheetName val="De_Para2"/>
      <sheetName val="Data_Table2"/>
      <sheetName val="Variance_Summary2"/>
      <sheetName val="Arrend_2"/>
      <sheetName val="RESPOSTA_NESTLE1"/>
      <sheetName val="Fluxo_de_Caixa1"/>
      <sheetName val="Solicitação_de_documentos1"/>
      <sheetName val="Tax_Guide1"/>
      <sheetName val="Size_Premium1"/>
      <sheetName val="DM_Beta171"/>
      <sheetName val="Inadimplência_II1"/>
      <sheetName val="AE_Reference_Sheet1"/>
      <sheetName val="Stand_Abrasce1"/>
      <sheetName val="Categorias_Abrasce_(7)1"/>
      <sheetName val="#REF"/>
      <sheetName val="cmi_sp"/>
      <sheetName val="análise"/>
      <sheetName val="DePara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1172020"/>
      <sheetName val="balanco_uru"/>
      <sheetName val="Branch Accounts"/>
      <sheetName val="2015 Daily Products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SEMANAS"/>
      <sheetName val="Jequitiba"/>
      <sheetName val="WACC_VLT"/>
      <sheetName val="WACC_GRU"/>
      <sheetName val="Index_(2)"/>
      <sheetName val="2__Entity_Names"/>
      <sheetName val="EMPR_MOV"/>
      <sheetName val="Plan1"/>
      <sheetName val="Aux"/>
      <sheetName val="op079907"/>
      <sheetName val="Imob custo"/>
      <sheetName val="MOD 7 SIN"/>
      <sheetName val="GERREAL"/>
      <sheetName val="Macro_2003"/>
      <sheetName val="Input"/>
      <sheetName val="0000000"/>
      <sheetName val="MENS_I_P"/>
      <sheetName val="listas"/>
      <sheetName val="Parametrização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Empréstimos em BRL"/>
      <sheetName val="Base_Informacoes"/>
      <sheetName val="maesa"/>
      <sheetName val="Parametros"/>
      <sheetName val="Plano de Contas"/>
      <sheetName val="TESTE_XLW3"/>
      <sheetName val="Depositos_judiciais3"/>
      <sheetName val="Variance_Summary3"/>
      <sheetName val="Arrend_3"/>
      <sheetName val="De_Para3"/>
      <sheetName val="RESPOSTA_NESTLE2"/>
      <sheetName val="Faturamento_AMM3"/>
      <sheetName val="Descrição_Status3"/>
      <sheetName val="T_Bond_e_EMBI_+3"/>
      <sheetName val="TJLP_e_CDI3"/>
      <sheetName val="Damodaran_(Beta_e_ERP)3"/>
      <sheetName val="Lista_Validação_de_Dados3"/>
      <sheetName val="Mapa_Comercial3"/>
      <sheetName val="Solicitação_de_documentos2"/>
      <sheetName val="Aux__Listbox3"/>
      <sheetName val="GSA_Matrix3"/>
      <sheetName val="Data_Table3"/>
      <sheetName val="Fluxo_de_Caixa2"/>
      <sheetName val="Novo_Mix_abrasce2"/>
      <sheetName val="Descontos_-_Análises2"/>
      <sheetName val="Inadimplência_-_Análises2"/>
      <sheetName val="Categorias_Abrasce2"/>
      <sheetName val="Comercial_32"/>
      <sheetName val="Inadimplência_II2"/>
      <sheetName val="Tax_Guide2"/>
      <sheetName val="Size_Premium2"/>
      <sheetName val="DM_Beta172"/>
      <sheetName val="Index_(2)1"/>
      <sheetName val="WACC_VLT1"/>
      <sheetName val="WACC_GRU1"/>
      <sheetName val="2015_Budget"/>
      <sheetName val="Total_station_cost"/>
      <sheetName val="Calculo_global_Depr_"/>
      <sheetName val="Apl_Financ_"/>
      <sheetName val="HANDLING_-_VALORE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Reconciliações_Setembro"/>
      <sheetName val="AE_Reference_Sheet2"/>
      <sheetName val="Categorias_Abrasce_(7)2"/>
      <sheetName val="Stand_Abrasce2"/>
      <sheetName val="Sumário_Executivo_&gt;"/>
      <sheetName val="Resumo_Operacional"/>
      <sheetName val="Resumo_Financeiro"/>
      <sheetName val="FLCX_Aluguel_Sintético"/>
      <sheetName val="FLCX_Condominio_Sintético"/>
      <sheetName val="FLCX_FPP_Sintético"/>
      <sheetName val="Operacional_&gt;"/>
      <sheetName val="Destaques_vendas"/>
      <sheetName val="Custo_de_Ocupação"/>
      <sheetName val="Inadimplência_I"/>
      <sheetName val="Comercial_2"/>
      <sheetName val="Infos_Compl_&gt;"/>
      <sheetName val="Marketing_I"/>
      <sheetName val="Marketing_II"/>
      <sheetName val="Marketing_III"/>
      <sheetName val="Marketing_IV"/>
      <sheetName val="Apêndice_&gt;"/>
      <sheetName val="FLCX_Aluguel_2019"/>
      <sheetName val="FLCX_Cond_2019"/>
      <sheetName val="FLCX_FPP_2019"/>
      <sheetName val="FLCX_Estacionamento_Sintético"/>
      <sheetName val="CTO_&amp;_Vendas"/>
      <sheetName val="Inputs_&gt;"/>
      <sheetName val="planilha_leasing_mall"/>
      <sheetName val="FLCX_Aluguel_Real"/>
      <sheetName val="FLCX_Cond_Real"/>
      <sheetName val="FLCX_FPP_Real"/>
      <sheetName val="Vendas_Lado_a_Lado"/>
      <sheetName val="Aluguel_Lado_a_Lado"/>
      <sheetName val="Complementar_Lado_a_Lado"/>
      <sheetName val="Al_%_Lado_a_Lado"/>
      <sheetName val="EC_Lado_a_Lado"/>
      <sheetName val="FPP_Lado_a_Lado"/>
      <sheetName val="Mapa_de_Faturamento"/>
      <sheetName val="Receita_de_Encargo_V_S"/>
      <sheetName val="Vendas_-_Análises"/>
      <sheetName val="Aluguel_-_Análises"/>
      <sheetName val="Al_%_-_Análises"/>
      <sheetName val="Complementar_-_Análises"/>
      <sheetName val="FPP_-_Análises"/>
      <sheetName val="EC_-_Análises"/>
      <sheetName val="CTO_-_Análises"/>
      <sheetName val="MF_-_Análises"/>
      <sheetName val="Comercial_-_Análises"/>
      <sheetName val="Encargo_Empreendedor_-_Análises"/>
      <sheetName val="FLCX_Aluguel_2018"/>
      <sheetName val="FLCX_Aluguel_Orç"/>
      <sheetName val="FLCX_Aluguel_Forecast"/>
      <sheetName val="FLCX_Cond_2018"/>
      <sheetName val="FLCX_Cond_Orç"/>
      <sheetName val="FLCX_Cond_Forecast"/>
      <sheetName val="FLCX_FPP_2018"/>
      <sheetName val="FLCX_FPP_Orç"/>
      <sheetName val="FLCX_FPP_Forecast"/>
      <sheetName val="Aux__Gráficos"/>
      <sheetName val="2__Entity_Names1"/>
      <sheetName val="BEA_Opened"/>
      <sheetName val="Balanço_Geral"/>
      <sheetName val="GSB_-_PWR_Gestão"/>
      <sheetName val="Validações_de_dados"/>
      <sheetName val="07_08_2019_(3)"/>
      <sheetName val="07_08_2019_(2)"/>
      <sheetName val="07_08_2019"/>
      <sheetName val="05_08_2019_PWR"/>
      <sheetName val="20_05_2019_PWR"/>
      <sheetName val="15_07_2019_Floripa"/>
      <sheetName val="31_05_2019_Floripa"/>
      <sheetName val="Premissas_Gerais"/>
      <sheetName val="Branch_Accounts"/>
      <sheetName val="2015_Daily_Products"/>
      <sheetName val="12_2018"/>
      <sheetName val="Imob_custo"/>
      <sheetName val="Mapa_Comercial5"/>
      <sheetName val="Lista_Validação_de_Dados5"/>
      <sheetName val="Aux__Listbox5"/>
      <sheetName val="GSA_Matrix5"/>
      <sheetName val="Faturamento_AMM5"/>
      <sheetName val="Descrição_Status5"/>
      <sheetName val="Novo_Mix_abrasce4"/>
      <sheetName val="Descontos_-_Análises4"/>
      <sheetName val="Inadimplência_-_Análises4"/>
      <sheetName val="Categorias_Abrasce4"/>
      <sheetName val="Comercial_34"/>
      <sheetName val="TESTE_XLW5"/>
      <sheetName val="T_Bond_e_EMBI_+5"/>
      <sheetName val="TJLP_e_CDI5"/>
      <sheetName val="Damodaran_(Beta_e_ERP)5"/>
      <sheetName val="Depositos_judiciais5"/>
      <sheetName val="De_Para5"/>
      <sheetName val="Data_Table5"/>
      <sheetName val="Variance_Summary5"/>
      <sheetName val="Arrend_5"/>
      <sheetName val="RESPOSTA_NESTLE4"/>
      <sheetName val="Fluxo_de_Caixa4"/>
      <sheetName val="Solicitação_de_documentos4"/>
      <sheetName val="Tax_Guide4"/>
      <sheetName val="Size_Premium4"/>
      <sheetName val="DM_Beta174"/>
      <sheetName val="Inadimplência_II4"/>
      <sheetName val="AE_Reference_Sheet4"/>
      <sheetName val="Stand_Abrasce4"/>
      <sheetName val="Categorias_Abrasce_(7)4"/>
      <sheetName val="WACC_VLT2"/>
      <sheetName val="WACC_GRU2"/>
      <sheetName val="Index_(2)2"/>
      <sheetName val="Mapa_Comercial4"/>
      <sheetName val="Lista_Validação_de_Dados4"/>
      <sheetName val="Aux__Listbox4"/>
      <sheetName val="GSA_Matrix4"/>
      <sheetName val="Faturamento_AMM4"/>
      <sheetName val="Descrição_Status4"/>
      <sheetName val="Novo_Mix_abrasce3"/>
      <sheetName val="Descontos_-_Análises3"/>
      <sheetName val="Inadimplência_-_Análises3"/>
      <sheetName val="Categorias_Abrasce3"/>
      <sheetName val="Comercial_33"/>
      <sheetName val="TESTE_XLW4"/>
      <sheetName val="T_Bond_e_EMBI_+4"/>
      <sheetName val="TJLP_e_CDI4"/>
      <sheetName val="Damodaran_(Beta_e_ERP)4"/>
      <sheetName val="Depositos_judiciais4"/>
      <sheetName val="De_Para4"/>
      <sheetName val="Data_Table4"/>
      <sheetName val="Variance_Summary4"/>
      <sheetName val="Arrend_4"/>
      <sheetName val="RESPOSTA_NESTLE3"/>
      <sheetName val="Fluxo_de_Caixa3"/>
      <sheetName val="Solicitação_de_documentos3"/>
      <sheetName val="Tax_Guide3"/>
      <sheetName val="Size_Premium3"/>
      <sheetName val="DM_Beta173"/>
      <sheetName val="Inadimplência_II3"/>
      <sheetName val="AE_Reference_Sheet3"/>
      <sheetName val="Stand_Abrasce3"/>
      <sheetName val="Categorias_Abrasce_(7)3"/>
      <sheetName val="UTILITÁRIOS"/>
      <sheetName val="salaries"/>
      <sheetName val="LE2 2007"/>
      <sheetName val=" pib brasil ( r$ de 1996 )"/>
      <sheetName val="References"/>
      <sheetName val="Assumptions"/>
      <sheetName val="A"/>
      <sheetName val="B - Book Principal"/>
      <sheetName val="C - Premissas"/>
      <sheetName val="MDF"/>
      <sheetName val="D - Backup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SALP0102"/>
      <sheetName val="P&amp;L CCI Detail"/>
      <sheetName val="Drawdown"/>
      <sheetName val="Debt Service"/>
      <sheetName val="Outputs"/>
      <sheetName val="Excluídos.1"/>
      <sheetName val="Collection"/>
      <sheetName val="Total Labor Lawsuits"/>
      <sheetName val="Total Labor Escritórios"/>
      <sheetName val="Labor lawsuits audiências"/>
      <sheetName val="Casos Encerrados"/>
      <sheetName val="Casos Estacionamento "/>
      <sheetName val="Banco de Dados"/>
      <sheetName val="reporte iva feb09"/>
      <sheetName val="não renováveis"/>
      <sheetName val="Quadrimestral PCP CORPORATIVO"/>
      <sheetName val="drop down list"/>
      <sheetName val="drill down box"/>
      <sheetName val="Validation Tab"/>
      <sheetName val="Lista"/>
      <sheetName val="Ref"/>
      <sheetName val="TD"/>
      <sheetName val="Orç Anual 2019"/>
      <sheetName val="pousadas"/>
      <sheetName val="sales vol."/>
      <sheetName val="Resumo"/>
      <sheetName val="21"/>
      <sheetName val="18"/>
      <sheetName val="base"/>
      <sheetName val="blue life_trabalhista"/>
      <sheetName val="Tabs"/>
      <sheetName val="planilha4"/>
      <sheetName val="Folha - Orçamento"/>
      <sheetName val="DIC"/>
      <sheetName val="Cos and taxes"/>
      <sheetName val="CASH 2000"/>
      <sheetName val="DUCOCO"/>
      <sheetName val="Mapa de movimentação "/>
      <sheetName val="EastBrae"/>
      <sheetName val="pl atual"/>
      <sheetName val="Links"/>
      <sheetName val="C3W Summary(1)"/>
      <sheetName val="Mapa_Comercial6"/>
      <sheetName val="Lista_Validação_de_Dados6"/>
      <sheetName val="Aux__Listbox6"/>
      <sheetName val="GSA_Matrix6"/>
      <sheetName val="Faturamento_AMM6"/>
      <sheetName val="Descrição_Status6"/>
      <sheetName val="Novo_Mix_abrasce5"/>
      <sheetName val="Descontos_-_Análises5"/>
      <sheetName val="Inadimplência_-_Análises5"/>
      <sheetName val="Categorias_Abrasce5"/>
      <sheetName val="Comercial_35"/>
      <sheetName val="TESTE_XLW6"/>
      <sheetName val="T_Bond_e_EMBI_+6"/>
      <sheetName val="TJLP_e_CDI6"/>
      <sheetName val="Damodaran_(Beta_e_ERP)6"/>
      <sheetName val="Depositos_judiciais6"/>
      <sheetName val="De_Para6"/>
      <sheetName val="Data_Table6"/>
      <sheetName val="Variance_Summary6"/>
      <sheetName val="Arrend_6"/>
      <sheetName val="RESPOSTA_NESTLE5"/>
      <sheetName val="Fluxo_de_Caixa5"/>
      <sheetName val="Solicitação_de_documentos5"/>
      <sheetName val="Tax_Guide5"/>
      <sheetName val="Size_Premium5"/>
      <sheetName val="DM_Beta175"/>
      <sheetName val="Inadimplência_II5"/>
      <sheetName val="AE_Reference_Sheet5"/>
      <sheetName val="Stand_Abrasce5"/>
      <sheetName val="Categorias_Abrasce_(7)5"/>
      <sheetName val="WACC_VLT3"/>
      <sheetName val="WACC_GRU3"/>
      <sheetName val="Index_(2)3"/>
      <sheetName val="B_-_Book_Principal"/>
      <sheetName val="C_-_Premissas"/>
      <sheetName val="D_-_Backup"/>
      <sheetName val="documento fi"/>
      <sheetName val="DIF FAT FEV 01"/>
      <sheetName val="dre_acum_mensal"/>
      <sheetName val="4-rcdp-2001"/>
      <sheetName val="Mapa_Comercial7"/>
      <sheetName val="Lista_Validação_de_Dados7"/>
      <sheetName val="Aux__Listbox7"/>
      <sheetName val="GSA_Matrix7"/>
      <sheetName val="Faturamento_AMM7"/>
      <sheetName val="Descrição_Status7"/>
      <sheetName val="Novo_Mix_abrasce6"/>
      <sheetName val="Descontos_-_Análises6"/>
      <sheetName val="Inadimplência_-_Análises6"/>
      <sheetName val="Categorias_Abrasce6"/>
      <sheetName val="Comercial_36"/>
      <sheetName val="TESTE_XLW7"/>
      <sheetName val="T_Bond_e_EMBI_+7"/>
      <sheetName val="TJLP_e_CDI7"/>
      <sheetName val="Damodaran_(Beta_e_ERP)7"/>
      <sheetName val="Depositos_judiciais7"/>
      <sheetName val="De_Para7"/>
      <sheetName val="Data_Table7"/>
      <sheetName val="Variance_Summary7"/>
      <sheetName val="Arrend_7"/>
      <sheetName val="RESPOSTA_NESTLE6"/>
      <sheetName val="Fluxo_de_Caixa6"/>
      <sheetName val="Solicitação_de_documentos6"/>
      <sheetName val="Tax_Guide6"/>
      <sheetName val="Size_Premium6"/>
      <sheetName val="DM_Beta176"/>
      <sheetName val="Inadimplência_II6"/>
      <sheetName val="AE_Reference_Sheet6"/>
      <sheetName val="Stand_Abrasce6"/>
      <sheetName val="Categorias_Abrasce_(7)6"/>
      <sheetName val="WACC_VLT4"/>
      <sheetName val="WACC_GRU4"/>
      <sheetName val="Index_(2)4"/>
      <sheetName val="Sumário_Executivo_&gt;1"/>
      <sheetName val="Resumo_Operacional1"/>
      <sheetName val="Resumo_Financeiro1"/>
      <sheetName val="FLCX_Aluguel_Sintético1"/>
      <sheetName val="FLCX_Condominio_Sintético1"/>
      <sheetName val="FLCX_FPP_Sintético1"/>
      <sheetName val="Operacional_&gt;1"/>
      <sheetName val="Destaques_vendas1"/>
      <sheetName val="Custo_de_Ocupação1"/>
      <sheetName val="Inadimplência_I1"/>
      <sheetName val="Comercial_21"/>
      <sheetName val="Infos_Compl_&gt;1"/>
      <sheetName val="Marketing_I1"/>
      <sheetName val="Marketing_II1"/>
      <sheetName val="Marketing_III1"/>
      <sheetName val="Marketing_IV1"/>
      <sheetName val="Apêndice_&gt;1"/>
      <sheetName val="FLCX_Aluguel_20191"/>
      <sheetName val="FLCX_Cond_20191"/>
      <sheetName val="FLCX_FPP_20191"/>
      <sheetName val="FLCX_Estacionamento_Sintético1"/>
      <sheetName val="CTO_&amp;_Vendas1"/>
      <sheetName val="Inputs_&gt;1"/>
      <sheetName val="planilha_leasing_mall1"/>
      <sheetName val="FLCX_Aluguel_Real1"/>
      <sheetName val="FLCX_Cond_Real1"/>
      <sheetName val="FLCX_FPP_Real1"/>
      <sheetName val="Vendas_Lado_a_Lado1"/>
      <sheetName val="Aluguel_Lado_a_Lado1"/>
      <sheetName val="Complementar_Lado_a_Lado1"/>
      <sheetName val="Al_%_Lado_a_Lado1"/>
      <sheetName val="EC_Lado_a_Lado1"/>
      <sheetName val="FPP_Lado_a_Lado1"/>
      <sheetName val="Mapa_de_Faturamento1"/>
      <sheetName val="Receita_de_Encargo_V_S1"/>
      <sheetName val="Vendas_-_Análises1"/>
      <sheetName val="Aluguel_-_Análises1"/>
      <sheetName val="Al_%_-_Análises1"/>
      <sheetName val="Complementar_-_Análises1"/>
      <sheetName val="FPP_-_Análises1"/>
      <sheetName val="EC_-_Análises1"/>
      <sheetName val="CTO_-_Análises1"/>
      <sheetName val="MF_-_Análises1"/>
      <sheetName val="Comercial_-_Análises1"/>
      <sheetName val="Encargo_Empreendedor_-_Análise1"/>
      <sheetName val="FLCX_Aluguel_20181"/>
      <sheetName val="FLCX_Aluguel_Orç1"/>
      <sheetName val="FLCX_Aluguel_Forecast1"/>
      <sheetName val="FLCX_Cond_20181"/>
      <sheetName val="FLCX_Cond_Orç1"/>
      <sheetName val="FLCX_Cond_Forecast1"/>
      <sheetName val="FLCX_FPP_20181"/>
      <sheetName val="FLCX_FPP_Orç1"/>
      <sheetName val="FLCX_FPP_Forecast1"/>
      <sheetName val="Aux__Gráficos1"/>
      <sheetName val="2__Entity_Names2"/>
      <sheetName val="2015_Budget1"/>
      <sheetName val="Total_station_cost1"/>
      <sheetName val="Calculo_global_Depr_1"/>
      <sheetName val="Apl_Financ_1"/>
      <sheetName val="HANDLING_-_VALORES1"/>
      <sheetName val="Movimentação_AF_20041"/>
      <sheetName val="Movimentação_AF_20051"/>
      <sheetName val="Movimentação_AF_20061"/>
      <sheetName val="Mov__Aplic__Financeira_31_10_01"/>
      <sheetName val="Mov__Aplic__Financeira_31_12_01"/>
      <sheetName val="Reconciliações_Setembro1"/>
      <sheetName val="12_20181"/>
      <sheetName val="Imob_custo1"/>
      <sheetName val="BEA_Opened1"/>
      <sheetName val="Branch_Accounts1"/>
      <sheetName val="2015_Daily_Products1"/>
      <sheetName val="Premissas_Gerais1"/>
      <sheetName val="Balanço_Geral1"/>
      <sheetName val="GSB_-_PWR_Gestão1"/>
      <sheetName val="Validações_de_dados1"/>
      <sheetName val="07_08_2019_(3)1"/>
      <sheetName val="07_08_2019_(2)1"/>
      <sheetName val="07_08_20191"/>
      <sheetName val="05_08_2019_PWR1"/>
      <sheetName val="20_05_2019_PWR1"/>
      <sheetName val="15_07_2019_Floripa1"/>
      <sheetName val="31_05_2019_Floripa1"/>
      <sheetName val="Total_Labor_Lawsuits"/>
      <sheetName val="Total_Labor_Escritórios"/>
      <sheetName val="Labor_lawsuits_audiências"/>
      <sheetName val="Casos_Encerrados"/>
      <sheetName val="Casos_Estacionamento_"/>
      <sheetName val="Banco_de_Dados"/>
      <sheetName val="reporte_iva_feb09"/>
      <sheetName val="Mapa_Comercial8"/>
      <sheetName val="Lista_Validação_de_Dados8"/>
      <sheetName val="Aux__Listbox8"/>
      <sheetName val="GSA_Matrix8"/>
      <sheetName val="Faturamento_AMM8"/>
      <sheetName val="Descrição_Status8"/>
      <sheetName val="Novo_Mix_abrasce7"/>
      <sheetName val="Descontos_-_Análises7"/>
      <sheetName val="Inadimplência_-_Análises7"/>
      <sheetName val="Categorias_Abrasce7"/>
      <sheetName val="Comercial_37"/>
      <sheetName val="TESTE_XLW8"/>
      <sheetName val="T_Bond_e_EMBI_+8"/>
      <sheetName val="TJLP_e_CDI8"/>
      <sheetName val="Damodaran_(Beta_e_ERP)8"/>
      <sheetName val="Depositos_judiciais8"/>
      <sheetName val="De_Para8"/>
      <sheetName val="Data_Table8"/>
      <sheetName val="Variance_Summary8"/>
      <sheetName val="Arrend_8"/>
      <sheetName val="RESPOSTA_NESTLE7"/>
      <sheetName val="Fluxo_de_Caixa7"/>
      <sheetName val="Solicitação_de_documentos7"/>
      <sheetName val="Tax_Guide7"/>
      <sheetName val="Size_Premium7"/>
      <sheetName val="DM_Beta177"/>
      <sheetName val="Inadimplência_II7"/>
      <sheetName val="AE_Reference_Sheet7"/>
      <sheetName val="Stand_Abrasce7"/>
      <sheetName val="Categorias_Abrasce_(7)7"/>
      <sheetName val="WACC_VLT5"/>
      <sheetName val="WACC_GRU5"/>
      <sheetName val="Index_(2)5"/>
      <sheetName val="Sumário_Executivo_&gt;2"/>
      <sheetName val="Resumo_Operacional2"/>
      <sheetName val="Resumo_Financeiro2"/>
      <sheetName val="FLCX_Aluguel_Sintético2"/>
      <sheetName val="FLCX_Condominio_Sintético2"/>
      <sheetName val="FLCX_FPP_Sintético2"/>
      <sheetName val="Operacional_&gt;2"/>
      <sheetName val="Destaques_vendas2"/>
      <sheetName val="Custo_de_Ocupação2"/>
      <sheetName val="Inadimplência_I2"/>
      <sheetName val="Comercial_22"/>
      <sheetName val="Infos_Compl_&gt;2"/>
      <sheetName val="Marketing_I2"/>
      <sheetName val="Marketing_II2"/>
      <sheetName val="Marketing_III2"/>
      <sheetName val="Marketing_IV2"/>
      <sheetName val="Apêndice_&gt;2"/>
      <sheetName val="FLCX_Aluguel_20192"/>
      <sheetName val="FLCX_Cond_20192"/>
      <sheetName val="FLCX_FPP_20192"/>
      <sheetName val="FLCX_Estacionamento_Sintético2"/>
      <sheetName val="CTO_&amp;_Vendas2"/>
      <sheetName val="Inputs_&gt;2"/>
      <sheetName val="planilha_leasing_mall2"/>
      <sheetName val="FLCX_Aluguel_Real2"/>
      <sheetName val="FLCX_Cond_Real2"/>
      <sheetName val="FLCX_FPP_Real2"/>
      <sheetName val="Vendas_Lado_a_Lado2"/>
      <sheetName val="Aluguel_Lado_a_Lado2"/>
      <sheetName val="Complementar_Lado_a_Lado2"/>
      <sheetName val="Al_%_Lado_a_Lado2"/>
      <sheetName val="EC_Lado_a_Lado2"/>
      <sheetName val="FPP_Lado_a_Lado2"/>
      <sheetName val="Mapa_de_Faturamento2"/>
      <sheetName val="Receita_de_Encargo_V_S2"/>
      <sheetName val="Vendas_-_Análises2"/>
      <sheetName val="Aluguel_-_Análises2"/>
      <sheetName val="Al_%_-_Análises2"/>
      <sheetName val="Complementar_-_Análises2"/>
      <sheetName val="FPP_-_Análises2"/>
      <sheetName val="EC_-_Análises2"/>
      <sheetName val="CTO_-_Análises2"/>
      <sheetName val="MF_-_Análises2"/>
      <sheetName val="Comercial_-_Análises2"/>
      <sheetName val="Encargo_Empreendedor_-_Análise2"/>
      <sheetName val="FLCX_Aluguel_20182"/>
      <sheetName val="FLCX_Aluguel_Orç2"/>
      <sheetName val="FLCX_Aluguel_Forecast2"/>
      <sheetName val="FLCX_Cond_20182"/>
      <sheetName val="FLCX_Cond_Orç2"/>
      <sheetName val="FLCX_Cond_Forecast2"/>
      <sheetName val="FLCX_FPP_20182"/>
      <sheetName val="FLCX_FPP_Orç2"/>
      <sheetName val="FLCX_FPP_Forecast2"/>
      <sheetName val="Aux__Gráficos2"/>
      <sheetName val="2__Entity_Names3"/>
      <sheetName val="2015_Budget2"/>
      <sheetName val="Total_station_cost2"/>
      <sheetName val="Calculo_global_Depr_2"/>
      <sheetName val="Apl_Financ_2"/>
      <sheetName val="HANDLING_-_VALORES2"/>
      <sheetName val="Movimentação_AF_20042"/>
      <sheetName val="Movimentação_AF_20052"/>
      <sheetName val="Movimentação_AF_20062"/>
      <sheetName val="Mov__Aplic__Financeira_31_10_02"/>
      <sheetName val="Mov__Aplic__Financeira_31_12_02"/>
      <sheetName val="Reconciliações_Setembro2"/>
      <sheetName val="12_20182"/>
      <sheetName val="Imob_custo2"/>
      <sheetName val="BEA_Opened2"/>
      <sheetName val="Branch_Accounts2"/>
      <sheetName val="2015_Daily_Products2"/>
      <sheetName val="Premissas_Gerais2"/>
      <sheetName val="Balanço_Geral2"/>
      <sheetName val="GSB_-_PWR_Gestão2"/>
      <sheetName val="Validações_de_dados2"/>
      <sheetName val="07_08_2019_(3)2"/>
      <sheetName val="07_08_2019_(2)2"/>
      <sheetName val="07_08_20192"/>
      <sheetName val="05_08_2019_PWR2"/>
      <sheetName val="20_05_2019_PWR2"/>
      <sheetName val="15_07_2019_Floripa2"/>
      <sheetName val="31_05_2019_Floripa2"/>
      <sheetName val="B_-_Book_Principal1"/>
      <sheetName val="C_-_Premissas1"/>
      <sheetName val="D_-_Backup1"/>
      <sheetName val="Total_Labor_Lawsuits1"/>
      <sheetName val="Total_Labor_Escritórios1"/>
      <sheetName val="Labor_lawsuits_audiências1"/>
      <sheetName val="Casos_Encerrados1"/>
      <sheetName val="Casos_Estacionamento_1"/>
      <sheetName val="Banco_de_Dados1"/>
      <sheetName val="reporte_iva_feb091"/>
      <sheetName val="blue_life_trabalhista"/>
      <sheetName val="dados blp"/>
      <sheetName val="ACUMULADO ATÉ OUTUBRO"/>
      <sheetName val="ICATU"/>
      <sheetName val="G.G"/>
      <sheetName val="hcb2001"/>
      <sheetName val="2030"/>
      <sheetName val="2031"/>
      <sheetName val="cif-3"/>
      <sheetName val="TELEMIG_209"/>
      <sheetName val="DIVIN_ARAXA"/>
      <sheetName val="ANALI2001"/>
      <sheetName val="User Guide"/>
      <sheetName val="Menu"/>
      <sheetName val="Macro Tables"/>
      <sheetName val="Print"/>
      <sheetName val="Exec Summ Grph"/>
      <sheetName val="Model"/>
      <sheetName val="AIRC"/>
      <sheetName val="Gross_Rec"/>
      <sheetName val="Total CA QREs"/>
      <sheetName val="CA Wages"/>
      <sheetName val="QRE's"/>
      <sheetName val="QRE Charts"/>
      <sheetName val="Comparison"/>
      <sheetName val="Sens_Model"/>
      <sheetName val="Sens_G_R"/>
      <sheetName val="Sen_GR_Factor"/>
      <sheetName val="Sens_QRE's"/>
      <sheetName val="Sens_QRE_Factor"/>
      <sheetName val="ORIGINAL CLAIM"/>
      <sheetName val="PHASE II"/>
      <sheetName val="B_U_3"/>
      <sheetName val="B_U_4"/>
      <sheetName val="B_U_5"/>
      <sheetName val="B_U_6"/>
      <sheetName val="B_U_7"/>
      <sheetName val="B_U_8"/>
      <sheetName val="B_U_9"/>
      <sheetName val="B_U_10"/>
      <sheetName val="B_U_11"/>
      <sheetName val="B_U_12"/>
      <sheetName val="B_U_13"/>
      <sheetName val="B_U_14"/>
      <sheetName val="B_U_15"/>
      <sheetName val="B_U_16"/>
      <sheetName val="B_U_17"/>
      <sheetName val="B_U_18"/>
      <sheetName val="B_U_19"/>
      <sheetName val="B_U_20"/>
      <sheetName val="B_U_21"/>
      <sheetName val="B_U_22"/>
      <sheetName val="B_U_23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CONS-GS"/>
      <sheetName val="Non-Statistical Sampling Master"/>
      <sheetName val="índices"/>
      <sheetName val="Cadastro_Contas"/>
      <sheetName val="sps"/>
      <sheetName val="Dados Gerenciais"/>
      <sheetName val="documento_fi"/>
      <sheetName val="Total"/>
      <sheetName val="Analises"/>
      <sheetName val="Balances"/>
      <sheetName val="Link"/>
      <sheetName val="COTAÇÕES"/>
      <sheetName val="oldSEG"/>
      <sheetName val="Quarters"/>
      <sheetName val="n"/>
      <sheetName val="Carteira- Dez21"/>
      <sheetName val="Q2_4"/>
      <sheetName val="Q2_15"/>
      <sheetName val="Q2_2"/>
      <sheetName val="Depositos_judiciais9"/>
      <sheetName val="TESTE_XLW9"/>
      <sheetName val="Variance_Summary9"/>
      <sheetName val="Arrend_9"/>
      <sheetName val="RESPOSTA_NESTLE8"/>
      <sheetName val="De_Para9"/>
      <sheetName val="Faturamento_AMM9"/>
      <sheetName val="Descrição_Status9"/>
      <sheetName val="T_Bond_e_EMBI_+9"/>
      <sheetName val="TJLP_e_CDI9"/>
      <sheetName val="Damodaran_(Beta_e_ERP)9"/>
      <sheetName val="Mapa_Comercial9"/>
      <sheetName val="Lista_Validação_de_Dados9"/>
      <sheetName val="Aux__Listbox9"/>
      <sheetName val="GSA_Matrix9"/>
      <sheetName val="Data_Table9"/>
      <sheetName val="Novo_Mix_abrasce8"/>
      <sheetName val="Tax_Guide8"/>
      <sheetName val="Size_Premium8"/>
      <sheetName val="DM_Beta178"/>
      <sheetName val="Fluxo_de_Caixa8"/>
      <sheetName val="Descontos_-_Análises8"/>
      <sheetName val="Inadimplência_-_Análises8"/>
      <sheetName val="Categorias_Abrasce8"/>
      <sheetName val="Comercial_38"/>
      <sheetName val="Solicitação_de_documentos8"/>
      <sheetName val="Index_(2)6"/>
      <sheetName val="Inadimplência_II8"/>
      <sheetName val="WACC_VLT6"/>
      <sheetName val="WACC_GRU6"/>
      <sheetName val="AE_Reference_Sheet8"/>
      <sheetName val="Categorias_Abrasce_(7)8"/>
      <sheetName val="Sumário_Executivo_&gt;3"/>
      <sheetName val="Resumo_Operacional3"/>
      <sheetName val="Resumo_Financeiro3"/>
      <sheetName val="FLCX_Aluguel_Sintético3"/>
      <sheetName val="FLCX_Condominio_Sintético3"/>
      <sheetName val="FLCX_FPP_Sintético3"/>
      <sheetName val="Operacional_&gt;3"/>
      <sheetName val="Destaques_vendas3"/>
      <sheetName val="Custo_de_Ocupação3"/>
      <sheetName val="Inadimplência_I3"/>
      <sheetName val="Comercial_23"/>
      <sheetName val="Infos_Compl_&gt;3"/>
      <sheetName val="Marketing_I3"/>
      <sheetName val="Marketing_II3"/>
      <sheetName val="Marketing_III3"/>
      <sheetName val="Marketing_IV3"/>
      <sheetName val="Apêndice_&gt;3"/>
      <sheetName val="FLCX_Aluguel_20193"/>
      <sheetName val="FLCX_Cond_20193"/>
      <sheetName val="FLCX_FPP_20193"/>
      <sheetName val="FLCX_Estacionamento_Sintético3"/>
      <sheetName val="CTO_&amp;_Vendas3"/>
      <sheetName val="Inputs_&gt;3"/>
      <sheetName val="planilha_leasing_mall3"/>
      <sheetName val="FLCX_Aluguel_Real3"/>
      <sheetName val="FLCX_Cond_Real3"/>
      <sheetName val="FLCX_FPP_Real3"/>
      <sheetName val="Vendas_Lado_a_Lado3"/>
      <sheetName val="Aluguel_Lado_a_Lado3"/>
      <sheetName val="Complementar_Lado_a_Lado3"/>
      <sheetName val="Al_%_Lado_a_Lado3"/>
      <sheetName val="EC_Lado_a_Lado3"/>
      <sheetName val="FPP_Lado_a_Lado3"/>
      <sheetName val="Mapa_de_Faturamento3"/>
      <sheetName val="Receita_de_Encargo_V_S3"/>
      <sheetName val="Vendas_-_Análises3"/>
      <sheetName val="Aluguel_-_Análises3"/>
      <sheetName val="Al_%_-_Análises3"/>
      <sheetName val="Complementar_-_Análises3"/>
      <sheetName val="FPP_-_Análises3"/>
      <sheetName val="EC_-_Análises3"/>
      <sheetName val="CTO_-_Análises3"/>
      <sheetName val="MF_-_Análises3"/>
      <sheetName val="Comercial_-_Análises3"/>
      <sheetName val="Encargo_Empreendedor_-_Análise3"/>
      <sheetName val="FLCX_Aluguel_20183"/>
      <sheetName val="FLCX_Aluguel_Orç3"/>
      <sheetName val="FLCX_Aluguel_Forecast3"/>
      <sheetName val="FLCX_Cond_20183"/>
      <sheetName val="FLCX_Cond_Orç3"/>
      <sheetName val="FLCX_Cond_Forecast3"/>
      <sheetName val="FLCX_FPP_20183"/>
      <sheetName val="FLCX_FPP_Orç3"/>
      <sheetName val="FLCX_FPP_Forecast3"/>
      <sheetName val="Aux__Gráficos3"/>
      <sheetName val="Stand_Abrasce8"/>
      <sheetName val="2__Entity_Names4"/>
      <sheetName val="2015_Budget3"/>
      <sheetName val="Total_station_cost3"/>
      <sheetName val="Calculo_global_Depr_3"/>
      <sheetName val="Apl_Financ_3"/>
      <sheetName val="HANDLING_-_VALORES3"/>
      <sheetName val="Movimentação_AF_20043"/>
      <sheetName val="Movimentação_AF_20053"/>
      <sheetName val="Movimentação_AF_20063"/>
      <sheetName val="Mov__Aplic__Financeira_31_10_03"/>
      <sheetName val="Mov__Aplic__Financeira_31_12_03"/>
      <sheetName val="Reconciliações_Setembro3"/>
      <sheetName val="BEA_Opened3"/>
      <sheetName val="Balanço_Geral3"/>
      <sheetName val="GSB_-_PWR_Gestão3"/>
      <sheetName val="Validações_de_dados3"/>
      <sheetName val="07_08_2019_(3)3"/>
      <sheetName val="07_08_2019_(2)3"/>
      <sheetName val="07_08_20193"/>
      <sheetName val="05_08_2019_PWR3"/>
      <sheetName val="20_05_2019_PWR3"/>
      <sheetName val="15_07_2019_Floripa3"/>
      <sheetName val="31_05_2019_Floripa3"/>
      <sheetName val="Branch_Accounts3"/>
      <sheetName val="2015_Daily_Products3"/>
      <sheetName val="Premissas_Gerais3"/>
      <sheetName val="12_20183"/>
      <sheetName val="Imob_custo3"/>
      <sheetName val="Plano_de_Contas"/>
      <sheetName val="_pib_brasil_(_r$_de_1996_)"/>
      <sheetName val="Empréstimos_em_BRL"/>
      <sheetName val="MOD_7_SIN"/>
      <sheetName val="LE2_2007"/>
      <sheetName val="I_-_Índice"/>
      <sheetName val="II_-_Folha_de_Pontos"/>
      <sheetName val="III_-_Work_Program"/>
      <sheetName val="IV_-_Balancete_Ano_N"/>
      <sheetName val="V_-_Imobilizado"/>
      <sheetName val="V_-_Mais_E_Menos_Valias"/>
      <sheetName val="VI_-_RB_Millennium_bcp"/>
      <sheetName val="VI_-_RB_Banco_BCP"/>
      <sheetName val="VI_-_RB_Montepio"/>
      <sheetName val="VI_-_RB_Credit_Card"/>
      <sheetName val="VII_-_Contas_a_Pagar"/>
      <sheetName val="VIII_-_Contas_a_receber"/>
      <sheetName val="XIV_-_Acrescimos"/>
      <sheetName val="XV_-__Diferimentos"/>
      <sheetName val="XI_-_Financiamentos"/>
      <sheetName val="XVI_-_Indie_Campers_Group"/>
      <sheetName val="XVII_-_Rent_Deposits"/>
      <sheetName val="B_-_Book_Principal2"/>
      <sheetName val="C_-_Premissas2"/>
      <sheetName val="D_-_Backup2"/>
      <sheetName val="Excluídos_1"/>
      <sheetName val="Quadrimestral_PCP_CORPORATIVO"/>
      <sheetName val="drop_down_list"/>
      <sheetName val="drill_down_box"/>
      <sheetName val="Validation_Tab"/>
      <sheetName val="P&amp;L_CCI_Detail"/>
      <sheetName val="Debt_Service"/>
      <sheetName val="não_renováveis"/>
      <sheetName val="Orç_Anual_2019"/>
      <sheetName val="sales_vol_"/>
      <sheetName val="Banco_de_Dados2"/>
      <sheetName val="CASH_2000"/>
      <sheetName val="Cos_and_taxes"/>
      <sheetName val="Mapa_de_movimentação_"/>
      <sheetName val="Total_Labor_Lawsuits2"/>
      <sheetName val="Total_Labor_Escritórios2"/>
      <sheetName val="Labor_lawsuits_audiências2"/>
      <sheetName val="Casos_Encerrados2"/>
      <sheetName val="Casos_Estacionamento_2"/>
      <sheetName val="reporte_iva_feb092"/>
      <sheetName val="DIF_FAT_FEV_01"/>
      <sheetName val="blue_life_trabalhista1"/>
      <sheetName val="Folha_-_Orçamento"/>
      <sheetName val="documento_fi1"/>
      <sheetName val="C3W_Summary(1)"/>
      <sheetName val="pl_atual"/>
      <sheetName val="G_G"/>
      <sheetName val="dados_blp"/>
      <sheetName val="ACUMULADO_ATÉ_OUTUBRO"/>
      <sheetName val="Carteira-_Dez21"/>
      <sheetName val="Non-Statistical_Sampling_Master"/>
      <sheetName val="Dados_Gerenciais"/>
      <sheetName val="User_Guide"/>
      <sheetName val="Macro_Tables"/>
      <sheetName val="Exec_Summ_Grph"/>
      <sheetName val="Total_CA_QREs"/>
      <sheetName val="CA_Wages"/>
      <sheetName val="QRE_Charts"/>
      <sheetName val="ORIGINAL_CLAIM"/>
      <sheetName val="PHASE_II"/>
      <sheetName val="Hist_Inputs"/>
      <sheetName val="LLIQUIDO"/>
      <sheetName val="INDICES"/>
      <sheetName val="LUCROBRUTO"/>
      <sheetName val="DUPL.PRAZO.LIQUIDEZ"/>
      <sheetName val="MEX95IB"/>
      <sheetName val="MOLDES PPT"/>
      <sheetName val="Annual CF"/>
      <sheetName val="Escala de Plantão"/>
      <sheetName val="Base Dados"/>
      <sheetName val="DRE_Brasil"/>
      <sheetName val="Cash CCI Detail"/>
      <sheetName val="B-1.1.2 cta 216106"/>
      <sheetName val="gen-2"/>
      <sheetName val="k1"/>
      <sheetName val="input income statement"/>
      <sheetName val="MOV.IMOBILIZADO"/>
      <sheetName val="Renovações"/>
      <sheetName val="provisões.."/>
      <sheetName val="roll sfr"/>
      <sheetName val="Cross Bdr"/>
      <sheetName val="varpel"/>
      <sheetName val="Projeção Issuer"/>
      <sheetName val="p"/>
      <sheetName val="COMPENSAÇÃO"/>
      <sheetName val="WORKD"/>
      <sheetName val="eberle"/>
      <sheetName val="Variables"/>
      <sheetName val="Cenários"/>
      <sheetName val="deprestos"/>
      <sheetName val="transpctr"/>
      <sheetName val="CADASTROS"/>
      <sheetName val="Base_SBI Jun16"/>
      <sheetName val="Table"/>
      <sheetName val="descrições"/>
      <sheetName val="B1 - Composição"/>
      <sheetName val="Base Info"/>
      <sheetName val="49415003-01"/>
      <sheetName val="22410001-01 02"/>
      <sheetName val="18845006-03"/>
      <sheetName val="49415003-02"/>
      <sheetName val="LALURA"/>
      <sheetName val="LALUR"/>
      <sheetName val="18845006-05"/>
      <sheetName val="49420902-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  <sheetName val="Total"/>
      <sheetName val="Stock Price"/>
      <sheetName val="consolidated"/>
      <sheetName val="Teste de Baixas"/>
      <sheetName val="P&amp;L"/>
      <sheetName val="Revisão ativo-passivo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ales vol.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Input"/>
      <sheetName val="ProForma"/>
      <sheetName val="__FDSCACHE__"/>
      <sheetName val="Output"/>
      <sheetName val="Sheet1"/>
      <sheetName val="RESUMO"/>
      <sheetName val="oldSEG"/>
      <sheetName val="Quarters"/>
      <sheetName val="GERAL"/>
      <sheetName val="Imob custo"/>
      <sheetName val="Imob dep"/>
      <sheetName val="RLP"/>
      <sheetName val="Equity Main"/>
      <sheetName val="Delhaize"/>
      <sheetName val="company"/>
      <sheetName val="c10cc13"/>
      <sheetName val="Produtos"/>
      <sheetName val="Serie Fat"/>
      <sheetName val="Serie Filial"/>
      <sheetName val="Country Risk"/>
      <sheetName val="sales vol_"/>
      <sheetName val="Revisão ativo-passivo"/>
      <sheetName val="XREF"/>
      <sheetName val="consolidated"/>
      <sheetName val="brazil risk"/>
      <sheetName val="Gráfico"/>
      <sheetName val="salesvol_"/>
      <sheetName val="Stock Price"/>
      <sheetName val="#REF"/>
      <sheetName val="Model"/>
      <sheetName val="Corp Overhead"/>
      <sheetName val="MWC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Corp_Overhead"/>
      <sheetName val="20_year1"/>
      <sheetName val="ten_year1"/>
      <sheetName val="5_year1"/>
      <sheetName val="Trading_Summary1"/>
      <sheetName val="Expected_European_Inv1"/>
      <sheetName val="Diageo's_investor_base1"/>
      <sheetName val="sales_vol_1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Corp_Overhead1"/>
      <sheetName val="20_year2"/>
      <sheetName val="ten_year2"/>
      <sheetName val="5_year2"/>
      <sheetName val="Trading_Summary2"/>
      <sheetName val="Expected_European_Inv2"/>
      <sheetName val="Diageo's_investor_base2"/>
      <sheetName val="sales_vol_2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Corp_Overhead2"/>
      <sheetName val="CAPEX"/>
      <sheetName val="Parameters"/>
      <sheetName val="INPUT ACQUIROR DATA"/>
      <sheetName val="Transaction-Assum."/>
      <sheetName val="Assumptions"/>
      <sheetName val="Data"/>
      <sheetName val="All Sum"/>
      <sheetName val="9-05046L"/>
      <sheetName val="P&amp;L --KRON"/>
      <sheetName val="P&amp;L -BayTV"/>
      <sheetName val="Summary Financials"/>
      <sheetName val="Input Projected"/>
      <sheetName val="Amarillo I-40-HI"/>
      <sheetName val="LTM"/>
      <sheetName val="CREDIT STATS"/>
      <sheetName val="DropZone"/>
      <sheetName val="Cover"/>
      <sheetName val="Prop Model"/>
      <sheetName val="MktAss"/>
      <sheetName val="BS Rollup"/>
      <sheetName val="Total Firm"/>
      <sheetName val="Data for 03-04 Base Position"/>
      <sheetName val="215002"/>
      <sheetName val="Office Data"/>
      <sheetName val="Financials"/>
      <sheetName val="Stock_Price"/>
      <sheetName val="sales_vol_3"/>
      <sheetName val="Stock_Price1"/>
      <sheetName val="sales_vol_4"/>
      <sheetName val="sales_vol_5"/>
      <sheetName val="Stock_Price2"/>
      <sheetName val="BTMAIN"/>
      <sheetName val="OPER"/>
      <sheetName val="Summary"/>
      <sheetName val="RSR"/>
      <sheetName val="Weeklies"/>
      <sheetName val="Opportunity Codes "/>
      <sheetName val="2013"/>
      <sheetName val="Sheet2"/>
      <sheetName val="Sheet3"/>
      <sheetName val="Sheet4"/>
      <sheetName val="Total"/>
      <sheetName val="CAPITAL PH1"/>
      <sheetName val=" BUDGET P1"/>
      <sheetName val="A"/>
      <sheetName val="EuroInputs"/>
      <sheetName val="Financial Overview ShortProfile"/>
      <sheetName val="CUS Image"/>
      <sheetName val="Divisional Model"/>
      <sheetName val="Amort Sched"/>
      <sheetName val="Comps"/>
      <sheetName val="Qcharts"/>
      <sheetName val="Charts"/>
      <sheetName val="Offers G&amp;C"/>
      <sheetName val="Offers GE"/>
      <sheetName val="Offers GS"/>
      <sheetName val="Offers MC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Corp_Overhead3"/>
      <sheetName val="INPUT_ACQUIROR_DATA"/>
      <sheetName val="Transaction-Assum_"/>
      <sheetName val="All_Sum"/>
      <sheetName val="Input_Projected"/>
      <sheetName val="Summary_Financials"/>
      <sheetName val="P&amp;L_--KRON"/>
      <sheetName val="P&amp;L_-BayTV"/>
      <sheetName val="Amarillo_I-40-HI"/>
      <sheetName val="CREDIT_STATS"/>
      <sheetName val="Total_Firm"/>
      <sheetName val="Data_for_03-04_Base_Position"/>
      <sheetName val="Prop_Model"/>
      <sheetName val="BS_Rollup"/>
      <sheetName val="Office_Data"/>
      <sheetName val="Divisional_Model"/>
      <sheetName val="sales_vol_7"/>
      <sheetName val="Stock_Price3"/>
      <sheetName val="Opportunity_Codes_"/>
      <sheetName val="CAPITAL_PH1"/>
      <sheetName val="_BUDGET_P1"/>
      <sheetName val="Financial_Overview_ShortProfile"/>
      <sheetName val="CUS_Image"/>
      <sheetName val="BEV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13199"/>
      <sheetName val="Market"/>
      <sheetName val="category uomo"/>
      <sheetName val="contr partner"/>
      <sheetName val="EO-IVA"/>
      <sheetName val="OVIESSE"/>
      <sheetName val="codici - partime"/>
      <sheetName val="Bloom Links"/>
      <sheetName val="PNGOil"/>
      <sheetName val="stmcro"/>
      <sheetName val="Codes"/>
      <sheetName val="NCV Pivot"/>
      <sheetName val="exec sum (ncv) (3)"/>
      <sheetName val="SINTESI"/>
      <sheetName val="Data Control"/>
      <sheetName val="2009-2010 Sales Target2.2"/>
      <sheetName val="Act vs. Budget"/>
      <sheetName val="Balanço reunião"/>
      <sheetName val="GEN Inputs"/>
      <sheetName val="Inputs"/>
      <sheetName val="Detail"/>
      <sheetName val="DO NOT USE PRINT! Macro Data"/>
      <sheetName val="Main Menu"/>
      <sheetName val="Instructions"/>
      <sheetName val="Profit &amp; Loss"/>
      <sheetName val="Quarterly rates"/>
      <sheetName val="Master Price"/>
      <sheetName val="mes"/>
      <sheetName val="R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 Image"/>
      <sheetName val="CUSImage"/>
      <sheetName val="sales vol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MANAIS"/>
      <sheetName val="CONS_AT"/>
      <sheetName val="CONS_ PA"/>
      <sheetName val=" CONS_DRE"/>
      <sheetName val="DASA"/>
      <sheetName val="Plan4"/>
      <sheetName val="CDPI"/>
      <sheetName val="CRMI"/>
      <sheetName val="LSF"/>
      <sheetName val="DASA BRASIL PREVILAB"/>
      <sheetName val="CYTOLAB"/>
      <sheetName val="CIENTIFICA"/>
      <sheetName val="DASAFC"/>
      <sheetName val="DASARE"/>
      <sheetName val="CERPE"/>
      <sheetName val="ELIMINAÇÕES"/>
      <sheetName val="ELIMINAÇÕES I"/>
      <sheetName val="ELIMINAÇÕES CERPE"/>
      <sheetName val="Análises"/>
      <sheetName val="DRE - 3T11"/>
      <sheetName val="DRE - MOV. 4T11"/>
      <sheetName val="DRE 12 COL POR EMPRESA"/>
      <sheetName val="DRE - Movimento 03-2012"/>
      <sheetName val="DRE - 02-2012"/>
      <sheetName val="MEP"/>
      <sheetName val="Analises"/>
      <sheetName val="Eliminações antigo"/>
      <sheetName val="ATIVO_12 COL"/>
      <sheetName val="PASSIVO_12 COL"/>
      <sheetName val="DRE 12 COL CONSOLIDADO"/>
      <sheetName val="PATRIMONIAL"/>
      <sheetName val="Indices de Liquidez"/>
      <sheetName val="BD"/>
      <sheetName val="DAPAR"/>
      <sheetName val="MD1- combinado"/>
      <sheetName val="EMPRESAS DE MD1"/>
      <sheetName val="MD1"/>
      <sheetName val="Relação Estabelecimentos"/>
      <sheetName val="passage CATTC"/>
      <sheetName val="Css"/>
      <sheetName val="Rpn"/>
      <sheetName val="Rps"/>
      <sheetName val="Sjp"/>
      <sheetName val="Ubl"/>
      <sheetName val="Total Lojas Sergio"/>
      <sheetName val="Valores Classificação"/>
      <sheetName val="M_Empréstimos"/>
      <sheetName val="Plan2"/>
      <sheetName val="LISTS"/>
      <sheetName val="Espagne"/>
      <sheetName val="Belgique"/>
      <sheetName val="Hyper Esp"/>
      <sheetName val="Super Esp"/>
      <sheetName val="C&amp;C Fr"/>
      <sheetName val="Proxi Fr"/>
      <sheetName val="Super Fr"/>
      <sheetName val="Grece"/>
      <sheetName val="Hyper Bel)"/>
      <sheetName val="Hyper Gr"/>
      <sheetName val="Hyper It"/>
      <sheetName val="Italie"/>
      <sheetName val="Pologne"/>
      <sheetName val="Potugal"/>
      <sheetName val="Slovaquie"/>
      <sheetName val="Suisse"/>
      <sheetName val="Super Bel"/>
      <sheetName val="Super Gr"/>
      <sheetName val="Super It"/>
      <sheetName val="RepTch"/>
      <sheetName val="Turquie"/>
      <sheetName val="Sheet1"/>
      <sheetName val="DAD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otech Mkt Cap"/>
      <sheetName val="progenics pv"/>
      <sheetName val="graphdialog"/>
      <sheetName val="PTIE"/>
      <sheetName val="PGNX PV"/>
      <sheetName val="S&amp;P Credit Ratings"/>
      <sheetName val="Working"/>
      <sheetName val="Biotech"/>
      <sheetName val="Menu"/>
      <sheetName val="Acomp"/>
      <sheetName val="#REF"/>
      <sheetName val="ESTATICO"/>
      <sheetName val="amort"/>
      <sheetName val="bs"/>
      <sheetName val="dcf"/>
      <sheetName val="is"/>
      <sheetName val="cf"/>
      <sheetName val="cover"/>
      <sheetName val="debt_interest"/>
      <sheetName val="dep"/>
      <sheetName val="equity"/>
      <sheetName val="ops"/>
      <sheetName val="IoE"/>
      <sheetName val="macro"/>
      <sheetName val="other"/>
      <sheetName val="tax"/>
      <sheetName val="wc"/>
      <sheetName val="Colour Hierarchy"/>
      <sheetName val="LookupR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P&amp;L"/>
      <sheetName val="consolidated"/>
      <sheetName val="EuroInputs"/>
      <sheetName val="A.2"/>
      <sheetName val="company"/>
      <sheetName val="sales vol."/>
      <sheetName val="CUS Image"/>
      <sheetName val="Quarters"/>
      <sheetName val="MLP IPO Yields vs MLP Index"/>
      <sheetName val="oldS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ldSEG"/>
      <sheetName val="Quarters"/>
      <sheetName val="CUS Image"/>
      <sheetName val="SNAP"/>
      <sheetName val="IncStmt"/>
      <sheetName val="New Q Seg"/>
      <sheetName val="Q-Charts"/>
      <sheetName val="cashflow"/>
      <sheetName val="BalSht"/>
      <sheetName val="1Q"/>
      <sheetName val="2Q"/>
      <sheetName val="3Q"/>
      <sheetName val="4Q"/>
      <sheetName val="chart"/>
      <sheetName val="acquisitions"/>
      <sheetName val="PE-TREND"/>
      <sheetName val="Dairy Q"/>
      <sheetName val="Assets-roa"/>
      <sheetName val="vege"/>
      <sheetName val="Checks"/>
      <sheetName val="2Qx"/>
      <sheetName val="3Qx"/>
      <sheetName val="4Qx"/>
      <sheetName val="sales vol."/>
      <sheetName val="Total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1"/>
      <sheetName val="Plan2"/>
      <sheetName val="Plan3"/>
      <sheetName val="INDIPORT"/>
      <sheetName val="TABPG076"/>
      <sheetName val="TABPG081"/>
      <sheetName val="Feriados"/>
      <sheetName val="Indicador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"/>
      <sheetName val="Prod. UP Def"/>
      <sheetName val="ResumoGeral"/>
      <sheetName val="Resumo "/>
      <sheetName val="Prod. Mensal Def "/>
      <sheetName val="Produção"/>
      <sheetName val="Prod. M. Horária"/>
      <sheetName val="P. F. Intervalo"/>
      <sheetName val="Em Percurso"/>
      <sheetName val="P.Manut.Prog."/>
      <sheetName val="P.Avaria"/>
      <sheetName val="P.Peças"/>
      <sheetName val="P.Diversos"/>
      <sheetName val="H.Trabalhadas"/>
      <sheetName val="Disponibilidade"/>
      <sheetName val="Utilização"/>
      <sheetName val="P.Manut 07-16 S4"/>
      <sheetName val="P.Manut 08-16 SNA"/>
      <sheetName val="P.Manut 07-16 BRBS"/>
      <sheetName val="Jan"/>
      <sheetName val="Fev"/>
      <sheetName val="Mar"/>
      <sheetName val="Abr"/>
      <sheetName val="Maio"/>
      <sheetName val="Jun"/>
      <sheetName val="Jul"/>
      <sheetName val="Ago"/>
      <sheetName val="Set"/>
      <sheetName val="Out"/>
      <sheetName val="Nov"/>
      <sheetName val="Dez"/>
      <sheetName val="ACUMULADO ANO 2001"/>
      <sheetName val="Prod. UP Def (2)"/>
      <sheetName val="Padrões"/>
      <sheetName val="CAD"/>
      <sheetName val="Plan1"/>
      <sheetName val="7Relatório do mês de Julho  - 2"/>
      <sheetName val="MEX95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les vol.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"/>
      <sheetName val="Prod. UP Def"/>
      <sheetName val="ResumoGeral"/>
      <sheetName val="Resumo "/>
      <sheetName val="Prod. Mensal Def "/>
      <sheetName val="Produção"/>
      <sheetName val="Prod. M. Horária"/>
      <sheetName val="P. F. Intervalo"/>
      <sheetName val="Em Percurso"/>
      <sheetName val="P.Manut.Prog."/>
      <sheetName val="P.Avaria"/>
      <sheetName val="P.Peças"/>
      <sheetName val="P.Diversos"/>
      <sheetName val="H.Trabalhadas"/>
      <sheetName val="Disponibilidade"/>
      <sheetName val="Utilização"/>
      <sheetName val="P.Manut 07-16 S4"/>
      <sheetName val="P.Manut 08-16 SNA"/>
      <sheetName val="P.Manut 07-16 BRBS"/>
      <sheetName val="Jan"/>
      <sheetName val="Fev"/>
      <sheetName val="Mar"/>
      <sheetName val="Abr"/>
      <sheetName val="Maio"/>
      <sheetName val="Jun"/>
      <sheetName val="Jul"/>
      <sheetName val="Ago"/>
      <sheetName val="Set"/>
      <sheetName val="Out"/>
      <sheetName val="Nov"/>
      <sheetName val="Dez"/>
      <sheetName val="ACUMULADO ANO 2001"/>
      <sheetName val="Prod. UP Def (2)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vestimentos"/>
      <sheetName val="Equiv. Patrimonial"/>
      <sheetName val="Contas a Pg "/>
      <sheetName val="Demais Ativos"/>
      <sheetName val="Demais Passivos"/>
      <sheetName val="Imob. Exteriores"/>
      <sheetName val="Imobilizado Itautec"/>
      <sheetName val="MP_Variação_Imobilizado"/>
      <sheetName val="AQUISIÇÕES_2009"/>
      <sheetName val="Estoques"/>
      <sheetName val="Dividendos e JCP"/>
      <sheetName val="Amortiz. Financ"/>
      <sheetName val="Outros Custos"/>
      <sheetName val="Remun Financ"/>
      <sheetName val="  Impostos Consol"/>
      <sheetName val="Impostos Control"/>
      <sheetName val="PDD"/>
      <sheetName val="Desp. Pessoal II Control"/>
      <sheetName val="Desp. Pessoal II Consol"/>
      <sheetName val="Desp. com pessoal I"/>
      <sheetName val="DRE Analyzer"/>
      <sheetName val="DVA"/>
      <sheetName val="BExRepositorySheet"/>
      <sheetName val="Prov e Bx Ativos"/>
      <sheetName val="MUT2005"/>
      <sheetName val="Fluxo"/>
      <sheetName val="RESPUBLIC"/>
      <sheetName val="BALPUBL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adores Econômicos"/>
      <sheetName val="Datas de Divulgação"/>
      <sheetName val="Indicadores Bloomberg"/>
      <sheetName val="BLP"/>
      <sheetName val="Estimativa  IP"/>
      <sheetName val="Tx Juros Efetivas"/>
      <sheetName val="Valor de Mercado"/>
      <sheetName val="Pop. Eco. At."/>
      <sheetName val="Brazil Sovereign"/>
      <sheetName val="Dados BLP"/>
      <sheetName val="Comparativo 99X00"/>
      <sheetName val="base bradesco"/>
      <sheetName val="I. INICIO"/>
      <sheetName val="Resumo (x) Contab. "/>
      <sheetName val="Apoio"/>
      <sheetName val="Infos Empresas"/>
      <sheetName val="MOL"/>
      <sheetName val="Indicadores_Econômicos"/>
      <sheetName val="Datas_de_Divulgação"/>
      <sheetName val="Indicadores_Bloomberg"/>
      <sheetName val="Estimativa__IP"/>
      <sheetName val="Tx_Juros_Efetivas"/>
      <sheetName val="Valor_de_Mercado"/>
      <sheetName val="Pop__Eco__At_"/>
      <sheetName val="Brazil_Sovereign"/>
      <sheetName val="Dados_BLP"/>
      <sheetName val="POA"/>
      <sheetName val="Indicadores_Econômicos1"/>
      <sheetName val="Datas_de_Divulgação1"/>
      <sheetName val="Indicadores_Bloomberg1"/>
      <sheetName val="Estimativa__IP1"/>
      <sheetName val="Tx_Juros_Efetivas1"/>
      <sheetName val="Valor_de_Mercado1"/>
      <sheetName val="Pop__Eco__At_1"/>
      <sheetName val="Brazil_Sovereign1"/>
      <sheetName val="Dados_BLP1"/>
      <sheetName val="Lists"/>
      <sheetName val="ProjectList"/>
      <sheetName val="Indicadores Economicos"/>
      <sheetName val="KF6"/>
      <sheetName val="Share Price 2002"/>
      <sheetName val="base_bradesco"/>
      <sheetName val="Comparativo_99X00"/>
      <sheetName val="AcqIS"/>
      <sheetName val="AcqBSCF"/>
      <sheetName val="validaciones"/>
      <sheetName val="HIST"/>
      <sheetName val="ACUMULADO"/>
      <sheetName val="VOLUME CA"/>
      <sheetName val="De_Para"/>
      <sheetName val="Summary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Gente_gestao"/>
      <sheetName val="CADASTRO"/>
      <sheetName val="TABELAS"/>
      <sheetName val="DIST"/>
      <sheetName val="MALHAD"/>
      <sheetName val="PUXADIA"/>
      <sheetName val="Base PEF"/>
      <sheetName val="MKT_Terr"/>
      <sheetName val="StartSheet"/>
      <sheetName val="Labatt Shares"/>
      <sheetName val="Indicadores_Econômicos2"/>
      <sheetName val="Datas_de_Divulgação2"/>
      <sheetName val="Indicadores_Bloomberg2"/>
      <sheetName val="Estimativa__IP2"/>
      <sheetName val="Tx_Juros_Efetivas2"/>
      <sheetName val="Valor_de_Mercado2"/>
      <sheetName val="Pop__Eco__At_2"/>
      <sheetName val="Dados_BLP2"/>
      <sheetName val="Brazil_Sovereign2"/>
      <sheetName val="Sheet1"/>
      <sheetName val="Balance Fin ajust 2004"/>
      <sheetName val="Indicadores_Economicos"/>
      <sheetName val="Share_Price_2002"/>
      <sheetName val="Dados_Prod"/>
      <sheetName val="Piraí"/>
      <sheetName val="CAD Month"/>
      <sheetName val="CAD YE"/>
      <sheetName val="US Month "/>
      <sheetName val="US Month - Crowns"/>
      <sheetName val="US YE - Crowns"/>
      <sheetName val="bud99"/>
      <sheetName val="Indicadores_Econômicos3"/>
      <sheetName val="Datas_de_Divulgação3"/>
      <sheetName val="Indicadores_Bloomberg3"/>
      <sheetName val="Estimativa__IP3"/>
      <sheetName val="Tx_Juros_Efetivas3"/>
      <sheetName val="Valor_de_Mercado3"/>
      <sheetName val="Pop__Eco__At_3"/>
      <sheetName val="Brazil_Sovereign3"/>
      <sheetName val="Dados_BLP3"/>
      <sheetName val="Share_Price_20021"/>
      <sheetName val="Indicadores_Economicos1"/>
      <sheetName val="VOLUME_CA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Base_PEF"/>
      <sheetName val="Labatt_Shares"/>
      <sheetName val="Balance_Fin_ajust_2004"/>
      <sheetName val="CAD_Month"/>
      <sheetName val="CAD_YE"/>
      <sheetName val="US_Month_"/>
      <sheetName val="US_Month_-_Crowns"/>
      <sheetName val="US_YE_-_Crowns"/>
      <sheetName val="Distribution from BU"/>
      <sheetName val="Sig Cycles_Accts &amp; Processes"/>
      <sheetName val="Effects"/>
      <sheetName val="Lookups"/>
      <sheetName val="Critérios"/>
      <sheetName val="START"/>
      <sheetName val="PLAN DE ACCION"/>
      <sheetName val="Calc 1"/>
      <sheetName val="POCE"/>
      <sheetName val="Base da Datos"/>
      <sheetName val="Tablas"/>
      <sheetName val="Info"/>
      <sheetName val="5.1"/>
      <sheetName val="판매진척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0"/>
      <sheetName val="Peer9"/>
      <sheetName val="Følsomhedsanalyse"/>
      <sheetName val="Indicadores_Econômicos4"/>
      <sheetName val="Datas_de_Divulgação4"/>
      <sheetName val="Indicadores_Bloomberg4"/>
      <sheetName val="Estimativa__IP4"/>
      <sheetName val="Tx_Juros_Efetivas4"/>
      <sheetName val="Valor_de_Mercado4"/>
      <sheetName val="Pop__Eco__At_4"/>
      <sheetName val="Brazil_Sovereign4"/>
      <sheetName val="Dados_BLP4"/>
      <sheetName val="Indicadores_Economicos2"/>
      <sheetName val="Share_Price_20022"/>
      <sheetName val="VOLUME_CA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ase_PEF1"/>
      <sheetName val="Labatt_Shares1"/>
      <sheetName val="Balance_Fin_ajust_20041"/>
      <sheetName val="CAD_Month1"/>
      <sheetName val="CAD_YE1"/>
      <sheetName val="US_Month_1"/>
      <sheetName val="US_Month_-_Crowns1"/>
      <sheetName val="US_YE_-_Crowns1"/>
      <sheetName val="Distribution_from_BU"/>
      <sheetName val="Sig_Cycles_Accts_&amp;_Processes"/>
      <sheetName val="PLAN_DE_ACCION"/>
      <sheetName val="Calc_1"/>
      <sheetName val="Base_da_Datos"/>
      <sheetName val="1.0_LIST"/>
      <sheetName val="PM"/>
      <sheetName val="COTAÇÕES"/>
      <sheetName val="Hidden"/>
      <sheetName val="Orientation"/>
      <sheetName val="Settings"/>
      <sheetName val="Delivery"/>
      <sheetName val="BU Caribe"/>
      <sheetName val="Indicadores_Econômicos5"/>
      <sheetName val="Datas_de_Divulgação5"/>
      <sheetName val="Indicadores_Bloomberg5"/>
      <sheetName val="Estimativa__IP5"/>
      <sheetName val="Tx_Juros_Efetivas5"/>
      <sheetName val="Valor_de_Mercado5"/>
      <sheetName val="Pop__Eco__At_5"/>
      <sheetName val="Brazil_Sovereign5"/>
      <sheetName val="Dados_BLP5"/>
      <sheetName val="Indicadores_Economicos3"/>
      <sheetName val="Share_Price_20023"/>
      <sheetName val="VOLUME_CA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ase_PEF2"/>
      <sheetName val="Labatt_Shares2"/>
      <sheetName val="Balance_Fin_ajust_20042"/>
      <sheetName val="CAD_Month2"/>
      <sheetName val="CAD_YE2"/>
      <sheetName val="US_Month_2"/>
      <sheetName val="US_Month_-_Crowns2"/>
      <sheetName val="US_YE_-_Crowns2"/>
      <sheetName val="Distribution_from_BU1"/>
      <sheetName val="Sig_Cycles_Accts_&amp;_Processes1"/>
      <sheetName val="base_bradesco1"/>
      <sheetName val="Comparativo_99X001"/>
      <sheetName val="PLAN_DE_ACCION1"/>
      <sheetName val="Calc_11"/>
      <sheetName val="Base_da_Datos1"/>
      <sheetName val="5_1"/>
      <sheetName val="Engine"/>
      <sheetName val="Assumptions"/>
      <sheetName val="Validate"/>
      <sheetName val="Financials"/>
      <sheetName val="EI Calc"/>
      <sheetName val="VARPEL"/>
      <sheetName val="BDS"/>
      <sheetName val="Balancete"/>
      <sheetName val="Carteira Ações"/>
      <sheetName val="XREF"/>
      <sheetName val="Lead"/>
      <sheetName val="Dividendos"/>
      <sheetName val="BASE REAL"/>
      <sheetName val="List"/>
      <sheetName val="2RF98 (Mkt 9%)"/>
      <sheetName val="Relatório"/>
      <sheetName val="Parametrização"/>
      <sheetName val="Empresas"/>
      <sheetName val="UNIDADES"/>
      <sheetName val="Details"/>
      <sheetName val="DropDowns"/>
      <sheetName val="Indicadores_Econômicos6"/>
      <sheetName val="Datas_de_Divulgação6"/>
      <sheetName val="Indicadores_Bloomberg6"/>
      <sheetName val="Estimativa__IP6"/>
      <sheetName val="Tx_Juros_Efetivas6"/>
      <sheetName val="Valor_de_Mercado6"/>
      <sheetName val="Pop__Eco__At_6"/>
      <sheetName val="Brazil_Sovereign6"/>
      <sheetName val="Dados_BLP6"/>
      <sheetName val="Indicadores_Economicos4"/>
      <sheetName val="Share_Price_20024"/>
      <sheetName val="VOLUME_CA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ase_PEF3"/>
      <sheetName val="Labatt_Shares3"/>
      <sheetName val="Balance_Fin_ajust_20043"/>
      <sheetName val="CAD_Month3"/>
      <sheetName val="CAD_YE3"/>
      <sheetName val="US_Month_3"/>
      <sheetName val="US_Month_-_Crowns3"/>
      <sheetName val="US_YE_-_Crowns3"/>
      <sheetName val="Sig_Cycles_Accts_&amp;_Processes2"/>
      <sheetName val="Distribution_from_BU2"/>
      <sheetName val="base_bradesco2"/>
      <sheetName val="Comparativo_99X002"/>
      <sheetName val="PLAN_DE_ACCION2"/>
      <sheetName val="Calc_12"/>
      <sheetName val="Base_da_Datos2"/>
      <sheetName val="5_11"/>
      <sheetName val="1_0_LIST"/>
      <sheetName val="BU_Caribe"/>
      <sheetName val="EI_Calc"/>
      <sheetName val="BASE_REAL"/>
      <sheetName val="2RF98_(Mkt_9%)"/>
      <sheetName val="Infos_Empresas"/>
      <sheetName val="B-111"/>
      <sheetName val="AREAINDEX"/>
      <sheetName val="Anex 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enchmark"/>
      <sheetName val="Cálculos"/>
      <sheetName val="Dados BLP"/>
      <sheetName val="CDI Acumulado"/>
      <sheetName val="Bloomberg"/>
      <sheetName val="Holidays"/>
      <sheetName val="BLP"/>
      <sheetName val="Registro"/>
      <sheetName val="Brazil Sovereign"/>
      <sheetName val="I. INICIO"/>
      <sheetName val="Curve"/>
      <sheetName val="Dados_BLP"/>
      <sheetName val="CDI_Acumulado"/>
      <sheetName val="Plano_3G"/>
      <sheetName val="Benchmark BLPV2"/>
      <sheetName val="ACUMULADO"/>
      <sheetName val="Netearnanal"/>
      <sheetName val="Lists"/>
      <sheetName val="CADASTRO"/>
      <sheetName val="TABELAS"/>
      <sheetName val="DIST"/>
      <sheetName val="MALHAD"/>
      <sheetName val="PUXADIA"/>
      <sheetName val="Base PEF"/>
      <sheetName val="MKT_Terr"/>
      <sheetName val="KF6"/>
      <sheetName val="Dados_BLP1"/>
      <sheetName val="CDI_Acumulado1"/>
      <sheetName val="Brazil_Sovereign"/>
      <sheetName val="Benchmark_BLPV2"/>
      <sheetName val="Sheet1"/>
      <sheetName val="COTAÇÕES"/>
      <sheetName val="TARJETAS BLANCAS"/>
      <sheetName val="Dados_BLP2"/>
      <sheetName val="CDI_Acumulado2"/>
      <sheetName val="Brazil_Sovereign1"/>
      <sheetName val="Benchmark_BLPV21"/>
      <sheetName val="Base_PEF"/>
      <sheetName val="TARJETAS_BLANCAS"/>
      <sheetName val="bud99"/>
      <sheetName val="POA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"/>
      <sheetName val="MOL"/>
      <sheetName val="CLASIFICACION DE AI"/>
      <sheetName val="StartSheet"/>
      <sheetName val="Cover &amp; Parameters"/>
      <sheetName val="Dados_BLP3"/>
      <sheetName val="CDI_Acumulado3"/>
      <sheetName val="Brazil_Sovereign2"/>
      <sheetName val="Benchmark_BLPV22"/>
      <sheetName val="Base_PEF1"/>
      <sheetName val="TARJETAS_BLANCAS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CLASIFICACION_DE_AI"/>
      <sheetName val="Cover_&amp;_Parameters"/>
      <sheetName val="Dados_BLP4"/>
      <sheetName val="CDI_Acumulado4"/>
      <sheetName val="Brazil_Sovereign3"/>
      <sheetName val="Benchmark_BLPV23"/>
      <sheetName val="Base_PEF2"/>
      <sheetName val="TARJETAS_BLANCAS2"/>
      <sheetName val="2001_10_Cerv1"/>
      <sheetName val="PLAN_SAC_Cerveja1"/>
      <sheetName val="PLAN_SAC_RefrigeNanc1"/>
      <sheetName val="Relatório_SDG1"/>
      <sheetName val="2001_04_Cerv1"/>
      <sheetName val="Farol_SAC_Cerveja1"/>
      <sheetName val="2001_04_Nanc1"/>
      <sheetName val="Farol_SAC_Refrigenanc1"/>
      <sheetName val="CLASIFICACION_DE_AI1"/>
      <sheetName val="Cover_&amp;_Parameters1"/>
      <sheetName val="Share Price 2002"/>
      <sheetName val="INCOME"/>
      <sheetName val="BDS"/>
      <sheetName val="은행"/>
      <sheetName val="PM"/>
      <sheetName val="dep pre"/>
      <sheetName val="Calc 1"/>
      <sheetName val="Dados_BLP5"/>
      <sheetName val="CDI_Acumulado5"/>
      <sheetName val="Brazil_Sovereign4"/>
      <sheetName val="Benchmark_BLPV24"/>
      <sheetName val="Base_PEF3"/>
      <sheetName val="TARJETAS_BLANCAS3"/>
      <sheetName val="2001_10_Cerv2"/>
      <sheetName val="PLAN_SAC_Cerveja2"/>
      <sheetName val="PLAN_SAC_RefrigeNanc2"/>
      <sheetName val="Relatório_SDG2"/>
      <sheetName val="2001_04_Cerv2"/>
      <sheetName val="Farol_SAC_Cerveja2"/>
      <sheetName val="2001_04_Nanc2"/>
      <sheetName val="Farol_SAC_Refrigenanc2"/>
      <sheetName val="CLASIFICACION_DE_AI2"/>
      <sheetName val="Cover_&amp;_Parameters2"/>
      <sheetName val="Share_Price_2002"/>
      <sheetName val="dep_pre"/>
      <sheetName val="Calc_1"/>
      <sheetName val="Gente_gestao"/>
      <sheetName val="Cost Leadership Capex Inv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studo de Hedges"/>
      <sheetName val="TUDO"/>
      <sheetName val="bal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CUMULADO ANO 2001"/>
      <sheetName val="CAPA"/>
      <sheetName val="Prod. UP Def"/>
      <sheetName val="ResumoGeral"/>
      <sheetName val="Resumo "/>
      <sheetName val="Prod. Mensal Def "/>
      <sheetName val="Produção"/>
      <sheetName val="Prod. M. Horária"/>
      <sheetName val="P. F. Intervalo"/>
      <sheetName val="Em Percurso"/>
      <sheetName val="P.Manut.Prog."/>
      <sheetName val="P.Avaria"/>
      <sheetName val="P.Peças"/>
      <sheetName val="P.Diversos"/>
      <sheetName val="H.Trabalhadas"/>
      <sheetName val="Disponibilidade"/>
      <sheetName val="Utilização"/>
      <sheetName val="P.Manut 07-16 S4"/>
      <sheetName val="P.Manut 08-16 SNA"/>
      <sheetName val="P.Manut 07-16 BRBS"/>
      <sheetName val="Jan"/>
      <sheetName val="Fev"/>
      <sheetName val="Mar"/>
      <sheetName val="Abr"/>
      <sheetName val="Maio"/>
      <sheetName val="Jun"/>
      <sheetName val="Jul"/>
      <sheetName val="Ago"/>
      <sheetName val="Set"/>
      <sheetName val="Out"/>
      <sheetName val="Nov"/>
      <sheetName val="Dez"/>
      <sheetName val="Prod. UP Def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e"/>
      <sheetName val="premi96"/>
      <sheetName val="prebdg97"/>
      <sheetName val="mese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BASE (2)"/>
      <sheetName val="Peso áreas e CPs"/>
      <sheetName val="ELIMINAÇÕES"/>
      <sheetName val="E2.1-PCLD ANEEL 06-2006"/>
      <sheetName val="RIS_TECNICHE"/>
      <sheetName val="ANEEL"/>
      <sheetName val="PÇO"/>
      <sheetName val="SCG"/>
      <sheetName val="Infl"/>
      <sheetName val="Balancete"/>
      <sheetName val="DISCOUNTS DDP"/>
      <sheetName val="Peso Liq."/>
      <sheetName val="E2_1_PCLD ANEEL 06_2006"/>
      <sheetName val="NVision Detail"/>
      <sheetName val="Parcelamento_II_IPI"/>
      <sheetName val="Instituicoes2001_LP"/>
      <sheetName val="Parameters"/>
      <sheetName val="2004"/>
      <sheetName val="TABELLEN"/>
      <sheetName val="WORDTABLE"/>
      <sheetName val="DADOS"/>
      <sheetName val="RESIDUAL"/>
      <sheetName val="Period Week Lookup"/>
      <sheetName val="CDI"/>
      <sheetName val="Sch9  Guarantees"/>
      <sheetName val="MOD 7 SIN"/>
      <sheetName val="P-CLOSED"/>
      <sheetName val="vinc"/>
      <sheetName val="INDICES"/>
      <sheetName val="Tela"/>
      <sheetName val="Deckblatt"/>
      <sheetName val="DATA WP"/>
      <sheetName val="INSSSTERCEIROS"/>
      <sheetName val="GERREAL"/>
      <sheetName val="Macro_2003"/>
      <sheetName val="PACU"/>
      <sheetName val="PH"/>
      <sheetName val="PHReex"/>
      <sheetName val="RAcu"/>
      <sheetName val="RH"/>
      <sheetName val="RRex"/>
      <sheetName val="MATERIAIS - BRG"/>
      <sheetName val="F5 - Saldo final Inventário"/>
      <sheetName val="Sheet1"/>
      <sheetName val="ROs (12)"/>
      <sheetName val="Selic"/>
      <sheetName val="ACT Input (2)"/>
      <sheetName val="BASE"/>
      <sheetName val="CECO"/>
      <sheetName val="FORN"/>
      <sheetName val="p&amp;l1298"/>
      <sheetName val="BASE_(2)"/>
      <sheetName val="Peso_áreas_e_CPs"/>
      <sheetName val="E2_1-PCLD_ANEEL_06-2006"/>
      <sheetName val="Peso_Liq_"/>
      <sheetName val="E2_1_PCLD_ANEEL_06_2006"/>
      <sheetName val="DATA_WP"/>
      <sheetName val="DISCOUNTS_DDP"/>
      <sheetName val="MATERIAIS_-_BRG"/>
      <sheetName val="F5_-_Saldo_final_Inventário"/>
      <sheetName val="Period_Week_Lookup"/>
      <sheetName val="NVision_Detail"/>
      <sheetName val="Sch9__Guarantees"/>
      <sheetName val="ROs_(12)"/>
      <sheetName val="ACT_Input_(2)"/>
      <sheetName val=" PAT"/>
      <sheetName val="Capa"/>
      <sheetName val="p.5"/>
      <sheetName val="M2 - Analise MtM"/>
      <sheetName val="P_Par"/>
      <sheetName val="P_Prt"/>
      <sheetName val="CUSTO-0702"/>
      <sheetName val="FD 3 - Provisão OS  "/>
      <sheetName val="tar. media"/>
      <sheetName val="POCPAS"/>
      <sheetName val="INFO"/>
      <sheetName val="0201"/>
      <sheetName val="BASE_(2)1"/>
      <sheetName val="E2_1-PCLD_ANEEL_06-20061"/>
      <sheetName val="Peso_áreas_e_CPs1"/>
      <sheetName val="Peso_Liq_1"/>
      <sheetName val="E2_1_PCLD_ANEEL_06_20061"/>
      <sheetName val="DISCOUNTS_DDP1"/>
      <sheetName val="NVision_Detail1"/>
      <sheetName val="Period_Week_Lookup1"/>
      <sheetName val="Sch9__Guarantees1"/>
      <sheetName val="DATA_WP1"/>
      <sheetName val="MATERIAIS_-_BRG1"/>
      <sheetName val="F5_-_Saldo_final_Inventário1"/>
      <sheetName val="ROs_(12)1"/>
      <sheetName val="ACT_Input_(2)1"/>
      <sheetName val="MOD_7_SIN"/>
      <sheetName val="_PAT"/>
      <sheetName val="p_5"/>
      <sheetName val="M2_-_Analise_MtM"/>
      <sheetName val="den96"/>
      <sheetName val="Consolidado"/>
      <sheetName val="Control Sheet"/>
      <sheetName val="Res.Autor.Motivo"/>
      <sheetName val="Res.Devolv.Motivo"/>
      <sheetName val="OUVE"/>
      <sheetName val="Base Fiscal Cruzada"/>
      <sheetName val="tab1"/>
      <sheetName val="E 1.2 - Teste de VC"/>
      <sheetName val="Start"/>
      <sheetName val="Tab.Translate"/>
      <sheetName val="ABRIL 2000"/>
      <sheetName val="WWINVQ297"/>
      <sheetName val="#REF"/>
      <sheetName val="PRE0502"/>
      <sheetName val="Combo"/>
      <sheetName val="SERIES CDI E PTAX"/>
      <sheetName val="Macro"/>
      <sheetName val="MOD_7_SIN1"/>
      <sheetName val="tar__media"/>
      <sheetName val="Control_Sheet"/>
      <sheetName val="FD_3_-_Provisão_OS__"/>
      <sheetName val="Res_Autor_Motivo"/>
      <sheetName val="Res_Devolv_Motivo"/>
      <sheetName val="Base_Fiscal_Cruzada"/>
      <sheetName val="Correção"/>
      <sheetName val="DIVIN_ARAXA"/>
      <sheetName val="ce99"/>
      <sheetName val="Kontensalden"/>
      <sheetName val="Gráfico"/>
      <sheetName val="BASE_(2)2"/>
      <sheetName val="Peso_áreas_e_CPs2"/>
      <sheetName val="E2_1-PCLD_ANEEL_06-20062"/>
      <sheetName val="Peso_Liq_2"/>
      <sheetName val="E2_1_PCLD_ANEEL_06_20062"/>
      <sheetName val="DISCOUNTS_DDP2"/>
      <sheetName val="Period_Week_Lookup2"/>
      <sheetName val="NVision_Detail2"/>
      <sheetName val="Sch9__Guarantees2"/>
      <sheetName val="DATA_WP2"/>
      <sheetName val="MATERIAIS_-_BRG2"/>
      <sheetName val="F5_-_Saldo_final_Inventário2"/>
      <sheetName val="ROs_(12)2"/>
      <sheetName val="ACT_Input_(2)2"/>
      <sheetName val="_PAT1"/>
      <sheetName val="p_51"/>
      <sheetName val="M2_-_Analise_MtM1"/>
      <sheetName val="tar__media1"/>
      <sheetName val="BASE_(2)3"/>
      <sheetName val="Peso_áreas_e_CPs3"/>
      <sheetName val="E2_1-PCLD_ANEEL_06-20063"/>
      <sheetName val="Peso_Liq_3"/>
      <sheetName val="E2_1_PCLD_ANEEL_06_20063"/>
      <sheetName val="DISCOUNTS_DDP3"/>
      <sheetName val="Period_Week_Lookup3"/>
      <sheetName val="NVision_Detail3"/>
      <sheetName val="Sch9__Guarantees3"/>
      <sheetName val="DATA_WP3"/>
      <sheetName val="MATERIAIS_-_BRG3"/>
      <sheetName val="F5_-_Saldo_final_Inventário3"/>
      <sheetName val="ROs_(12)3"/>
      <sheetName val="ACT_Input_(2)3"/>
      <sheetName val="MOD_7_SIN2"/>
      <sheetName val="_PAT2"/>
      <sheetName val="p_52"/>
      <sheetName val="M2_-_Analise_MtM2"/>
      <sheetName val="tar__media2"/>
      <sheetName val="PROTEUS"/>
      <sheetName val="Tabelas"/>
      <sheetName val="Bal032002"/>
      <sheetName val="Balanço de Abertura"/>
      <sheetName val="Parameter"/>
      <sheetName val="Lexikon"/>
      <sheetName val="relação"/>
      <sheetName val="Parâmetros"/>
      <sheetName val=""/>
      <sheetName val="3 B"/>
      <sheetName val="Aj. Sazon. N. Recor"/>
      <sheetName val="INTELSAT"/>
      <sheetName val="BASE_(2)4"/>
      <sheetName val="Peso_áreas_e_CPs4"/>
      <sheetName val="E2_1-PCLD_ANEEL_06-20064"/>
      <sheetName val="Peso_Liq_4"/>
      <sheetName val="DISCOUNTS_DDP4"/>
      <sheetName val="E2_1_PCLD_ANEEL_06_20064"/>
      <sheetName val="NVision_Detail4"/>
      <sheetName val="Sch9__Guarantees4"/>
      <sheetName val="Period_Week_Lookup4"/>
      <sheetName val="MOD_7_SIN3"/>
      <sheetName val="_PAT3"/>
      <sheetName val="p_53"/>
      <sheetName val="M2_-_Analise_MtM3"/>
      <sheetName val="DATA_WP4"/>
      <sheetName val="MATERIAIS_-_BRG4"/>
      <sheetName val="F5_-_Saldo_final_Inventário4"/>
      <sheetName val="ROs_(12)4"/>
      <sheetName val="ACT_Input_(2)4"/>
      <sheetName val="FD_3_-_Provisão_OS__1"/>
      <sheetName val="Control_Sheet1"/>
      <sheetName val="tar__media3"/>
      <sheetName val="Res_Autor_Motivo1"/>
      <sheetName val="Res_Devolv_Motivo1"/>
      <sheetName val="Base_Fiscal_Cruzada1"/>
      <sheetName val="E_1_2_-_Teste_de_VC"/>
      <sheetName val="Tab_Translate"/>
      <sheetName val="SERIES_CDI_E_PTAX"/>
      <sheetName val="ABRIL_2000"/>
      <sheetName val="XREF"/>
      <sheetName val="Lead"/>
      <sheetName val="Links"/>
      <sheetName val="ñ faturado"/>
      <sheetName val="Spot"/>
      <sheetName val="Taxes"/>
      <sheetName val="Subtotal Dia"/>
      <sheetName val="PLANT MAINT -  OPER.COST"/>
      <sheetName val="fut_jurosanual"/>
      <sheetName val="fut_juros"/>
      <sheetName val="Swaps"/>
      <sheetName val="fut_dolar"/>
      <sheetName val="ARACATI - CE"/>
      <sheetName val="PERMUTA "/>
      <sheetName val="CETIP"/>
      <sheetName val="Art96.IV.RIPI"/>
      <sheetName val="OTHERS1"/>
      <sheetName val="Resumo"/>
      <sheetName val="Balanço_de_Abertura"/>
      <sheetName val="3_B"/>
      <sheetName val="Aj__Sazon__N__Recor"/>
      <sheetName val="Est"/>
      <sheetName val="BASE_(2)5"/>
      <sheetName val="E2_1-PCLD_ANEEL_06-20065"/>
      <sheetName val="Peso_áreas_e_CPs5"/>
      <sheetName val="Peso_Liq_5"/>
      <sheetName val="E2_1_PCLD_ANEEL_06_20065"/>
      <sheetName val="DISCOUNTS_DDP5"/>
      <sheetName val="NVision_Detail5"/>
      <sheetName val="Sch9__Guarantees5"/>
      <sheetName val="Period_Week_Lookup5"/>
      <sheetName val="DATA_WP5"/>
      <sheetName val="MATERIAIS_-_BRG5"/>
      <sheetName val="F5_-_Saldo_final_Inventário5"/>
      <sheetName val="ROs_(12)5"/>
      <sheetName val="MOD_7_SIN4"/>
      <sheetName val="ACT_Input_(2)5"/>
      <sheetName val="Control_Sheet2"/>
      <sheetName val="_PAT4"/>
      <sheetName val="p_54"/>
      <sheetName val="tar__media4"/>
      <sheetName val="M2_-_Analise_MtM4"/>
      <sheetName val="FD_3_-_Provisão_OS__2"/>
      <sheetName val="Res_Autor_Motivo2"/>
      <sheetName val="Res_Devolv_Motivo2"/>
      <sheetName val="Base_Fiscal_Cruzada2"/>
      <sheetName val="E_1_2_-_Teste_de_VC1"/>
      <sheetName val="Tab_Translate1"/>
      <sheetName val="ABRIL_20001"/>
      <sheetName val="SERIES_CDI_E_PTAX1"/>
      <sheetName val="ñ_faturado"/>
      <sheetName val="Subtotal_Dia"/>
      <sheetName val="ARACATI_-_CE"/>
      <sheetName val="LS"/>
      <sheetName val="TESTE"/>
      <sheetName val="Balanço_de_Abertura1"/>
      <sheetName val="Art96_IV_RIPI"/>
      <sheetName val="3_B1"/>
      <sheetName val="Aj__Sazon__N__Recor1"/>
      <sheetName val="PLANT_MAINT_-__OPER_COST"/>
      <sheetName val="PERMUTA_"/>
      <sheetName val="Sch15 Guarantees"/>
      <sheetName val="Rec. Pillar (DRE Soc.)"/>
      <sheetName val="Emissão de Relatórios"/>
      <sheetName val="COMPPROD"/>
      <sheetName val="Premissas fixas"/>
      <sheetName val="Wheat2008"/>
      <sheetName val="MDB_PRODUTO_FAM"/>
      <sheetName val="BP"/>
      <sheetName val="Entities"/>
      <sheetName val="A4.3-SIGMA"/>
      <sheetName val="ENUM"/>
      <sheetName val="July Forecast Costs"/>
      <sheetName val="Mapping"/>
      <sheetName val="jan"/>
      <sheetName val="HIST"/>
      <sheetName val="OUT02.REPORT"/>
      <sheetName val="WACC_PCM"/>
      <sheetName val="CURRENCY SUMMARY"/>
      <sheetName val="LOV"/>
      <sheetName val="ECOF1097"/>
      <sheetName val="BETA"/>
      <sheetName val="Matriz"/>
      <sheetName val="Società"/>
      <sheetName val="Trade"/>
      <sheetName val="Turkey BM with IVL"/>
      <sheetName val="Lists"/>
      <sheetName val="Settings"/>
      <sheetName val="PRES"/>
      <sheetName val="Parametros"/>
      <sheetName val="PU"/>
      <sheetName val="DMPL"/>
      <sheetName val="Balanço"/>
      <sheetName val="DRE"/>
      <sheetName val="Mapa"/>
      <sheetName val="Ranking Geral - Mês"/>
      <sheetName val="Pato"/>
      <sheetName val="BASE_(2)6"/>
      <sheetName val="Peso_áreas_e_CPs6"/>
      <sheetName val="E2_1-PCLD_ANEEL_06-20066"/>
      <sheetName val="Peso_Liq_6"/>
      <sheetName val="E2_1_PCLD_ANEEL_06_20066"/>
      <sheetName val="DISCOUNTS_DDP6"/>
      <sheetName val="NVision_Detail6"/>
      <sheetName val="Sch9__Guarantees6"/>
      <sheetName val="DATA_WP6"/>
      <sheetName val="Period_Week_Lookup6"/>
      <sheetName val="MATERIAIS_-_BRG6"/>
      <sheetName val="F5_-_Saldo_final_Inventário6"/>
      <sheetName val="ROs_(12)6"/>
      <sheetName val="ACT_Input_(2)6"/>
      <sheetName val="MOD_7_SIN5"/>
      <sheetName val="tar__media5"/>
      <sheetName val="_PAT5"/>
      <sheetName val="p_55"/>
      <sheetName val="M2_-_Analise_MtM5"/>
      <sheetName val="E_1_2_-_Teste_de_VC2"/>
      <sheetName val="FD_3_-_Provisão_OS__3"/>
      <sheetName val="Control_Sheet3"/>
      <sheetName val="Res_Autor_Motivo3"/>
      <sheetName val="Res_Devolv_Motivo3"/>
      <sheetName val="Base_Fiscal_Cruzada3"/>
      <sheetName val="Tab_Translate2"/>
      <sheetName val="ABRIL_20002"/>
      <sheetName val="SERIES_CDI_E_PTAX2"/>
      <sheetName val="Balanço_de_Abertura2"/>
      <sheetName val="3_B2"/>
      <sheetName val="Aj__Sazon__N__Recor2"/>
      <sheetName val="ñ_faturado1"/>
      <sheetName val="Subtotal_Dia1"/>
      <sheetName val="ARACATI_-_CE1"/>
      <sheetName val="PLANT_MAINT_-__OPER_COST1"/>
      <sheetName val="PERMUTA_1"/>
      <sheetName val="Art96_IV_RIPI1"/>
      <sheetName val="Rec__Pillar_(DRE_Soc_)"/>
      <sheetName val="Emissão_de_Relatórios"/>
      <sheetName val="Premissas_fixas"/>
      <sheetName val="Sch15_Guarantees"/>
      <sheetName val="A4_3-SIGMA"/>
      <sheetName val="July_Forecast_Costs"/>
      <sheetName val="Tabela de Parâmetros"/>
      <sheetName val="Manual"/>
      <sheetName val="Proc"/>
      <sheetName val="Evolutivo"/>
      <sheetName val="Consolidated Month Trend"/>
      <sheetName val="Consolidated Month VHC"/>
      <sheetName val="Consolidated Month Trend+VHC"/>
      <sheetName val="Consolidated Year Trend"/>
      <sheetName val="Consolidated Year VHC"/>
      <sheetName val="Consolidated Year Trend+VHC"/>
      <sheetName val="2019 Consolidated"/>
      <sheetName val="2019 VHC"/>
      <sheetName val="B2019 Consolidated"/>
      <sheetName val="2018 Consolidated"/>
      <sheetName val="2019 Flash"/>
      <sheetName val="Máscara - BP"/>
      <sheetName val="Máscara - LY"/>
      <sheetName val="Máscara - YTD"/>
      <sheetName val="Consolidated Quarter"/>
      <sheetName val="Máscara - Q2"/>
      <sheetName val="Máscara - BP Q2"/>
      <sheetName val="Máscara - LY Q2"/>
      <sheetName val="CORRESPONDENCIAS"/>
      <sheetName val="OUVC"/>
      <sheetName val="DEPREC"/>
      <sheetName val="Direct Investment"/>
      <sheetName val="BASE_(2)7"/>
      <sheetName val="Peso_áreas_e_CPs7"/>
      <sheetName val="E2_1-PCLD_ANEEL_06-20067"/>
      <sheetName val="Peso_Liq_7"/>
      <sheetName val="E2_1_PCLD_ANEEL_06_20067"/>
      <sheetName val="DISCOUNTS_DDP7"/>
      <sheetName val="NVision_Detail7"/>
      <sheetName val="Sch9__Guarantees7"/>
      <sheetName val="DATA_WP7"/>
      <sheetName val="Period_Week_Lookup7"/>
      <sheetName val="MATERIAIS_-_BRG7"/>
      <sheetName val="F5_-_Saldo_final_Inventário7"/>
      <sheetName val="ROs_(12)7"/>
      <sheetName val="ACT_Input_(2)7"/>
      <sheetName val="MOD_7_SIN6"/>
      <sheetName val="tar__media6"/>
      <sheetName val="_PAT6"/>
      <sheetName val="p_56"/>
      <sheetName val="M2_-_Analise_MtM6"/>
      <sheetName val="E_1_2_-_Teste_de_VC3"/>
      <sheetName val="FD_3_-_Provisão_OS__4"/>
      <sheetName val="Control_Sheet4"/>
      <sheetName val="Res_Autor_Motivo4"/>
      <sheetName val="Res_Devolv_Motivo4"/>
      <sheetName val="Base_Fiscal_Cruzada4"/>
      <sheetName val="Tab_Translate3"/>
      <sheetName val="ABRIL_20003"/>
      <sheetName val="SERIES_CDI_E_PTAX3"/>
      <sheetName val="Balanço_de_Abertura3"/>
      <sheetName val="3_B3"/>
      <sheetName val="Aj__Sazon__N__Recor3"/>
      <sheetName val="ñ_faturado2"/>
      <sheetName val="Subtotal_Dia2"/>
      <sheetName val="ARACATI_-_CE2"/>
      <sheetName val="PLANT_MAINT_-__OPER_COST2"/>
      <sheetName val="PERMUTA_2"/>
      <sheetName val="Art96_IV_RIPI2"/>
      <sheetName val="Rec__Pillar_(DRE_Soc_)1"/>
      <sheetName val="Emissão_de_Relatórios1"/>
      <sheetName val="Premissas_fixas1"/>
      <sheetName val="Sch15_Guarantees1"/>
      <sheetName val="A4_3-SIGMA1"/>
      <sheetName val="July_Forecast_Costs1"/>
      <sheetName val="O1O2"/>
      <sheetName val="Russia 3 companies by SKU"/>
      <sheetName val="Teste Drpc"/>
      <sheetName val="N3"/>
      <sheetName val="Summary"/>
      <sheetName val="DADOS GERAIS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Premissas"/>
      <sheetName val="Endividamento"/>
      <sheetName val="OUT02_REPORT"/>
      <sheetName val="fluxo_caixa"/>
      <sheetName val="Constantes"/>
      <sheetName val="Macro Indicadores Consolidados"/>
      <sheetName val="Receita"/>
      <sheetName val="BASE_(2)8"/>
      <sheetName val="E2_1-PCLD_ANEEL_06-20068"/>
      <sheetName val="Peso_áreas_e_CPs8"/>
      <sheetName val="Peso_Liq_8"/>
      <sheetName val="E2_1_PCLD_ANEEL_06_20068"/>
      <sheetName val="DISCOUNTS_DDP8"/>
      <sheetName val="NVision_Detail8"/>
      <sheetName val="Sch9__Guarantees8"/>
      <sheetName val="Period_Week_Lookup8"/>
      <sheetName val="DATA_WP8"/>
      <sheetName val="MATERIAIS_-_BRG8"/>
      <sheetName val="F5_-_Saldo_final_Inventário8"/>
      <sheetName val="ROs_(12)8"/>
      <sheetName val="MOD_7_SIN7"/>
      <sheetName val="ACT_Input_(2)8"/>
      <sheetName val="Control_Sheet5"/>
      <sheetName val="_PAT7"/>
      <sheetName val="p_57"/>
      <sheetName val="tar__media7"/>
      <sheetName val="M2_-_Analise_MtM7"/>
      <sheetName val="FD_3_-_Provisão_OS__5"/>
      <sheetName val="Res_Autor_Motivo5"/>
      <sheetName val="Res_Devolv_Motivo5"/>
      <sheetName val="Base_Fiscal_Cruzada5"/>
      <sheetName val="E_1_2_-_Teste_de_VC4"/>
      <sheetName val="Tab_Translate4"/>
      <sheetName val="ABRIL_20004"/>
      <sheetName val="SERIES_CDI_E_PTAX4"/>
      <sheetName val="Balanço_de_Abertura4"/>
      <sheetName val="3_B4"/>
      <sheetName val="Aj__Sazon__N__Recor4"/>
      <sheetName val="ñ_faturado3"/>
      <sheetName val="Subtotal_Dia3"/>
      <sheetName val="ARACATI_-_CE3"/>
      <sheetName val="PLANT_MAINT_-__OPER_COST3"/>
      <sheetName val="Art96_IV_RIPI3"/>
      <sheetName val="PERMUTA_3"/>
      <sheetName val="Sch15_Guarantees2"/>
      <sheetName val="Rec__Pillar_(DRE_Soc_)2"/>
      <sheetName val="Emissão_de_Relatórios2"/>
      <sheetName val="Premissas_fixas2"/>
      <sheetName val="A4_3-SIGMA2"/>
      <sheetName val="July_Forecast_Costs2"/>
      <sheetName val="CURRENCY_SUMMARY"/>
      <sheetName val="Direct_Investment"/>
      <sheetName val="Teste_Drpc"/>
      <sheetName val="Turkey_BM_with_IVL"/>
      <sheetName val="Russia_3_companies_by_SKU"/>
      <sheetName val="Ranking_Geral_-_Mês"/>
      <sheetName val="Tabela_de_Parâmetros"/>
      <sheetName val="BalanceShett"/>
      <sheetName val="R1309"/>
      <sheetName val="INDIECO1"/>
      <sheetName val="CVA_Projetada12meses"/>
      <sheetName val="ENERINC"/>
      <sheetName val="Dez_18"/>
      <sheetName val="Fev"/>
      <sheetName val="Mar"/>
      <sheetName val="Abr"/>
      <sheetName val="Mai"/>
      <sheetName val="Jun"/>
      <sheetName val="Jul"/>
      <sheetName val="Ago"/>
      <sheetName val="Set"/>
      <sheetName val="TR"/>
      <sheetName val="COEFIC"/>
      <sheetName val="Financimentos CP"/>
      <sheetName val="Encargos"/>
      <sheetName val="bal12"/>
      <sheetName val="S"/>
      <sheetName val="II"/>
      <sheetName val="O1 - Apuração - IR-CS"/>
      <sheetName val="Check Diferido"/>
      <sheetName val="DINAMICA CONTA RESULTADO"/>
      <sheetName val="Dinamica BS"/>
      <sheetName val="PAT"/>
      <sheetName val="08803"/>
      <sheetName val="08421"/>
      <sheetName val="57110"/>
      <sheetName val="Planilha1"/>
      <sheetName val="690.09804"/>
      <sheetName val="82580---81530"/>
      <sheetName val="63076"/>
      <sheetName val="66201"/>
      <sheetName val="82579"/>
      <sheetName val="53501 "/>
      <sheetName val="47651"/>
      <sheetName val="47654"/>
      <sheetName val="72015"/>
      <sheetName val="72026"/>
      <sheetName val="62425"/>
      <sheetName val="34111"/>
      <sheetName val="34112_34113"/>
      <sheetName val="04510"/>
      <sheetName val="03632"/>
      <sheetName val="690.08754"/>
      <sheetName val="55750"/>
      <sheetName val="6905101.66201"/>
      <sheetName val="63076 "/>
      <sheetName val="CURRENCY_SUMMARY1"/>
      <sheetName val="CURRENCY_SUMMARY2"/>
      <sheetName val="Infra DR172_WebReports"/>
      <sheetName val="CURRENCY_SUMMARY3"/>
      <sheetName val="Infra_DR172_WebReports"/>
      <sheetName val="ACUMULADO ANO 2001"/>
      <sheetName val="Voucher"/>
      <sheetName val="Procedimentos"/>
      <sheetName val="Teste de aplicações - PMA"/>
      <sheetName val="Teste de aplicações - CDPC"/>
      <sheetName val="Seleção PMA"/>
      <sheetName val="Seleção CDPC"/>
      <sheetName val="PPC &gt;&gt;&gt;"/>
      <sheetName val="BAL - PMA - 2019"/>
      <sheetName val="BAL - CDPC - 2019"/>
      <sheetName val="PPC - Aplic. PMA e CDPC "/>
      <sheetName val="D"/>
      <sheetName val="Peso_áreas_e_CPs9"/>
      <sheetName val="BASE_(2)9"/>
      <sheetName val="E2_1-PCLD_ANEEL_06-20069"/>
      <sheetName val="Peso_Liq_9"/>
      <sheetName val="E2_1_PCLD_ANEEL_06_20069"/>
      <sheetName val="DISCOUNTS_DDP9"/>
      <sheetName val="NVision_Detail9"/>
      <sheetName val="Sch9__Guarantees9"/>
      <sheetName val="DATA_WP9"/>
      <sheetName val="Period_Week_Lookup9"/>
      <sheetName val="MATERIAIS_-_BRG9"/>
      <sheetName val="F5_-_Saldo_final_Inventário9"/>
      <sheetName val="ROs_(12)9"/>
      <sheetName val="MOD_7_SIN8"/>
      <sheetName val="ACT_Input_(2)9"/>
      <sheetName val="_PAT8"/>
      <sheetName val="p_58"/>
      <sheetName val="M2_-_Analise_MtM8"/>
      <sheetName val="tar__media8"/>
      <sheetName val="Control_Sheet6"/>
      <sheetName val="FD_3_-_Provisão_OS__6"/>
      <sheetName val="Res_Autor_Motivo6"/>
      <sheetName val="Res_Devolv_Motivo6"/>
      <sheetName val="Base_Fiscal_Cruzada6"/>
      <sheetName val="E_1_2_-_Teste_de_VC5"/>
      <sheetName val="Tab_Translate5"/>
      <sheetName val="ABRIL_20005"/>
      <sheetName val="SERIES_CDI_E_PTAX5"/>
      <sheetName val="Balanço_de_Abertura5"/>
      <sheetName val="3_B5"/>
      <sheetName val="Aj__Sazon__N__Recor5"/>
      <sheetName val="ñ_faturado4"/>
      <sheetName val="Subtotal_Dia4"/>
      <sheetName val="PLANT_MAINT_-__OPER_COST4"/>
      <sheetName val="PERMUTA_4"/>
      <sheetName val="ARACATI_-_CE4"/>
      <sheetName val="Art96_IV_RIPI4"/>
      <sheetName val="Sch15_Guarantees3"/>
      <sheetName val="Rec__Pillar_(DRE_Soc_)3"/>
      <sheetName val="Emissão_de_Relatórios3"/>
      <sheetName val="Premissas_fixas3"/>
      <sheetName val="July_Forecast_Costs3"/>
      <sheetName val="A4_3-SIGMA3"/>
      <sheetName val="OUT02_REPORT1"/>
      <sheetName val="CURRENCY_SUMMARY4"/>
      <sheetName val="Teste_Drpc1"/>
      <sheetName val="Turkey_BM_with_IVL1"/>
      <sheetName val="Russia_3_companies_by_SKU1"/>
      <sheetName val="Direct_Investment1"/>
      <sheetName val="Ranking_Geral_-_Mês1"/>
      <sheetName val="Tabela_de_Parâmetros1"/>
      <sheetName val="Consolidated_Month_Trend"/>
      <sheetName val="Consolidated_Month_VHC"/>
      <sheetName val="Consolidated_Month_Trend+VHC"/>
      <sheetName val="Consolidated_Year_Trend"/>
      <sheetName val="Consolidated_Year_VHC"/>
      <sheetName val="Consolidated_Year_Trend+VHC"/>
      <sheetName val="2019_Consolidated"/>
      <sheetName val="2019_VHC"/>
      <sheetName val="B2019_Consolidated"/>
      <sheetName val="2018_Consolidated"/>
      <sheetName val="2019_Flash"/>
      <sheetName val="Máscara_-_BP"/>
      <sheetName val="Máscara_-_LY"/>
      <sheetName val="Máscara_-_YTD"/>
      <sheetName val="Consolidated_Quarter"/>
      <sheetName val="Máscara_-_Q2"/>
      <sheetName val="Máscara_-_BP_Q2"/>
      <sheetName val="Máscara_-_LY_Q2"/>
      <sheetName val="DADOS_GERAIS"/>
      <sheetName val="12_2018"/>
      <sheetName val="Macro_Indicadores_Consolidados"/>
      <sheetName val="Financimentos_CP"/>
      <sheetName val="Infra_DR172_WebReports1"/>
      <sheetName val="O1_-_Apuração_-_IR-CS"/>
      <sheetName val="Check_Diferido"/>
      <sheetName val="DINAMICA_CONTA_RESULTADO"/>
      <sheetName val="Dinamica_BS"/>
      <sheetName val="690_09804"/>
      <sheetName val="53501_"/>
      <sheetName val="690_08754"/>
      <sheetName val="6905101_66201"/>
      <sheetName val="63076_"/>
      <sheetName val="ACUMULADO_ANO_2001"/>
      <sheetName val="C R B"/>
      <sheetName val="Plan4"/>
      <sheetName val="Informe"/>
      <sheetName val="59"/>
      <sheetName val="OU Lookup"/>
      <sheetName val="SSP"/>
      <sheetName val="Note 4-10"/>
      <sheetName val="Provisão IR"/>
      <sheetName val="inc. claim 97"/>
      <sheetName val="Merger Inputs"/>
      <sheetName val="Assumptions "/>
      <sheetName val="A4.6-SEAOIL"/>
      <sheetName val="Rel"/>
      <sheetName val="ESTOQUE"/>
      <sheetName val="K"/>
      <sheetName val="tabela"/>
      <sheetName val="Mercado"/>
      <sheetName val="CURRENCY_SUMMARY5"/>
      <sheetName val="BASE_(2)10"/>
      <sheetName val="Peso_áreas_e_CPs10"/>
      <sheetName val="E2_1-PCLD_ANEEL_06-200610"/>
      <sheetName val="Peso_Liq_10"/>
      <sheetName val="E2_1_PCLD_ANEEL_06_200610"/>
      <sheetName val="DISCOUNTS_DDP10"/>
      <sheetName val="NVision_Detail10"/>
      <sheetName val="Sch9__Guarantees10"/>
      <sheetName val="Period_Week_Lookup10"/>
      <sheetName val="MOD_7_SIN9"/>
      <sheetName val="DATA_WP10"/>
      <sheetName val="MATERIAIS_-_BRG10"/>
      <sheetName val="F5_-_Saldo_final_Inventário10"/>
      <sheetName val="ROs_(12)10"/>
      <sheetName val="ACT_Input_(2)10"/>
      <sheetName val="_PAT9"/>
      <sheetName val="p_59"/>
      <sheetName val="M2_-_Analise_MtM9"/>
      <sheetName val="FD_3_-_Provisão_OS__7"/>
      <sheetName val="Res_Autor_Motivo7"/>
      <sheetName val="Res_Devolv_Motivo7"/>
      <sheetName val="Base_Fiscal_Cruzada7"/>
      <sheetName val="tar__media9"/>
      <sheetName val="Control_Sheet7"/>
      <sheetName val="E_1_2_-_Teste_de_VC6"/>
      <sheetName val="Tab_Translate6"/>
      <sheetName val="ABRIL_20006"/>
      <sheetName val="SERIES_CDI_E_PTAX6"/>
      <sheetName val="Balanço_de_Abertura6"/>
      <sheetName val="3_B6"/>
      <sheetName val="Aj__Sazon__N__Recor6"/>
      <sheetName val="ñ_faturado5"/>
      <sheetName val="Art96_IV_RIPI5"/>
      <sheetName val="Subtotal_Dia5"/>
      <sheetName val="PLANT_MAINT_-__OPER_COST5"/>
      <sheetName val="PERMUTA_5"/>
      <sheetName val="ARACATI_-_CE5"/>
      <sheetName val="Sch15_Guarantees4"/>
      <sheetName val="Rec__Pillar_(DRE_Soc_)4"/>
      <sheetName val="Emissão_de_Relatórios4"/>
      <sheetName val="Premissas_fixas4"/>
      <sheetName val="Infra_DR172_WebReports2"/>
      <sheetName val="Frequência"/>
      <sheetName val="A4_3-SIGMA4"/>
      <sheetName val="July_Forecast_Costs4"/>
      <sheetName val="OUT02_REPORT2"/>
      <sheetName val="Direct_Investment2"/>
      <sheetName val="Consolidated_Month_Trend1"/>
      <sheetName val="Consolidated_Month_VHC1"/>
      <sheetName val="Consolidated_Month_Trend+VHC1"/>
      <sheetName val="Consolidated_Year_Trend1"/>
      <sheetName val="Consolidated_Year_VHC1"/>
      <sheetName val="Consolidated_Year_Trend+VHC1"/>
      <sheetName val="2019_Consolidated1"/>
      <sheetName val="2019_VHC1"/>
      <sheetName val="B2019_Consolidated1"/>
      <sheetName val="2018_Consolidated1"/>
      <sheetName val="2019_Flash1"/>
      <sheetName val="Máscara_-_BP1"/>
      <sheetName val="Máscara_-_LY1"/>
      <sheetName val="Máscara_-_YTD1"/>
      <sheetName val="Consolidated_Quarter1"/>
      <sheetName val="Máscara_-_Q21"/>
      <sheetName val="Máscara_-_BP_Q21"/>
      <sheetName val="Máscara_-_LY_Q21"/>
      <sheetName val="Teste_Drpc2"/>
      <sheetName val="Turkey_BM_with_IVL2"/>
      <sheetName val="Russia_3_companies_by_SKU2"/>
      <sheetName val="Ranking_Geral_-_Mês2"/>
      <sheetName val="Tabela_de_Parâmetros2"/>
      <sheetName val="DADOS_GERAIS1"/>
      <sheetName val="Macro_Indicadores_Consolidados1"/>
      <sheetName val="12_20181"/>
      <sheetName val="Financimentos_CP1"/>
      <sheetName val="O1_-_Apuração_-_IR-CS1"/>
      <sheetName val="Check_Diferido1"/>
      <sheetName val="DINAMICA_CONTA_RESULTADO1"/>
      <sheetName val="Dinamica_BS1"/>
      <sheetName val="690_098041"/>
      <sheetName val="53501_1"/>
      <sheetName val="690_087541"/>
      <sheetName val="6905101_662011"/>
      <sheetName val="63076_1"/>
      <sheetName val="ACUMULADO_ANO_20011"/>
      <sheetName val="Teste_de_aplicações_-_PMA"/>
      <sheetName val="Teste_de_aplicações_-_CDPC"/>
      <sheetName val="Seleção_PMA"/>
      <sheetName val="Seleção_CDPC"/>
      <sheetName val="PPC_&gt;&gt;&gt;"/>
      <sheetName val="BAL_-_PMA_-_2019"/>
      <sheetName val="BAL_-_CDPC_-_2019"/>
      <sheetName val="PPC_-_Aplic__PMA_e_CDPC_"/>
      <sheetName val="C_R_B"/>
      <sheetName val="1998"/>
      <sheetName val="1º semestre 99"/>
      <sheetName val="CURRENCY_SUMMARY6"/>
      <sheetName val="BASE_(2)11"/>
      <sheetName val="Peso_áreas_e_CPs11"/>
      <sheetName val="E2_1-PCLD_ANEEL_06-200611"/>
      <sheetName val="Peso_Liq_11"/>
      <sheetName val="E2_1_PCLD_ANEEL_06_200611"/>
      <sheetName val="DISCOUNTS_DDP11"/>
      <sheetName val="NVision_Detail11"/>
      <sheetName val="Sch9__Guarantees11"/>
      <sheetName val="Period_Week_Lookup11"/>
      <sheetName val="MOD_7_SIN10"/>
      <sheetName val="DATA_WP11"/>
      <sheetName val="MATERIAIS_-_BRG11"/>
      <sheetName val="F5_-_Saldo_final_Inventário11"/>
      <sheetName val="ROs_(12)11"/>
      <sheetName val="ACT_Input_(2)11"/>
      <sheetName val="_PAT10"/>
      <sheetName val="p_510"/>
      <sheetName val="M2_-_Analise_MtM10"/>
      <sheetName val="FD_3_-_Provisão_OS__8"/>
      <sheetName val="Res_Autor_Motivo8"/>
      <sheetName val="Res_Devolv_Motivo8"/>
      <sheetName val="Base_Fiscal_Cruzada8"/>
      <sheetName val="tar__media10"/>
      <sheetName val="Control_Sheet8"/>
      <sheetName val="E_1_2_-_Teste_de_VC7"/>
      <sheetName val="Tab_Translate7"/>
      <sheetName val="ABRIL_20007"/>
      <sheetName val="SERIES_CDI_E_PTAX7"/>
      <sheetName val="Balanço_de_Abertura7"/>
      <sheetName val="3_B7"/>
      <sheetName val="Aj__Sazon__N__Recor7"/>
      <sheetName val="ñ_faturado6"/>
      <sheetName val="Art96_IV_RIPI6"/>
      <sheetName val="Subtotal_Dia6"/>
      <sheetName val="PLANT_MAINT_-__OPER_COST6"/>
      <sheetName val="PERMUTA_6"/>
      <sheetName val="ARACATI_-_CE6"/>
      <sheetName val="Sch15_Guarantees5"/>
      <sheetName val="Rec__Pillar_(DRE_Soc_)5"/>
      <sheetName val="Emissão_de_Relatórios5"/>
      <sheetName val="Premissas_fixas5"/>
      <sheetName val="Infra_DR172_WebReports3"/>
      <sheetName val="Initialize"/>
      <sheetName val="REL1997"/>
      <sheetName val="S2_40m_by mth"/>
      <sheetName val="Inputs"/>
      <sheetName val="DEM_R$"/>
      <sheetName val="49415003-01"/>
      <sheetName val="22410001-01 02"/>
      <sheetName val="18845006-03"/>
      <sheetName val="49415003-02"/>
      <sheetName val="lalura"/>
      <sheetName val="lalur"/>
      <sheetName val="18845006-05"/>
      <sheetName val="49420902-04"/>
      <sheetName val="inss seg"/>
      <sheetName val="I R"/>
      <sheetName val="inss emp"/>
      <sheetName val="inss sat"/>
      <sheetName val="inss terc"/>
      <sheetName val="Carga Periodo atual"/>
      <sheetName val="VFLUORI"/>
      <sheetName val="Q17A19 - ex. ant."/>
      <sheetName val="Assumptions"/>
      <sheetName val="Graf. ano móvel 12 meses"/>
      <sheetName val="Graf_ ano móvel 12 meses"/>
      <sheetName val="TB-2001-Apr'01"/>
      <sheetName val="SUMM-QTR"/>
      <sheetName val="GUIA"/>
      <sheetName val="Brazyc"/>
      <sheetName val="Concord Office"/>
      <sheetName val="Monthly.Key$"/>
      <sheetName val="PREVCINE"/>
      <sheetName val="170117"/>
      <sheetName val="400800"/>
      <sheetName val="iConfig"/>
      <sheetName val="INPUT GERAL"/>
      <sheetName val="AUX Graf Caixa"/>
      <sheetName val="VaR"/>
      <sheetName val="Note_4-10"/>
      <sheetName val="OU_Lookup"/>
      <sheetName val="Merger_Inputs"/>
      <sheetName val="Assumptions_"/>
      <sheetName val="A4_6-SEAOIL"/>
      <sheetName val="Provisão_IR"/>
      <sheetName val="inc__claim_97"/>
      <sheetName val="daily"/>
      <sheetName val="Validações"/>
      <sheetName val="Mininota"/>
      <sheetName val="STATEMENT OF OPERATIONS"/>
      <sheetName val="Tabela de parâmetro"/>
      <sheetName val="Cadastro"/>
      <sheetName val="LANCAPC"/>
      <sheetName val="Andam."/>
      <sheetName val="Concl."/>
      <sheetName val="Excluído"/>
      <sheetName val="Penden."/>
      <sheetName val="Progr."/>
      <sheetName val="Selec."/>
      <sheetName val="1996"/>
      <sheetName val="Vente d'elec A "/>
      <sheetName val="Base Info"/>
      <sheetName val="Calc"/>
      <sheetName val="MOne"/>
      <sheetName val="MTwo"/>
      <sheetName val="KOne"/>
      <sheetName val="GoSeven"/>
      <sheetName val="GrThree"/>
      <sheetName val="GoEight"/>
      <sheetName val="HTwo"/>
      <sheetName val="GrFour"/>
      <sheetName val="JOne"/>
      <sheetName val="JTwo"/>
      <sheetName val="HOne"/>
      <sheetName val="resumo_preço_real"/>
      <sheetName val="Graf_anomóvel12meses"/>
      <sheetName val="Empresas e Datas"/>
      <sheetName val="BASE_(2)12"/>
      <sheetName val="Peso_áreas_e_CPs12"/>
      <sheetName val="E2_1-PCLD_ANEEL_06-200612"/>
      <sheetName val="Peso_Liq_12"/>
      <sheetName val="E2_1_PCLD_ANEEL_06_200612"/>
      <sheetName val="DATA_WP12"/>
      <sheetName val="DISCOUNTS_DDP12"/>
      <sheetName val="MATERIAIS_-_BRG12"/>
      <sheetName val="F5_-_Saldo_final_Inventário12"/>
      <sheetName val="ROs_(12)12"/>
      <sheetName val="NVision_Detail12"/>
      <sheetName val="Period_Week_Lookup12"/>
      <sheetName val="Sch9__Guarantees12"/>
      <sheetName val="ACT_Input_(2)12"/>
      <sheetName val="MOD_7_SIN11"/>
      <sheetName val="_PAT11"/>
      <sheetName val="p_511"/>
      <sheetName val="M2_-_Analise_MtM11"/>
      <sheetName val="FD_3_-_Provisão_OS__9"/>
      <sheetName val="Res_Autor_Motivo9"/>
      <sheetName val="Res_Devolv_Motivo9"/>
      <sheetName val="Base_Fiscal_Cruzada9"/>
      <sheetName val="tar__media11"/>
      <sheetName val="E_1_2_-_Teste_de_VC8"/>
      <sheetName val="Tab_Translate8"/>
      <sheetName val="Control_Sheet9"/>
      <sheetName val="SERIES_CDI_E_PTAX8"/>
      <sheetName val="ABRIL_20008"/>
      <sheetName val="Balanço_de_Abertura8"/>
      <sheetName val="ñ_faturado7"/>
      <sheetName val="Subtotal_Dia7"/>
      <sheetName val="PLANT_MAINT_-__OPER_COST7"/>
      <sheetName val="3_B8"/>
      <sheetName val="Aj__Sazon__N__Recor8"/>
      <sheetName val="PERMUTA_7"/>
      <sheetName val="ARACATI_-_CE7"/>
      <sheetName val="Art96_IV_RIPI7"/>
      <sheetName val="Sch15_Guarantees6"/>
      <sheetName val="Rec__Pillar_(DRE_Soc_)6"/>
      <sheetName val="Emissão_de_Relatórios6"/>
      <sheetName val="Premissas_fixas6"/>
      <sheetName val="Turkey_BM_with_IVL3"/>
      <sheetName val="A4_3-SIGMA5"/>
      <sheetName val="July_Forecast_Costs5"/>
      <sheetName val="OUT02_REPORT3"/>
      <sheetName val="CURRENCY_SUMMARY7"/>
      <sheetName val="Ranking_Geral_-_Mês3"/>
      <sheetName val="Direct_Investment3"/>
      <sheetName val="Russia_3_companies_by_SKU3"/>
      <sheetName val="Teste_Drpc3"/>
      <sheetName val="Consolidated_Month_Trend2"/>
      <sheetName val="Consolidated_Month_VHC2"/>
      <sheetName val="Consolidated_Month_Trend+VHC2"/>
      <sheetName val="Consolidated_Year_Trend2"/>
      <sheetName val="Consolidated_Year_VHC2"/>
      <sheetName val="Consolidated_Year_Trend+VHC2"/>
      <sheetName val="2019_Consolidated2"/>
      <sheetName val="2019_VHC2"/>
      <sheetName val="B2019_Consolidated2"/>
      <sheetName val="2018_Consolidated2"/>
      <sheetName val="2019_Flash2"/>
      <sheetName val="Máscara_-_BP2"/>
      <sheetName val="Máscara_-_LY2"/>
      <sheetName val="Máscara_-_YTD2"/>
      <sheetName val="Consolidated_Quarter2"/>
      <sheetName val="Máscara_-_Q22"/>
      <sheetName val="Máscara_-_BP_Q22"/>
      <sheetName val="Máscara_-_LY_Q22"/>
      <sheetName val="Tabela_de_Parâmetros3"/>
      <sheetName val="DADOS_GERAIS2"/>
      <sheetName val="Macro_Indicadores_Consolidados2"/>
      <sheetName val="12_20182"/>
      <sheetName val="Infra_DR172_WebReports4"/>
      <sheetName val="Financimentos_CP2"/>
      <sheetName val="ACUMULADO_ANO_20012"/>
      <sheetName val="O1_-_Apuração_-_IR-CS2"/>
      <sheetName val="Check_Diferido2"/>
      <sheetName val="DINAMICA_CONTA_RESULTADO2"/>
      <sheetName val="Dinamica_BS2"/>
      <sheetName val="690_098042"/>
      <sheetName val="53501_2"/>
      <sheetName val="690_087542"/>
      <sheetName val="6905101_662012"/>
      <sheetName val="63076_2"/>
      <sheetName val="C_R_B1"/>
      <sheetName val="Teste_de_aplicações_-_PMA1"/>
      <sheetName val="Teste_de_aplicações_-_CDPC1"/>
      <sheetName val="Seleção_PMA1"/>
      <sheetName val="Seleção_CDPC1"/>
      <sheetName val="PPC_&gt;&gt;&gt;1"/>
      <sheetName val="BAL_-_PMA_-_20191"/>
      <sheetName val="BAL_-_CDPC_-_20191"/>
      <sheetName val="PPC_-_Aplic__PMA_e_CDPC_1"/>
      <sheetName val="OU_Lookup1"/>
      <sheetName val="Note_4-101"/>
      <sheetName val="Merger_Inputs1"/>
      <sheetName val="Assumptions_1"/>
      <sheetName val="A4_6-SEAOIL1"/>
      <sheetName val="Provisão_IR1"/>
      <sheetName val="inc__claim_971"/>
      <sheetName val="1º_semestre_99"/>
      <sheetName val="22410001-01_02"/>
      <sheetName val="S2_40m_by_mth"/>
      <sheetName val="Carga_Periodo_atual"/>
      <sheetName val="inss_seg"/>
      <sheetName val="I_R"/>
      <sheetName val="inss_emp"/>
      <sheetName val="inss_sat"/>
      <sheetName val="inss_terc"/>
      <sheetName val="Graf__ano_móvel_12_meses"/>
      <sheetName val="Graf__ano_móvel_12_meses1"/>
      <sheetName val="Concord_Office"/>
      <sheetName val="AUX_Graf_Caixa"/>
      <sheetName val="Q17A19_-_ex__ant_3"/>
      <sheetName val="Q17A19_-_ex__ant_"/>
      <sheetName val="Q17A19_-_ex__ant_1"/>
      <sheetName val="Q17A19_-_ex__ant_2"/>
      <sheetName val="Q17A19_-_ex__ant_4"/>
      <sheetName val="Q17A19_-_ex__ant_5"/>
      <sheetName val="enero "/>
      <sheetName val="Q17A19_-_ex__ant_6"/>
      <sheetName val="N  PIS COFIN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/>
      <sheetData sheetId="555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/>
      <sheetData sheetId="1004" refreshError="1"/>
      <sheetData sheetId="1005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 Imobilizado"/>
      <sheetName val="K1 Diferido"/>
    </sheetNames>
    <sheetDataSet>
      <sheetData sheetId="0"/>
      <sheetData sheetId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"/>
      <sheetName val="Emprestimos 102003 {ppc}"/>
      <sheetName val="Calculos - DTT"/>
      <sheetName val="Parametro - Juros e VM"/>
      <sheetName val="Parametro - VC"/>
      <sheetName val="Threshold Calc"/>
      <sheetName val="XREF"/>
      <sheetName val="Tickmarks"/>
      <sheetName val="Analítico-clientes"/>
      <sheetName val="AutoBAn-relatório de clientes f"/>
      <sheetName val="Emprestimos 102003 _ppc_"/>
      <sheetName val="Parametro _ VC"/>
      <sheetName val="PAS de juros"/>
      <sheetName val="GERREAL"/>
      <sheetName val="Cons. fluxo caixa 2005"/>
      <sheetName val="Anexo 6"/>
      <sheetName val=""/>
      <sheetName val="Links"/>
      <sheetName val="Lead"/>
      <sheetName val="Seguros 2001-2002 {ppc}"/>
      <sheetName val="Mapa 1 - Base Férias e 13o."/>
      <sheetName val="Seguros"/>
      <sheetName val="Calculo global Depr."/>
      <sheetName val="MovimentEmprést. 31122003 {ppc}"/>
      <sheetName val="Conciliação Custos"/>
      <sheetName val="Conciliação 30.09.04"/>
      <sheetName val="Tratos"/>
      <sheetName val="CP"/>
      <sheetName val="Ativo"/>
      <sheetName val="Dados Star"/>
      <sheetName val="Resumo"/>
      <sheetName val="Mapa Imobilizado"/>
      <sheetName val="MAPA"/>
      <sheetName val="PAS Moeda Nacional"/>
      <sheetName val="Suporte DOAR"/>
      <sheetName val="BASE2"/>
      <sheetName val="Balance Sheet"/>
      <sheetName val="Mapa de Resultado"/>
      <sheetName val="Anexo 15 - Moeda Estrangeira"/>
      <sheetName val="Anexo 15 - Swap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ead"/>
      <sheetName val="Links"/>
      <sheetName val="BP"/>
      <sheetName val="DR"/>
      <sheetName val="Análise Preço Venda"/>
      <sheetName val="XREF"/>
      <sheetName val="Tickmarks"/>
      <sheetName val="Emprestimos 102003 {ppc}"/>
      <sheetName val="Brasil-Jab"/>
      <sheetName val="mapa movimentação"/>
      <sheetName val=" Global fopag"/>
      <sheetName val="Mapa Mov. 429"/>
      <sheetName val="Comparativo-GSM"/>
      <sheetName val="Balanço"/>
      <sheetName val="PAS de juros"/>
      <sheetName val="Taxas"/>
      <sheetName val="ush"/>
      <sheetName val="Suporte DO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REF"/>
      <sheetName val="Circularização Emprest."/>
      <sheetName val="Composição"/>
      <sheetName val="Cálculo Encargos - MN"/>
      <sheetName val="Cálculo Encargos - ME"/>
      <sheetName val="Financeiro CP"/>
      <sheetName val="Financeiro LP"/>
      <sheetName val="Financeiro Encargos"/>
      <sheetName val="Tickmarks"/>
      <sheetName val="Aplic. Financ."/>
      <sheetName val="G1.1.2"/>
      <sheetName val="K Imobilizado"/>
      <sheetName val="K1 Diferido"/>
      <sheetName val="Deducoes venda IP"/>
      <sheetName val="PAS Deduções venda Inpacel"/>
      <sheetName val="Receitas Vendas Inpacel"/>
      <sheetName val="APOIO"/>
      <sheetName val="Lead"/>
      <sheetName val="Diversos"/>
      <sheetName val="ICMS-Cofins Arcos"/>
      <sheetName val="BALANÇ0 MÊS 01 A 28 OUT"/>
      <sheetName val="Aging List"/>
      <sheetName val="Anexo 15 - Swap"/>
      <sheetName val="P6 Dif. Temporarias"/>
      <sheetName val="local"/>
      <sheetName val="U2.1"/>
      <sheetName val="tabela"/>
      <sheetName val="integral"/>
      <sheetName val="bal"/>
      <sheetName val="#REF"/>
      <sheetName val="Consolidado dez03"/>
      <sheetName val="circularização_seguros"/>
      <sheetName val="Worksheet in 6310 1 Empréstimos"/>
      <sheetName val="INFO"/>
      <sheetName val="Ajuste UBP"/>
      <sheetName val="Outorga fixa e variável"/>
      <sheetName val="Cover"/>
      <sheetName val="direitos de concessão"/>
      <sheetName val="Conciliação 31.03.07 "/>
      <sheetName val="Teste de Adições"/>
      <sheetName val="Mutação do PL Trimestral"/>
      <sheetName val="U_P&amp;L"/>
      <sheetName val="Deduções"/>
      <sheetName val="1"/>
      <sheetName val="6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ead"/>
      <sheetName val="Links"/>
      <sheetName val="PAS Despesa-Custo e Provisão"/>
      <sheetName val="Det  Parâmetros"/>
      <sheetName val="Banco de Horas"/>
      <sheetName val="XREF"/>
      <sheetName val="Tickmarks"/>
      <sheetName val="PAS Custo-despesa e Provisão"/>
      <sheetName val="ush"/>
      <sheetName val="DRE"/>
      <sheetName val="Input"/>
      <sheetName val="Emprestimos 102003 {ppc}"/>
      <sheetName val="Fin LP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ead"/>
      <sheetName val="XREF"/>
      <sheetName val="Tickmarks"/>
      <sheetName val="imobilizado"/>
      <sheetName val="PPC mapa de movimentação"/>
      <sheetName val="cálculo global de depreciação"/>
      <sheetName val="parâmetro cálc depreciação"/>
      <sheetName val="PPC Obras em andamento"/>
      <sheetName val="teste de aquisição"/>
      <sheetName val="PPC relatório de aquisições"/>
      <sheetName val=" PPC  mapa de movimentação"/>
      <sheetName val="PPC aquisições"/>
      <sheetName val=" PPC SVS"/>
      <sheetName val="Depreciação"/>
      <sheetName val="Log"/>
      <sheetName val="Mov. Imob. e global depreciação"/>
      <sheetName val="Teste de detalhe depreciaçã "/>
      <sheetName val="Obras em andamento"/>
      <sheetName val="teste de adição"/>
      <sheetName val="Teste Baixas"/>
      <sheetName val="Tickmarks "/>
      <sheetName val="#REF"/>
      <sheetName val="Mapa de Movimentação"/>
      <sheetName val="Global de Depreciação"/>
      <sheetName val="Balanço"/>
      <sheetName val="Aging List"/>
      <sheetName val="Links"/>
      <sheetName val="Teste de Adições"/>
      <sheetName val="Calc.Amort.Terreno e Valas"/>
      <sheetName val="Mapa Imobilizado"/>
      <sheetName val="Adições"/>
      <sheetName val="Depreciação Dez.04"/>
      <sheetName val="Depreciação Out.04"/>
      <sheetName val="Mapa"/>
      <sheetName val="Curitiba"/>
      <sheetName val="Itaberaba"/>
      <sheetName val="Caieiras"/>
      <sheetName val="Catarinense"/>
      <sheetName val="Movimentação"/>
      <sheetName val="Calc global 31.12"/>
      <sheetName val="Depreciação Aterros {PPC}"/>
      <sheetName val="Calc global 31.10"/>
      <sheetName val="Calc global"/>
      <sheetName val="Mov. Imobilizado"/>
      <sheetName val="Mov. do Imobilizado Mensal"/>
      <sheetName val="Mov. do Imob. Acumulada"/>
      <sheetName val="Depreciação Mensal"/>
      <sheetName val="Depreciação Acumulada"/>
      <sheetName val="1. Mapa_3009"/>
      <sheetName val="2. PAS Depreciação_3009"/>
      <sheetName val="3. Adições_3009"/>
      <sheetName val="4. Imobilizado_3009"/>
      <sheetName val="5. Composição das adições_3009"/>
      <sheetName val="Seleção"/>
      <sheetName val="Mapa-Set06"/>
      <sheetName val="PAS Depreciação-Set06"/>
      <sheetName val="Imobilizado-Set06"/>
      <sheetName val="Composição das adições"/>
      <sheetName val="E1"/>
      <sheetName val="K Imobilizado"/>
      <sheetName val="K1 Diferido"/>
      <sheetName val="Para Referência"/>
      <sheetName val="Mapa Movim"/>
      <sheetName val="Deprec"/>
      <sheetName val="Deprec DEZ"/>
      <sheetName val="Teste Adicoes"/>
      <sheetName val="Log Adição"/>
      <sheetName val="LOG Seleção Compl."/>
      <sheetName val="Teste Saldo Inicial"/>
      <sheetName val="Log Saldo Inicial"/>
      <sheetName val="Threshold Calc"/>
      <sheetName val="Mapa Imobilizado 30-09-06"/>
      <sheetName val="Andamento"/>
      <sheetName val="Circularizações 30.09.06"/>
      <sheetName val="Teste Seguros"/>
      <sheetName val="Teste Sd Inicial"/>
      <sheetName val="Teste Adição 30.09.06"/>
      <sheetName val="13. salário"/>
      <sheetName val="Revisão Vida Útil"/>
      <sheetName val="Procedimentos substativos "/>
      <sheetName val="Movimentação - Imobilizado"/>
      <sheetName val="Sample Size"/>
      <sheetName val="Teste Depreciação"/>
      <sheetName val="Nota Explicativa"/>
      <sheetName val="Calculo global Depr."/>
      <sheetName val=" Processos Passivos"/>
      <sheetName val="PAS Depreciação"/>
      <sheetName val="Nota S.I."/>
      <sheetName val="Projetos Ativados"/>
      <sheetName val="Projetos em Andamento"/>
      <sheetName val="Adição"/>
      <sheetName val="Transferência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DCF"/>
      <sheetName val="Balance Sheet"/>
      <sheetName val="DRE"/>
      <sheetName val="Inputs"/>
      <sheetName val="Macro"/>
      <sheetName val="Planilha2"/>
      <sheetName val="Earnings"/>
      <sheetName val="output_padra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8.71"/>
    <col customWidth="1" min="2" max="2" width="23.57"/>
    <col customWidth="1" min="3" max="3" width="10.14"/>
    <col customWidth="1" min="4" max="23" width="8.71"/>
    <col customWidth="1" min="24" max="24" width="10.14"/>
    <col customWidth="1" min="25" max="35" width="8.71"/>
    <col customWidth="1" min="36" max="36" width="10.14"/>
    <col customWidth="1" min="37" max="105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A7" s="1"/>
      <c r="B7" s="2" t="s">
        <v>0</v>
      </c>
      <c r="C7" s="3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20</v>
      </c>
      <c r="W7" s="4" t="s">
        <v>21</v>
      </c>
      <c r="X7" s="4" t="s">
        <v>22</v>
      </c>
      <c r="Y7" s="4" t="s">
        <v>23</v>
      </c>
      <c r="Z7" s="4" t="s">
        <v>24</v>
      </c>
      <c r="AA7" s="4" t="s">
        <v>25</v>
      </c>
      <c r="AB7" s="4" t="s">
        <v>26</v>
      </c>
      <c r="AC7" s="4" t="s">
        <v>27</v>
      </c>
      <c r="AD7" s="4" t="s">
        <v>28</v>
      </c>
      <c r="AE7" s="4" t="s">
        <v>29</v>
      </c>
      <c r="AF7" s="4" t="s">
        <v>30</v>
      </c>
      <c r="AG7" s="4" t="s">
        <v>31</v>
      </c>
      <c r="AH7" s="4" t="s">
        <v>32</v>
      </c>
      <c r="AI7" s="4" t="s">
        <v>33</v>
      </c>
      <c r="AJ7" s="4" t="s">
        <v>34</v>
      </c>
      <c r="AK7" s="5" t="str">
        <f>'Build-Up'!AK7</f>
        <v>2T25</v>
      </c>
      <c r="AL7" s="5" t="str">
        <f>'Build-Up'!AL7</f>
        <v>3T25</v>
      </c>
      <c r="AM7" s="5" t="str">
        <f>'Build-Up'!AM7</f>
        <v>4T25</v>
      </c>
      <c r="AN7" s="5" t="str">
        <f>'Build-Up'!AN7</f>
        <v>1T26</v>
      </c>
      <c r="AO7" s="5" t="str">
        <f>'Build-Up'!AO7</f>
        <v>2T26</v>
      </c>
      <c r="AP7" s="5" t="str">
        <f>'Build-Up'!AP7</f>
        <v>3T26</v>
      </c>
      <c r="AQ7" s="5" t="str">
        <f>'Build-Up'!AQ7</f>
        <v>4T26</v>
      </c>
      <c r="AR7" s="5" t="str">
        <f>'Build-Up'!AR7</f>
        <v>1T27</v>
      </c>
      <c r="AS7" s="5" t="str">
        <f>'Build-Up'!AS7</f>
        <v>2T27</v>
      </c>
      <c r="AT7" s="5" t="str">
        <f>'Build-Up'!AT7</f>
        <v>3T27</v>
      </c>
      <c r="AU7" s="5" t="str">
        <f>'Build-Up'!AU7</f>
        <v>4T27</v>
      </c>
      <c r="AV7" s="5" t="str">
        <f>'Build-Up'!AV7</f>
        <v>1T28</v>
      </c>
      <c r="AW7" s="5" t="str">
        <f>'Build-Up'!AW7</f>
        <v>2T28</v>
      </c>
      <c r="AX7" s="5" t="str">
        <f>'Build-Up'!AX7</f>
        <v>3T28</v>
      </c>
      <c r="AY7" s="5" t="str">
        <f>'Build-Up'!AY7</f>
        <v>4T28</v>
      </c>
      <c r="AZ7" s="5" t="str">
        <f>'Build-Up'!AZ7</f>
        <v>1T29</v>
      </c>
      <c r="BA7" s="5" t="str">
        <f>'Build-Up'!BA7</f>
        <v>2T29</v>
      </c>
      <c r="BB7" s="5" t="str">
        <f>'Build-Up'!BB7</f>
        <v>3T29</v>
      </c>
      <c r="BC7" s="5" t="str">
        <f>'Build-Up'!BC7</f>
        <v>4T29</v>
      </c>
      <c r="BD7" s="5" t="str">
        <f>'Build-Up'!BD7</f>
        <v>1T30</v>
      </c>
      <c r="BE7" s="5" t="str">
        <f>'Build-Up'!BE7</f>
        <v>2T30</v>
      </c>
      <c r="BF7" s="5" t="str">
        <f>'Build-Up'!BF7</f>
        <v>3T30</v>
      </c>
      <c r="BG7" s="5" t="str">
        <f>'Build-Up'!BG7</f>
        <v>4T30</v>
      </c>
      <c r="BH7" s="5" t="str">
        <f>'Build-Up'!BH7</f>
        <v>1T31</v>
      </c>
      <c r="BI7" s="5" t="str">
        <f>'Build-Up'!BI7</f>
        <v>2T31</v>
      </c>
      <c r="BJ7" s="5" t="str">
        <f>'Build-Up'!BJ7</f>
        <v>3T31</v>
      </c>
      <c r="BK7" s="5" t="str">
        <f>'Build-Up'!BK7</f>
        <v>4T31</v>
      </c>
      <c r="BL7" s="5" t="str">
        <f>'Build-Up'!BL7</f>
        <v>1T32</v>
      </c>
      <c r="BM7" s="5" t="str">
        <f>'Build-Up'!BM7</f>
        <v>2T32</v>
      </c>
      <c r="BN7" s="5" t="str">
        <f>'Build-Up'!BN7</f>
        <v>3T32</v>
      </c>
      <c r="BO7" s="5" t="str">
        <f>'Build-Up'!BO7</f>
        <v>4T32</v>
      </c>
      <c r="BP7" s="5" t="str">
        <f>'Build-Up'!BP7</f>
        <v>1T33</v>
      </c>
      <c r="BQ7" s="5" t="str">
        <f>'Build-Up'!BQ7</f>
        <v>2T33</v>
      </c>
      <c r="BR7" s="5" t="str">
        <f>'Build-Up'!BR7</f>
        <v>3T33</v>
      </c>
      <c r="BS7" s="5" t="str">
        <f>'Build-Up'!BS7</f>
        <v>4T33</v>
      </c>
      <c r="BT7" s="5" t="str">
        <f>'Build-Up'!BT7</f>
        <v>1T34</v>
      </c>
      <c r="BU7" s="5" t="str">
        <f>'Build-Up'!BU7</f>
        <v>2T34</v>
      </c>
      <c r="BV7" s="5" t="str">
        <f>'Build-Up'!BV7</f>
        <v>3T34</v>
      </c>
      <c r="BW7" s="5" t="str">
        <f>'Build-Up'!BW7</f>
        <v>4T34</v>
      </c>
      <c r="BX7" s="6" t="s">
        <v>35</v>
      </c>
      <c r="BY7" s="7">
        <f>'Build-Up'!BY7</f>
        <v>2017</v>
      </c>
      <c r="BZ7" s="7">
        <f>'Build-Up'!BZ7</f>
        <v>2018</v>
      </c>
      <c r="CA7" s="7">
        <f>'Build-Up'!CA7</f>
        <v>2019</v>
      </c>
      <c r="CB7" s="7">
        <f>'Build-Up'!CB7</f>
        <v>2020</v>
      </c>
      <c r="CC7" s="7">
        <f>'Build-Up'!CC7</f>
        <v>2021</v>
      </c>
      <c r="CD7" s="7">
        <f>'Build-Up'!CD7</f>
        <v>2022</v>
      </c>
      <c r="CE7" s="7">
        <f>'Build-Up'!CE7</f>
        <v>2023</v>
      </c>
      <c r="CF7" s="7">
        <f>'Build-Up'!CF7</f>
        <v>2024</v>
      </c>
      <c r="CG7" s="8">
        <f>'Build-Up'!CG7</f>
        <v>2025</v>
      </c>
      <c r="CH7" s="8">
        <f>'Build-Up'!CH7</f>
        <v>2026</v>
      </c>
      <c r="CI7" s="8">
        <f>'Build-Up'!CI7</f>
        <v>2027</v>
      </c>
      <c r="CJ7" s="8">
        <f>'Build-Up'!CJ7</f>
        <v>2028</v>
      </c>
      <c r="CK7" s="8">
        <f>'Build-Up'!CK7</f>
        <v>2029</v>
      </c>
      <c r="CL7" s="8">
        <f>'Build-Up'!CL7</f>
        <v>2030</v>
      </c>
      <c r="CM7" s="8">
        <f>'Build-Up'!CM7</f>
        <v>2031</v>
      </c>
      <c r="CN7" s="8">
        <f>'Build-Up'!CN7</f>
        <v>2032</v>
      </c>
      <c r="CO7" s="8">
        <f>'Build-Up'!CO7</f>
        <v>2033</v>
      </c>
      <c r="CP7" s="8">
        <f>'Build-Up'!CP7</f>
        <v>2034</v>
      </c>
      <c r="CQ7" s="6" t="s">
        <v>35</v>
      </c>
      <c r="CR7" s="4"/>
      <c r="CS7" s="4"/>
      <c r="CT7" s="4"/>
      <c r="CU7" s="4"/>
      <c r="CV7" s="4"/>
      <c r="CW7" s="4"/>
    </row>
    <row r="8" ht="14.25" customHeight="1">
      <c r="A8" s="9"/>
      <c r="B8" s="10"/>
      <c r="C8" s="9"/>
      <c r="BX8" s="6" t="s">
        <v>35</v>
      </c>
      <c r="CQ8" s="6" t="s">
        <v>35</v>
      </c>
    </row>
    <row r="9" ht="14.25" customHeight="1">
      <c r="A9" s="11" t="s">
        <v>36</v>
      </c>
      <c r="B9" s="2" t="s">
        <v>37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6" t="s">
        <v>35</v>
      </c>
      <c r="CQ9" s="6" t="s">
        <v>35</v>
      </c>
    </row>
    <row r="10" ht="14.25" customHeight="1">
      <c r="A10" s="9"/>
      <c r="B10" s="10"/>
      <c r="C10" s="9"/>
      <c r="BX10" s="6" t="s">
        <v>35</v>
      </c>
      <c r="CH10" s="13"/>
      <c r="CQ10" s="6" t="s">
        <v>35</v>
      </c>
    </row>
    <row r="11" ht="14.25" customHeight="1">
      <c r="A11" s="9"/>
      <c r="B11" s="14" t="s">
        <v>38</v>
      </c>
      <c r="C11" s="15" t="s">
        <v>39</v>
      </c>
      <c r="D11" s="16">
        <f>Inputs!F141/1000</f>
        <v>52.292</v>
      </c>
      <c r="E11" s="16">
        <f>Inputs!G141/1000</f>
        <v>54.026</v>
      </c>
      <c r="F11" s="16">
        <f>Inputs!H141/1000</f>
        <v>61.399</v>
      </c>
      <c r="G11" s="16">
        <f>Inputs!I141/1000</f>
        <v>68.785</v>
      </c>
      <c r="H11" s="16">
        <f>Inputs!J141/1000</f>
        <v>76.096</v>
      </c>
      <c r="I11" s="16">
        <f>Inputs!K141/1000</f>
        <v>84.326</v>
      </c>
      <c r="J11" s="16">
        <f>Inputs!L141/1000</f>
        <v>79.884</v>
      </c>
      <c r="K11" s="16">
        <f>Inputs!M141/1000</f>
        <v>86.931</v>
      </c>
      <c r="L11" s="16">
        <f>Inputs!N141/1000</f>
        <v>82.88</v>
      </c>
      <c r="M11" s="16">
        <f>Inputs!O141/1000</f>
        <v>92.456</v>
      </c>
      <c r="N11" s="16">
        <f>Inputs!P141/1000</f>
        <v>85.388</v>
      </c>
      <c r="O11" s="16">
        <f>Inputs!Q141/1000</f>
        <v>87.888</v>
      </c>
      <c r="P11" s="16">
        <f>Inputs!R141/1000</f>
        <v>71.122</v>
      </c>
      <c r="Q11" s="16">
        <f>Inputs!S141/1000</f>
        <v>48.186</v>
      </c>
      <c r="R11" s="16">
        <f>Inputs!T141/1000</f>
        <v>54.827</v>
      </c>
      <c r="S11" s="16">
        <f>Inputs!U141/1000</f>
        <v>68.078</v>
      </c>
      <c r="T11" s="16">
        <f>Inputs!V141/1000</f>
        <v>78.441</v>
      </c>
      <c r="U11" s="16">
        <f>Inputs!W141/1000</f>
        <v>111.524</v>
      </c>
      <c r="V11" s="16">
        <f>Inputs!X141/1000</f>
        <v>123.583</v>
      </c>
      <c r="W11" s="16">
        <f>Inputs!Y141/1000</f>
        <v>119.593</v>
      </c>
      <c r="X11" s="16">
        <f>Inputs!Z141/1000</f>
        <v>129.288</v>
      </c>
      <c r="Y11" s="16">
        <f>Inputs!AA141/1000</f>
        <v>183.942</v>
      </c>
      <c r="Z11" s="16">
        <f>Inputs!AB141/1000</f>
        <v>254.439</v>
      </c>
      <c r="AA11" s="16">
        <f>Inputs!AC141/1000</f>
        <v>245.825</v>
      </c>
      <c r="AB11" s="16">
        <f>Inputs!AD141/1000</f>
        <v>241.262</v>
      </c>
      <c r="AC11" s="16">
        <f>Inputs!AE141/1000</f>
        <v>253.934</v>
      </c>
      <c r="AD11" s="16">
        <f>Inputs!AF141/1000</f>
        <v>268.957</v>
      </c>
      <c r="AE11" s="16">
        <f>Inputs!AG141/1000</f>
        <v>282.257</v>
      </c>
      <c r="AF11" s="16">
        <f>Inputs!AH141/1000</f>
        <v>216.431</v>
      </c>
      <c r="AG11" s="16">
        <f>Inputs!AI141/1000</f>
        <v>205.26</v>
      </c>
      <c r="AH11" s="16">
        <f>Inputs!AJ141/1000</f>
        <v>392.676</v>
      </c>
      <c r="AI11" s="16">
        <f>Inputs!AK141/1000</f>
        <v>419.693</v>
      </c>
      <c r="AJ11" s="16">
        <f>Inputs!AL141/1000</f>
        <v>368.845</v>
      </c>
      <c r="AK11" s="16">
        <f>'Build-Up'!AK20</f>
        <v>354.5325</v>
      </c>
      <c r="AL11" s="16">
        <f>'Build-Up'!AL20</f>
        <v>359.18181</v>
      </c>
      <c r="AM11" s="16">
        <f>'Build-Up'!AM20</f>
        <v>409.381743</v>
      </c>
      <c r="AN11" s="16">
        <f>'Build-Up'!AN20</f>
        <v>384.949449</v>
      </c>
      <c r="AO11" s="16">
        <f>'Build-Up'!AO20</f>
        <v>385.2391931</v>
      </c>
      <c r="AP11" s="16">
        <f>'Build-Up'!AP20</f>
        <v>402.1897176</v>
      </c>
      <c r="AQ11" s="16">
        <f>'Build-Up'!AQ20</f>
        <v>455.0959239</v>
      </c>
      <c r="AR11" s="16">
        <f>'Build-Up'!AR20</f>
        <v>425.8273079</v>
      </c>
      <c r="AS11" s="16">
        <f>'Build-Up'!AS20</f>
        <v>424.0485697</v>
      </c>
      <c r="AT11" s="16">
        <f>'Build-Up'!AT20</f>
        <v>440.5258855</v>
      </c>
      <c r="AU11" s="16">
        <f>'Build-Up'!AU20</f>
        <v>497.2533755</v>
      </c>
      <c r="AV11" s="16">
        <f>'Build-Up'!AV20</f>
        <v>465.2734843</v>
      </c>
      <c r="AW11" s="16">
        <f>'Build-Up'!AW20</f>
        <v>463.3299741</v>
      </c>
      <c r="AX11" s="16">
        <f>'Build-Up'!AX20</f>
        <v>481.3336531</v>
      </c>
      <c r="AY11" s="16">
        <f>'Build-Up'!AY20</f>
        <v>543.3160494</v>
      </c>
      <c r="AZ11" s="16">
        <f>'Build-Up'!AZ20</f>
        <v>508.3737262</v>
      </c>
      <c r="BA11" s="16">
        <f>'Build-Up'!BA20</f>
        <v>506.2501805</v>
      </c>
      <c r="BB11" s="16">
        <f>'Build-Up'!BB20</f>
        <v>525.9216161</v>
      </c>
      <c r="BC11" s="16">
        <f>'Build-Up'!BC20</f>
        <v>593.6457027</v>
      </c>
      <c r="BD11" s="16">
        <f>'Build-Up'!BD20</f>
        <v>555.466525</v>
      </c>
      <c r="BE11" s="16">
        <f>'Build-Up'!BE20</f>
        <v>553.1462663</v>
      </c>
      <c r="BF11" s="16">
        <f>'Build-Up'!BF20</f>
        <v>574.6399498</v>
      </c>
      <c r="BG11" s="16">
        <f>'Build-Up'!BG20</f>
        <v>648.6376036</v>
      </c>
      <c r="BH11" s="16">
        <f>'Build-Up'!BH20</f>
        <v>606.921728</v>
      </c>
      <c r="BI11" s="16">
        <f>'Build-Up'!BI20</f>
        <v>604.386534</v>
      </c>
      <c r="BJ11" s="16">
        <f>'Build-Up'!BJ20</f>
        <v>627.8712679</v>
      </c>
      <c r="BK11" s="16">
        <f>'Build-Up'!BK20</f>
        <v>708.723636</v>
      </c>
      <c r="BL11" s="16">
        <f>'Build-Up'!BL20</f>
        <v>663.1434431</v>
      </c>
      <c r="BM11" s="16">
        <f>'Build-Up'!BM20</f>
        <v>660.3734034</v>
      </c>
      <c r="BN11" s="16">
        <f>'Build-Up'!BN20</f>
        <v>686.033627</v>
      </c>
      <c r="BO11" s="16">
        <f>'Build-Up'!BO20</f>
        <v>774.3756904</v>
      </c>
      <c r="BP11" s="16">
        <f>'Build-Up'!BP20</f>
        <v>724.5732124</v>
      </c>
      <c r="BQ11" s="16">
        <f>'Build-Up'!BQ20</f>
        <v>721.5465722</v>
      </c>
      <c r="BR11" s="16">
        <f>'Build-Up'!BR20</f>
        <v>749.5838105</v>
      </c>
      <c r="BS11" s="16">
        <f>'Build-Up'!BS20</f>
        <v>846.1093711</v>
      </c>
      <c r="BT11" s="16">
        <f>'Build-Up'!BT20</f>
        <v>791.6934799</v>
      </c>
      <c r="BU11" s="16">
        <f>'Build-Up'!BU20</f>
        <v>788.3864693</v>
      </c>
      <c r="BV11" s="16">
        <f>'Build-Up'!BV20</f>
        <v>819.020915</v>
      </c>
      <c r="BW11" s="16">
        <f>'Build-Up'!BW20</f>
        <v>924.4880447</v>
      </c>
      <c r="BX11" s="6" t="s">
        <v>35</v>
      </c>
      <c r="BY11" s="17">
        <f>SUM(D11:G11)</f>
        <v>236.502</v>
      </c>
      <c r="BZ11" s="17">
        <f>SUM(H11:K11)</f>
        <v>327.237</v>
      </c>
      <c r="CA11" s="17">
        <f>SUM(L11:O11)</f>
        <v>348.612</v>
      </c>
      <c r="CB11" s="17">
        <f>SUM(P11:S11)</f>
        <v>242.213</v>
      </c>
      <c r="CC11" s="17">
        <f>SUM(T11:W11)</f>
        <v>433.141</v>
      </c>
      <c r="CD11" s="17">
        <f>SUM(X11:AA11)</f>
        <v>813.494</v>
      </c>
      <c r="CE11" s="17">
        <f>SUM(AB11:AE11)</f>
        <v>1046.41</v>
      </c>
      <c r="CF11" s="17">
        <f>SUM(AF11:AI11)</f>
        <v>1234.06</v>
      </c>
      <c r="CG11" s="17">
        <f>SUM(AJ11:AM11)</f>
        <v>1491.941053</v>
      </c>
      <c r="CH11" s="17">
        <f>SUM(AN11:AQ11)</f>
        <v>1627.474284</v>
      </c>
      <c r="CI11" s="17">
        <f>SUM(AR11:AU11)</f>
        <v>1787.655139</v>
      </c>
      <c r="CJ11" s="17">
        <f>SUM(AV11:AY11)</f>
        <v>1953.253161</v>
      </c>
      <c r="CK11" s="17">
        <f>SUM(AZ11:BC11)</f>
        <v>2134.191225</v>
      </c>
      <c r="CL11" s="17">
        <f>SUM(BD11:BG11)</f>
        <v>2331.890345</v>
      </c>
      <c r="CM11" s="17">
        <f>SUM(BH11:BK11)</f>
        <v>2547.903166</v>
      </c>
      <c r="CN11" s="17">
        <f>SUM(BL11:BO11)</f>
        <v>2783.926164</v>
      </c>
      <c r="CO11" s="17">
        <f>SUM(BP11:BS11)</f>
        <v>3041.812966</v>
      </c>
      <c r="CP11" s="17">
        <f>SUM(BT11:BW11)</f>
        <v>3323.588909</v>
      </c>
      <c r="CQ11" s="6" t="s">
        <v>35</v>
      </c>
    </row>
    <row r="12" ht="14.25" customHeight="1">
      <c r="A12" s="9"/>
      <c r="B12" s="10" t="s">
        <v>40</v>
      </c>
      <c r="C12" s="9"/>
      <c r="D12" s="18"/>
      <c r="E12" s="18"/>
      <c r="F12" s="18"/>
      <c r="G12" s="18"/>
      <c r="H12" s="18">
        <f t="shared" ref="H12:BW12" si="1">H11/D11-1</f>
        <v>0.4552130345</v>
      </c>
      <c r="I12" s="18">
        <f t="shared" si="1"/>
        <v>0.5608410765</v>
      </c>
      <c r="J12" s="18">
        <f t="shared" si="1"/>
        <v>0.3010635352</v>
      </c>
      <c r="K12" s="18">
        <f t="shared" si="1"/>
        <v>0.2638075162</v>
      </c>
      <c r="L12" s="18">
        <f t="shared" si="1"/>
        <v>0.08915054668</v>
      </c>
      <c r="M12" s="18">
        <f t="shared" si="1"/>
        <v>0.09641154567</v>
      </c>
      <c r="N12" s="18">
        <f t="shared" si="1"/>
        <v>0.06889990486</v>
      </c>
      <c r="O12" s="18">
        <f t="shared" si="1"/>
        <v>0.01100873106</v>
      </c>
      <c r="P12" s="18">
        <f t="shared" si="1"/>
        <v>-0.1418677606</v>
      </c>
      <c r="Q12" s="18">
        <f t="shared" si="1"/>
        <v>-0.4788223587</v>
      </c>
      <c r="R12" s="18">
        <f t="shared" si="1"/>
        <v>-0.3579074343</v>
      </c>
      <c r="S12" s="18">
        <f t="shared" si="1"/>
        <v>-0.2254005097</v>
      </c>
      <c r="T12" s="18">
        <f t="shared" si="1"/>
        <v>0.1029076798</v>
      </c>
      <c r="U12" s="18">
        <f t="shared" si="1"/>
        <v>1.31444818</v>
      </c>
      <c r="V12" s="18">
        <f t="shared" si="1"/>
        <v>1.25405366</v>
      </c>
      <c r="W12" s="18">
        <f t="shared" si="1"/>
        <v>0.7567055436</v>
      </c>
      <c r="X12" s="18">
        <f t="shared" si="1"/>
        <v>0.648219681</v>
      </c>
      <c r="Y12" s="18">
        <f t="shared" si="1"/>
        <v>0.649349019</v>
      </c>
      <c r="Z12" s="18">
        <f t="shared" si="1"/>
        <v>1.058851136</v>
      </c>
      <c r="AA12" s="18">
        <f t="shared" si="1"/>
        <v>1.055513283</v>
      </c>
      <c r="AB12" s="18">
        <f t="shared" si="1"/>
        <v>0.8660819256</v>
      </c>
      <c r="AC12" s="18">
        <f t="shared" si="1"/>
        <v>0.3805112481</v>
      </c>
      <c r="AD12" s="18">
        <f t="shared" si="1"/>
        <v>0.05705886283</v>
      </c>
      <c r="AE12" s="18">
        <f t="shared" si="1"/>
        <v>0.1482029899</v>
      </c>
      <c r="AF12" s="18">
        <f t="shared" si="1"/>
        <v>-0.1029213055</v>
      </c>
      <c r="AG12" s="18">
        <f t="shared" si="1"/>
        <v>-0.1916797278</v>
      </c>
      <c r="AH12" s="18">
        <f t="shared" si="1"/>
        <v>0.459995464</v>
      </c>
      <c r="AI12" s="18">
        <f t="shared" si="1"/>
        <v>0.4869179507</v>
      </c>
      <c r="AJ12" s="18">
        <f t="shared" si="1"/>
        <v>0.7042152002</v>
      </c>
      <c r="AK12" s="18">
        <f t="shared" si="1"/>
        <v>0.7272361882</v>
      </c>
      <c r="AL12" s="18">
        <f t="shared" si="1"/>
        <v>-0.08529726798</v>
      </c>
      <c r="AM12" s="18">
        <f t="shared" si="1"/>
        <v>-0.02456857039</v>
      </c>
      <c r="AN12" s="18">
        <f t="shared" si="1"/>
        <v>0.04366183348</v>
      </c>
      <c r="AO12" s="18">
        <f t="shared" si="1"/>
        <v>0.08661178636</v>
      </c>
      <c r="AP12" s="18">
        <f t="shared" si="1"/>
        <v>0.1197385459</v>
      </c>
      <c r="AQ12" s="18">
        <f t="shared" si="1"/>
        <v>0.1116663889</v>
      </c>
      <c r="AR12" s="18">
        <f t="shared" si="1"/>
        <v>0.1061901998</v>
      </c>
      <c r="AS12" s="18">
        <f t="shared" si="1"/>
        <v>0.100740987</v>
      </c>
      <c r="AT12" s="18">
        <f t="shared" si="1"/>
        <v>0.09531861757</v>
      </c>
      <c r="AU12" s="18">
        <f t="shared" si="1"/>
        <v>0.0926342105</v>
      </c>
      <c r="AV12" s="18">
        <f t="shared" si="1"/>
        <v>0.0926342105</v>
      </c>
      <c r="AW12" s="18">
        <f t="shared" si="1"/>
        <v>0.0926342105</v>
      </c>
      <c r="AX12" s="18">
        <f t="shared" si="1"/>
        <v>0.0926342105</v>
      </c>
      <c r="AY12" s="18">
        <f t="shared" si="1"/>
        <v>0.0926342105</v>
      </c>
      <c r="AZ12" s="18">
        <f t="shared" si="1"/>
        <v>0.0926342105</v>
      </c>
      <c r="BA12" s="18">
        <f t="shared" si="1"/>
        <v>0.0926342105</v>
      </c>
      <c r="BB12" s="18">
        <f t="shared" si="1"/>
        <v>0.0926342105</v>
      </c>
      <c r="BC12" s="18">
        <f t="shared" si="1"/>
        <v>0.0926342105</v>
      </c>
      <c r="BD12" s="18">
        <f t="shared" si="1"/>
        <v>0.0926342105</v>
      </c>
      <c r="BE12" s="18">
        <f t="shared" si="1"/>
        <v>0.0926342105</v>
      </c>
      <c r="BF12" s="18">
        <f t="shared" si="1"/>
        <v>0.0926342105</v>
      </c>
      <c r="BG12" s="18">
        <f t="shared" si="1"/>
        <v>0.0926342105</v>
      </c>
      <c r="BH12" s="18">
        <f t="shared" si="1"/>
        <v>0.0926342105</v>
      </c>
      <c r="BI12" s="18">
        <f t="shared" si="1"/>
        <v>0.0926342105</v>
      </c>
      <c r="BJ12" s="18">
        <f t="shared" si="1"/>
        <v>0.0926342105</v>
      </c>
      <c r="BK12" s="18">
        <f t="shared" si="1"/>
        <v>0.0926342105</v>
      </c>
      <c r="BL12" s="18">
        <f t="shared" si="1"/>
        <v>0.0926342105</v>
      </c>
      <c r="BM12" s="18">
        <f t="shared" si="1"/>
        <v>0.0926342105</v>
      </c>
      <c r="BN12" s="18">
        <f t="shared" si="1"/>
        <v>0.0926342105</v>
      </c>
      <c r="BO12" s="18">
        <f t="shared" si="1"/>
        <v>0.0926342105</v>
      </c>
      <c r="BP12" s="18">
        <f t="shared" si="1"/>
        <v>0.0926342105</v>
      </c>
      <c r="BQ12" s="18">
        <f t="shared" si="1"/>
        <v>0.0926342105</v>
      </c>
      <c r="BR12" s="18">
        <f t="shared" si="1"/>
        <v>0.0926342105</v>
      </c>
      <c r="BS12" s="18">
        <f t="shared" si="1"/>
        <v>0.0926342105</v>
      </c>
      <c r="BT12" s="18">
        <f t="shared" si="1"/>
        <v>0.0926342105</v>
      </c>
      <c r="BU12" s="18">
        <f t="shared" si="1"/>
        <v>0.0926342105</v>
      </c>
      <c r="BV12" s="18">
        <f t="shared" si="1"/>
        <v>0.0926342105</v>
      </c>
      <c r="BW12" s="18">
        <f t="shared" si="1"/>
        <v>0.0926342105</v>
      </c>
      <c r="BX12" s="6" t="s">
        <v>35</v>
      </c>
      <c r="BY12" s="19"/>
      <c r="BZ12" s="19">
        <f t="shared" ref="BZ12:CP12" si="2">BZ11/BY11-1</f>
        <v>0.3836542609</v>
      </c>
      <c r="CA12" s="19">
        <f t="shared" si="2"/>
        <v>0.06531963073</v>
      </c>
      <c r="CB12" s="19">
        <f t="shared" si="2"/>
        <v>-0.3052075086</v>
      </c>
      <c r="CC12" s="19">
        <f t="shared" si="2"/>
        <v>0.7882648743</v>
      </c>
      <c r="CD12" s="19">
        <f t="shared" si="2"/>
        <v>0.8781274458</v>
      </c>
      <c r="CE12" s="19">
        <f t="shared" si="2"/>
        <v>0.2863155721</v>
      </c>
      <c r="CF12" s="19">
        <f t="shared" si="2"/>
        <v>0.1793274147</v>
      </c>
      <c r="CG12" s="19">
        <f t="shared" si="2"/>
        <v>0.208969623</v>
      </c>
      <c r="CH12" s="19">
        <f t="shared" si="2"/>
        <v>0.09084355605</v>
      </c>
      <c r="CI12" s="19">
        <f t="shared" si="2"/>
        <v>0.09842297143</v>
      </c>
      <c r="CJ12" s="19">
        <f t="shared" si="2"/>
        <v>0.0926342105</v>
      </c>
      <c r="CK12" s="19">
        <f t="shared" si="2"/>
        <v>0.0926342105</v>
      </c>
      <c r="CL12" s="19">
        <f t="shared" si="2"/>
        <v>0.0926342105</v>
      </c>
      <c r="CM12" s="19">
        <f t="shared" si="2"/>
        <v>0.0926342105</v>
      </c>
      <c r="CN12" s="19">
        <f t="shared" si="2"/>
        <v>0.0926342105</v>
      </c>
      <c r="CO12" s="19">
        <f t="shared" si="2"/>
        <v>0.0926342105</v>
      </c>
      <c r="CP12" s="19">
        <f t="shared" si="2"/>
        <v>0.0926342105</v>
      </c>
      <c r="CQ12" s="6" t="s">
        <v>35</v>
      </c>
    </row>
    <row r="13" ht="14.25" customHeight="1">
      <c r="A13" s="9"/>
      <c r="B13" s="20"/>
      <c r="C13" s="9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BX13" s="6" t="s">
        <v>35</v>
      </c>
      <c r="CQ13" s="6" t="s">
        <v>35</v>
      </c>
    </row>
    <row r="14" ht="14.25" customHeight="1">
      <c r="A14" s="9"/>
      <c r="B14" s="22" t="s">
        <v>41</v>
      </c>
      <c r="C14" s="15" t="s">
        <v>39</v>
      </c>
      <c r="D14" s="23">
        <f>Inputs!F142/1000</f>
        <v>-39.486</v>
      </c>
      <c r="E14" s="23">
        <f>Inputs!G142/1000</f>
        <v>-44.543</v>
      </c>
      <c r="F14" s="23">
        <f>Inputs!H142/1000</f>
        <v>-57.243</v>
      </c>
      <c r="G14" s="23">
        <f>Inputs!I142/1000</f>
        <v>-61.827</v>
      </c>
      <c r="H14" s="23">
        <f>Inputs!J142/1000</f>
        <v>-65.521</v>
      </c>
      <c r="I14" s="23">
        <f>Inputs!K142/1000</f>
        <v>-77.319</v>
      </c>
      <c r="J14" s="23">
        <f>Inputs!L142/1000</f>
        <v>-70.948</v>
      </c>
      <c r="K14" s="23">
        <f>Inputs!M142/1000</f>
        <v>-68.426</v>
      </c>
      <c r="L14" s="23">
        <f>Inputs!N142/1000</f>
        <v>-72.35</v>
      </c>
      <c r="M14" s="23">
        <f>Inputs!O142/1000</f>
        <v>-79.769</v>
      </c>
      <c r="N14" s="23">
        <f>Inputs!P142/1000</f>
        <v>-74.646</v>
      </c>
      <c r="O14" s="23">
        <f>Inputs!Q142/1000</f>
        <v>-72.82</v>
      </c>
      <c r="P14" s="23">
        <f>Inputs!R142/1000</f>
        <v>-61.707</v>
      </c>
      <c r="Q14" s="23">
        <f>Inputs!S142/1000</f>
        <v>-52.435</v>
      </c>
      <c r="R14" s="23">
        <f>Inputs!T142/1000</f>
        <v>-45.38</v>
      </c>
      <c r="S14" s="23">
        <f>Inputs!U142/1000</f>
        <v>-55.542</v>
      </c>
      <c r="T14" s="23">
        <f>Inputs!V142/1000</f>
        <v>-67.03</v>
      </c>
      <c r="U14" s="23">
        <f>Inputs!W142/1000</f>
        <v>-90.054</v>
      </c>
      <c r="V14" s="23">
        <f>Inputs!X142/1000</f>
        <v>-102.421</v>
      </c>
      <c r="W14" s="23">
        <f>Inputs!Y142/1000</f>
        <v>-103.182</v>
      </c>
      <c r="X14" s="23">
        <f>Inputs!Z142/1000</f>
        <v>-103.765</v>
      </c>
      <c r="Y14" s="23">
        <f>Inputs!AA142/1000</f>
        <v>-144.536</v>
      </c>
      <c r="Z14" s="23">
        <f>Inputs!AB142/1000</f>
        <v>-176.368</v>
      </c>
      <c r="AA14" s="23">
        <f>Inputs!AC142/1000</f>
        <v>-190.243</v>
      </c>
      <c r="AB14" s="23">
        <f>Inputs!AD142/1000</f>
        <v>-191.671</v>
      </c>
      <c r="AC14" s="23">
        <f>Inputs!AE142/1000</f>
        <v>-199.081</v>
      </c>
      <c r="AD14" s="23">
        <f>Inputs!AF142/1000</f>
        <v>-217.445</v>
      </c>
      <c r="AE14" s="23">
        <f>Inputs!AG142/1000</f>
        <v>-222.643</v>
      </c>
      <c r="AF14" s="23">
        <f>Inputs!AH142/1000</f>
        <v>-172.916</v>
      </c>
      <c r="AG14" s="23">
        <f>Inputs!AI142/1000</f>
        <v>-166.271</v>
      </c>
      <c r="AH14" s="23">
        <f>Inputs!AJ142/1000</f>
        <v>-303.825</v>
      </c>
      <c r="AI14" s="23">
        <f>Inputs!AK142/1000</f>
        <v>-317.453</v>
      </c>
      <c r="AJ14" s="23">
        <f>Inputs!AL142/1000</f>
        <v>-295.005</v>
      </c>
      <c r="AK14" s="23">
        <f>'Build-Up'!AK50</f>
        <v>-279.4900156</v>
      </c>
      <c r="AL14" s="23">
        <f>'Build-Up'!AL50</f>
        <v>-280.4450711</v>
      </c>
      <c r="AM14" s="23">
        <f>'Build-Up'!AM50</f>
        <v>-321.0479874</v>
      </c>
      <c r="AN14" s="23">
        <f>'Build-Up'!AN50</f>
        <v>-302.1668308</v>
      </c>
      <c r="AO14" s="23">
        <f>'Build-Up'!AO50</f>
        <v>-302.5425199</v>
      </c>
      <c r="AP14" s="23">
        <f>'Build-Up'!AP50</f>
        <v>-312.8484092</v>
      </c>
      <c r="AQ14" s="23">
        <f>'Build-Up'!AQ50</f>
        <v>-355.3319939</v>
      </c>
      <c r="AR14" s="23">
        <f>'Build-Up'!AR50</f>
        <v>-333.2628815</v>
      </c>
      <c r="AS14" s="23">
        <f>'Build-Up'!AS50</f>
        <v>-332.2460108</v>
      </c>
      <c r="AT14" s="23">
        <f>'Build-Up'!AT50</f>
        <v>-341.8636339</v>
      </c>
      <c r="AU14" s="23">
        <f>'Build-Up'!AU50</f>
        <v>-387.5877977</v>
      </c>
      <c r="AV14" s="23">
        <f>'Build-Up'!AV50</f>
        <v>-364.1344255</v>
      </c>
      <c r="AW14" s="23">
        <f>'Build-Up'!AW50</f>
        <v>-363.0233577</v>
      </c>
      <c r="AX14" s="23">
        <f>'Build-Up'!AX50</f>
        <v>-373.5319017</v>
      </c>
      <c r="AY14" s="23">
        <f>'Build-Up'!AY50</f>
        <v>-423.4916874</v>
      </c>
      <c r="AZ14" s="23">
        <f>'Build-Up'!AZ50</f>
        <v>-397.8657305</v>
      </c>
      <c r="BA14" s="23">
        <f>'Build-Up'!BA50</f>
        <v>-396.6517399</v>
      </c>
      <c r="BB14" s="23">
        <f>'Build-Up'!BB50</f>
        <v>-408.1337345</v>
      </c>
      <c r="BC14" s="23">
        <f>'Build-Up'!BC50</f>
        <v>-462.7215055</v>
      </c>
      <c r="BD14" s="23">
        <f>'Build-Up'!BD50</f>
        <v>-434.7217083</v>
      </c>
      <c r="BE14" s="23">
        <f>'Build-Up'!BE50</f>
        <v>-433.3952606</v>
      </c>
      <c r="BF14" s="23">
        <f>'Build-Up'!BF50</f>
        <v>-445.9408808</v>
      </c>
      <c r="BG14" s="23">
        <f>'Build-Up'!BG50</f>
        <v>-505.5853468</v>
      </c>
      <c r="BH14" s="23">
        <f>'Build-Up'!BH50</f>
        <v>-474.9918105</v>
      </c>
      <c r="BI14" s="23">
        <f>'Build-Up'!BI50</f>
        <v>-473.5424884</v>
      </c>
      <c r="BJ14" s="23">
        <f>'Build-Up'!BJ50</f>
        <v>-487.2502622</v>
      </c>
      <c r="BK14" s="23">
        <f>'Build-Up'!BK50</f>
        <v>-552.4198463</v>
      </c>
      <c r="BL14" s="23">
        <f>'Build-Up'!BL50</f>
        <v>-518.9923019</v>
      </c>
      <c r="BM14" s="23">
        <f>'Build-Up'!BM50</f>
        <v>-517.408723</v>
      </c>
      <c r="BN14" s="23">
        <f>'Build-Up'!BN50</f>
        <v>-532.3863056</v>
      </c>
      <c r="BO14" s="23">
        <f>'Build-Up'!BO50</f>
        <v>-603.5928226</v>
      </c>
      <c r="BP14" s="23">
        <f>'Build-Up'!BP50</f>
        <v>-567.068744</v>
      </c>
      <c r="BQ14" s="23">
        <f>'Build-Up'!BQ50</f>
        <v>-565.3384716</v>
      </c>
      <c r="BR14" s="23">
        <f>'Build-Up'!BR50</f>
        <v>-581.7034907</v>
      </c>
      <c r="BS14" s="23">
        <f>'Build-Up'!BS50</f>
        <v>-659.5061672</v>
      </c>
      <c r="BT14" s="23">
        <f>'Build-Up'!BT50</f>
        <v>-619.5987094</v>
      </c>
      <c r="BU14" s="23">
        <f>'Build-Up'!BU50</f>
        <v>-617.7081545</v>
      </c>
      <c r="BV14" s="23">
        <f>'Build-Up'!BV50</f>
        <v>-635.5891343</v>
      </c>
      <c r="BW14" s="23">
        <f>'Build-Up'!BW50</f>
        <v>-720.5990003</v>
      </c>
      <c r="BX14" s="6" t="s">
        <v>35</v>
      </c>
      <c r="BY14" s="24">
        <f>SUM(D14:G14)</f>
        <v>-203.099</v>
      </c>
      <c r="BZ14" s="24">
        <f>SUM(H14:K14)</f>
        <v>-282.214</v>
      </c>
      <c r="CA14" s="24">
        <f>SUM(L14:O14)</f>
        <v>-299.585</v>
      </c>
      <c r="CB14" s="24">
        <f>SUM(P14:S14)</f>
        <v>-215.064</v>
      </c>
      <c r="CC14" s="24">
        <f>SUM(T14:W14)</f>
        <v>-362.687</v>
      </c>
      <c r="CD14" s="24">
        <f>SUM(X14:AA14)</f>
        <v>-614.912</v>
      </c>
      <c r="CE14" s="24">
        <f>SUM(AB14:AE14)</f>
        <v>-830.84</v>
      </c>
      <c r="CF14" s="24">
        <f>SUM(AF14:AI14)</f>
        <v>-960.465</v>
      </c>
      <c r="CG14" s="24">
        <f>SUM(AJ14:AM14)</f>
        <v>-1175.988074</v>
      </c>
      <c r="CH14" s="24">
        <f>SUM(AN14:AQ14)</f>
        <v>-1272.889754</v>
      </c>
      <c r="CI14" s="24">
        <f>SUM(AR14:AU14)</f>
        <v>-1394.960324</v>
      </c>
      <c r="CJ14" s="24">
        <f>SUM(AV14:AY14)</f>
        <v>-1524.181372</v>
      </c>
      <c r="CK14" s="24">
        <f>SUM(AZ14:BC14)</f>
        <v>-1665.37271</v>
      </c>
      <c r="CL14" s="24">
        <f>SUM(BD14:BG14)</f>
        <v>-1819.643197</v>
      </c>
      <c r="CM14" s="24">
        <f>SUM(BH14:BK14)</f>
        <v>-1988.204407</v>
      </c>
      <c r="CN14" s="24">
        <f>SUM(BL14:BO14)</f>
        <v>-2172.380153</v>
      </c>
      <c r="CO14" s="24">
        <f>SUM(BP14:BS14)</f>
        <v>-2373.616873</v>
      </c>
      <c r="CP14" s="24">
        <f>SUM(BT14:BW14)</f>
        <v>-2593.494999</v>
      </c>
      <c r="CQ14" s="6" t="s">
        <v>35</v>
      </c>
    </row>
    <row r="15" ht="14.25" customHeight="1">
      <c r="A15" s="9"/>
      <c r="B15" s="10" t="s">
        <v>40</v>
      </c>
      <c r="C15" s="9" t="s">
        <v>42</v>
      </c>
      <c r="D15" s="18"/>
      <c r="E15" s="18"/>
      <c r="F15" s="18"/>
      <c r="G15" s="18"/>
      <c r="H15" s="18">
        <f t="shared" ref="H15:BW15" si="3">H14/D14-1</f>
        <v>0.6593476169</v>
      </c>
      <c r="I15" s="18">
        <f t="shared" si="3"/>
        <v>0.7358283007</v>
      </c>
      <c r="J15" s="18">
        <f t="shared" si="3"/>
        <v>0.2394179201</v>
      </c>
      <c r="K15" s="18">
        <f t="shared" si="3"/>
        <v>0.1067333042</v>
      </c>
      <c r="L15" s="18">
        <f t="shared" si="3"/>
        <v>0.104226126</v>
      </c>
      <c r="M15" s="18">
        <f t="shared" si="3"/>
        <v>0.03168690749</v>
      </c>
      <c r="N15" s="18">
        <f t="shared" si="3"/>
        <v>0.0521226814</v>
      </c>
      <c r="O15" s="18">
        <f t="shared" si="3"/>
        <v>0.06421535674</v>
      </c>
      <c r="P15" s="18">
        <f t="shared" si="3"/>
        <v>-0.1471043538</v>
      </c>
      <c r="Q15" s="18">
        <f t="shared" si="3"/>
        <v>-0.3426644436</v>
      </c>
      <c r="R15" s="18">
        <f t="shared" si="3"/>
        <v>-0.3920638748</v>
      </c>
      <c r="S15" s="18">
        <f t="shared" si="3"/>
        <v>-0.2372699808</v>
      </c>
      <c r="T15" s="18">
        <f t="shared" si="3"/>
        <v>0.08626249858</v>
      </c>
      <c r="U15" s="18">
        <f t="shared" si="3"/>
        <v>0.7174406408</v>
      </c>
      <c r="V15" s="18">
        <f t="shared" si="3"/>
        <v>1.25696342</v>
      </c>
      <c r="W15" s="18">
        <f t="shared" si="3"/>
        <v>0.8577292859</v>
      </c>
      <c r="X15" s="18">
        <f t="shared" si="3"/>
        <v>0.5480381919</v>
      </c>
      <c r="Y15" s="18">
        <f t="shared" si="3"/>
        <v>0.60499256</v>
      </c>
      <c r="Z15" s="18">
        <f t="shared" si="3"/>
        <v>0.7219906074</v>
      </c>
      <c r="AA15" s="18">
        <f t="shared" si="3"/>
        <v>0.8437615088</v>
      </c>
      <c r="AB15" s="18">
        <f t="shared" si="3"/>
        <v>0.8471642654</v>
      </c>
      <c r="AC15" s="18">
        <f t="shared" si="3"/>
        <v>0.3773800299</v>
      </c>
      <c r="AD15" s="18">
        <f t="shared" si="3"/>
        <v>0.2329050621</v>
      </c>
      <c r="AE15" s="18">
        <f t="shared" si="3"/>
        <v>0.1703085002</v>
      </c>
      <c r="AF15" s="18">
        <f t="shared" si="3"/>
        <v>-0.09784996165</v>
      </c>
      <c r="AG15" s="18">
        <f t="shared" si="3"/>
        <v>-0.1648072895</v>
      </c>
      <c r="AH15" s="18">
        <f t="shared" si="3"/>
        <v>0.3972498793</v>
      </c>
      <c r="AI15" s="18">
        <f t="shared" si="3"/>
        <v>0.4258386745</v>
      </c>
      <c r="AJ15" s="18">
        <f t="shared" si="3"/>
        <v>0.7060595896</v>
      </c>
      <c r="AK15" s="18">
        <f t="shared" si="3"/>
        <v>0.6809306227</v>
      </c>
      <c r="AL15" s="18">
        <f t="shared" si="3"/>
        <v>-0.07695195902</v>
      </c>
      <c r="AM15" s="18">
        <f t="shared" si="3"/>
        <v>0.01132447139</v>
      </c>
      <c r="AN15" s="18">
        <f t="shared" si="3"/>
        <v>0.02427698117</v>
      </c>
      <c r="AO15" s="18">
        <f t="shared" si="3"/>
        <v>0.08248060068</v>
      </c>
      <c r="AP15" s="18">
        <f t="shared" si="3"/>
        <v>0.1155425481</v>
      </c>
      <c r="AQ15" s="18">
        <f t="shared" si="3"/>
        <v>0.1067877946</v>
      </c>
      <c r="AR15" s="18">
        <f t="shared" si="3"/>
        <v>0.1029102057</v>
      </c>
      <c r="AS15" s="18">
        <f t="shared" si="3"/>
        <v>0.09817955805</v>
      </c>
      <c r="AT15" s="18">
        <f t="shared" si="3"/>
        <v>0.09274531646</v>
      </c>
      <c r="AU15" s="18">
        <f t="shared" si="3"/>
        <v>0.09077652542</v>
      </c>
      <c r="AV15" s="18">
        <f t="shared" si="3"/>
        <v>0.0926342105</v>
      </c>
      <c r="AW15" s="18">
        <f t="shared" si="3"/>
        <v>0.0926342105</v>
      </c>
      <c r="AX15" s="18">
        <f t="shared" si="3"/>
        <v>0.0926342105</v>
      </c>
      <c r="AY15" s="18">
        <f t="shared" si="3"/>
        <v>0.0926342105</v>
      </c>
      <c r="AZ15" s="18">
        <f t="shared" si="3"/>
        <v>0.0926342105</v>
      </c>
      <c r="BA15" s="18">
        <f t="shared" si="3"/>
        <v>0.0926342105</v>
      </c>
      <c r="BB15" s="18">
        <f t="shared" si="3"/>
        <v>0.0926342105</v>
      </c>
      <c r="BC15" s="18">
        <f t="shared" si="3"/>
        <v>0.0926342105</v>
      </c>
      <c r="BD15" s="18">
        <f t="shared" si="3"/>
        <v>0.0926342105</v>
      </c>
      <c r="BE15" s="18">
        <f t="shared" si="3"/>
        <v>0.0926342105</v>
      </c>
      <c r="BF15" s="18">
        <f t="shared" si="3"/>
        <v>0.0926342105</v>
      </c>
      <c r="BG15" s="18">
        <f t="shared" si="3"/>
        <v>0.0926342105</v>
      </c>
      <c r="BH15" s="18">
        <f t="shared" si="3"/>
        <v>0.0926342105</v>
      </c>
      <c r="BI15" s="18">
        <f t="shared" si="3"/>
        <v>0.0926342105</v>
      </c>
      <c r="BJ15" s="18">
        <f t="shared" si="3"/>
        <v>0.0926342105</v>
      </c>
      <c r="BK15" s="18">
        <f t="shared" si="3"/>
        <v>0.0926342105</v>
      </c>
      <c r="BL15" s="18">
        <f t="shared" si="3"/>
        <v>0.0926342105</v>
      </c>
      <c r="BM15" s="18">
        <f t="shared" si="3"/>
        <v>0.0926342105</v>
      </c>
      <c r="BN15" s="18">
        <f t="shared" si="3"/>
        <v>0.0926342105</v>
      </c>
      <c r="BO15" s="18">
        <f t="shared" si="3"/>
        <v>0.0926342105</v>
      </c>
      <c r="BP15" s="18">
        <f t="shared" si="3"/>
        <v>0.0926342105</v>
      </c>
      <c r="BQ15" s="18">
        <f t="shared" si="3"/>
        <v>0.0926342105</v>
      </c>
      <c r="BR15" s="18">
        <f t="shared" si="3"/>
        <v>0.0926342105</v>
      </c>
      <c r="BS15" s="18">
        <f t="shared" si="3"/>
        <v>0.0926342105</v>
      </c>
      <c r="BT15" s="18">
        <f t="shared" si="3"/>
        <v>0.0926342105</v>
      </c>
      <c r="BU15" s="18">
        <f t="shared" si="3"/>
        <v>0.0926342105</v>
      </c>
      <c r="BV15" s="18">
        <f t="shared" si="3"/>
        <v>0.0926342105</v>
      </c>
      <c r="BW15" s="18">
        <f t="shared" si="3"/>
        <v>0.0926342105</v>
      </c>
      <c r="BX15" s="6" t="s">
        <v>35</v>
      </c>
      <c r="BY15" s="25"/>
      <c r="BZ15" s="18">
        <f t="shared" ref="BZ15:CP15" si="4">BZ14/BY14-1</f>
        <v>0.3895390918</v>
      </c>
      <c r="CA15" s="18">
        <f t="shared" si="4"/>
        <v>0.06155258067</v>
      </c>
      <c r="CB15" s="18">
        <f t="shared" si="4"/>
        <v>-0.2821269423</v>
      </c>
      <c r="CC15" s="18">
        <f t="shared" si="4"/>
        <v>0.6864142767</v>
      </c>
      <c r="CD15" s="18">
        <f t="shared" si="4"/>
        <v>0.6954343552</v>
      </c>
      <c r="CE15" s="18">
        <f t="shared" si="4"/>
        <v>0.3511526853</v>
      </c>
      <c r="CF15" s="18">
        <f t="shared" si="4"/>
        <v>0.1560168023</v>
      </c>
      <c r="CG15" s="18">
        <f t="shared" si="4"/>
        <v>0.224394511</v>
      </c>
      <c r="CH15" s="18">
        <f t="shared" si="4"/>
        <v>0.08240022325</v>
      </c>
      <c r="CI15" s="18">
        <f t="shared" si="4"/>
        <v>0.09590034779</v>
      </c>
      <c r="CJ15" s="18">
        <f t="shared" si="4"/>
        <v>0.0926342105</v>
      </c>
      <c r="CK15" s="18">
        <f t="shared" si="4"/>
        <v>0.0926342105</v>
      </c>
      <c r="CL15" s="18">
        <f t="shared" si="4"/>
        <v>0.0926342105</v>
      </c>
      <c r="CM15" s="18">
        <f t="shared" si="4"/>
        <v>0.0926342105</v>
      </c>
      <c r="CN15" s="18">
        <f t="shared" si="4"/>
        <v>0.0926342105</v>
      </c>
      <c r="CO15" s="18">
        <f t="shared" si="4"/>
        <v>0.0926342105</v>
      </c>
      <c r="CP15" s="18">
        <f t="shared" si="4"/>
        <v>0.0926342105</v>
      </c>
      <c r="CQ15" s="6" t="s">
        <v>35</v>
      </c>
    </row>
    <row r="16" ht="14.25" customHeight="1">
      <c r="A16" s="9"/>
      <c r="B16" s="10"/>
      <c r="C16" s="9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BX16" s="6" t="s">
        <v>35</v>
      </c>
      <c r="CQ16" s="6" t="s">
        <v>35</v>
      </c>
    </row>
    <row r="17" ht="14.25" customHeight="1">
      <c r="A17" s="9"/>
      <c r="B17" s="14" t="s">
        <v>43</v>
      </c>
      <c r="C17" s="15" t="s">
        <v>39</v>
      </c>
      <c r="D17" s="16">
        <f>Inputs!F144/1000</f>
        <v>12.806</v>
      </c>
      <c r="E17" s="16">
        <f>Inputs!G144/1000</f>
        <v>9.483</v>
      </c>
      <c r="F17" s="16">
        <f>Inputs!H144/1000</f>
        <v>4.156</v>
      </c>
      <c r="G17" s="16">
        <f>Inputs!I144/1000</f>
        <v>6.958</v>
      </c>
      <c r="H17" s="16">
        <f>Inputs!J144/1000</f>
        <v>10.575</v>
      </c>
      <c r="I17" s="16">
        <f>Inputs!K144/1000</f>
        <v>7.007</v>
      </c>
      <c r="J17" s="16">
        <f>Inputs!L144/1000</f>
        <v>8.936</v>
      </c>
      <c r="K17" s="16">
        <f>Inputs!M144/1000</f>
        <v>18.505</v>
      </c>
      <c r="L17" s="16">
        <f>Inputs!N144/1000</f>
        <v>10.53</v>
      </c>
      <c r="M17" s="16">
        <f>Inputs!O144/1000</f>
        <v>12.687</v>
      </c>
      <c r="N17" s="16">
        <f>Inputs!P144/1000</f>
        <v>10.742</v>
      </c>
      <c r="O17" s="16">
        <f>Inputs!Q144/1000</f>
        <v>15.068</v>
      </c>
      <c r="P17" s="16">
        <f>Inputs!R144/1000</f>
        <v>9.415</v>
      </c>
      <c r="Q17" s="16">
        <f>Inputs!S144/1000</f>
        <v>-4.249</v>
      </c>
      <c r="R17" s="16">
        <f>Inputs!T144/1000</f>
        <v>9.447</v>
      </c>
      <c r="S17" s="16">
        <f>Inputs!U144/1000</f>
        <v>12.536</v>
      </c>
      <c r="T17" s="16">
        <f>Inputs!V144/1000</f>
        <v>11.411</v>
      </c>
      <c r="U17" s="16">
        <f>Inputs!W144/1000</f>
        <v>21.47</v>
      </c>
      <c r="V17" s="16">
        <f>Inputs!X144/1000</f>
        <v>21.162</v>
      </c>
      <c r="W17" s="16">
        <f>Inputs!Y144/1000</f>
        <v>16.411</v>
      </c>
      <c r="X17" s="16">
        <f>Inputs!Z144/1000</f>
        <v>25.523</v>
      </c>
      <c r="Y17" s="16">
        <f>Inputs!AA144/1000</f>
        <v>39.406</v>
      </c>
      <c r="Z17" s="16">
        <f>Inputs!AB144/1000</f>
        <v>78.071</v>
      </c>
      <c r="AA17" s="16">
        <f>Inputs!AC144/1000</f>
        <v>55.582</v>
      </c>
      <c r="AB17" s="16">
        <f>Inputs!AD144/1000</f>
        <v>49.591</v>
      </c>
      <c r="AC17" s="16">
        <f>Inputs!AE144/1000</f>
        <v>54.853</v>
      </c>
      <c r="AD17" s="16">
        <f>Inputs!AF144/1000</f>
        <v>51.512</v>
      </c>
      <c r="AE17" s="16">
        <f>Inputs!AG144/1000</f>
        <v>59.614</v>
      </c>
      <c r="AF17" s="16">
        <f>Inputs!AH144/1000</f>
        <v>43.515</v>
      </c>
      <c r="AG17" s="16">
        <f>Inputs!AI144/1000</f>
        <v>38.989</v>
      </c>
      <c r="AH17" s="16">
        <f>Inputs!AJ144/1000</f>
        <v>88.851</v>
      </c>
      <c r="AI17" s="16">
        <f>Inputs!AK144/1000</f>
        <v>102.24</v>
      </c>
      <c r="AJ17" s="16">
        <f>Inputs!AL144/1000</f>
        <v>73.84</v>
      </c>
      <c r="AK17" s="16">
        <f t="shared" ref="AK17:BW17" si="5">AK11+AK14</f>
        <v>75.04248443</v>
      </c>
      <c r="AL17" s="16">
        <f t="shared" si="5"/>
        <v>78.73673895</v>
      </c>
      <c r="AM17" s="16">
        <f t="shared" si="5"/>
        <v>88.33375557</v>
      </c>
      <c r="AN17" s="16">
        <f t="shared" si="5"/>
        <v>82.78261814</v>
      </c>
      <c r="AO17" s="16">
        <f t="shared" si="5"/>
        <v>82.69667321</v>
      </c>
      <c r="AP17" s="16">
        <f t="shared" si="5"/>
        <v>89.34130848</v>
      </c>
      <c r="AQ17" s="16">
        <f t="shared" si="5"/>
        <v>99.76392996</v>
      </c>
      <c r="AR17" s="16">
        <f t="shared" si="5"/>
        <v>92.56442632</v>
      </c>
      <c r="AS17" s="16">
        <f t="shared" si="5"/>
        <v>91.80255885</v>
      </c>
      <c r="AT17" s="16">
        <f t="shared" si="5"/>
        <v>98.66225165</v>
      </c>
      <c r="AU17" s="16">
        <f t="shared" si="5"/>
        <v>109.6655778</v>
      </c>
      <c r="AV17" s="16">
        <f t="shared" si="5"/>
        <v>101.1390589</v>
      </c>
      <c r="AW17" s="16">
        <f t="shared" si="5"/>
        <v>100.3066164</v>
      </c>
      <c r="AX17" s="16">
        <f t="shared" si="5"/>
        <v>107.8017514</v>
      </c>
      <c r="AY17" s="16">
        <f t="shared" si="5"/>
        <v>119.824362</v>
      </c>
      <c r="AZ17" s="16">
        <f t="shared" si="5"/>
        <v>110.5079957</v>
      </c>
      <c r="BA17" s="16">
        <f t="shared" si="5"/>
        <v>109.5984406</v>
      </c>
      <c r="BB17" s="16">
        <f t="shared" si="5"/>
        <v>117.7878816</v>
      </c>
      <c r="BC17" s="16">
        <f t="shared" si="5"/>
        <v>130.9241972</v>
      </c>
      <c r="BD17" s="16">
        <f t="shared" si="5"/>
        <v>120.7448167</v>
      </c>
      <c r="BE17" s="16">
        <f t="shared" si="5"/>
        <v>119.7510057</v>
      </c>
      <c r="BF17" s="16">
        <f t="shared" si="5"/>
        <v>128.699069</v>
      </c>
      <c r="BG17" s="16">
        <f t="shared" si="5"/>
        <v>143.0522568</v>
      </c>
      <c r="BH17" s="16">
        <f t="shared" si="5"/>
        <v>131.9299175</v>
      </c>
      <c r="BI17" s="16">
        <f t="shared" si="5"/>
        <v>130.8440455</v>
      </c>
      <c r="BJ17" s="16">
        <f t="shared" si="5"/>
        <v>140.6210056</v>
      </c>
      <c r="BK17" s="16">
        <f t="shared" si="5"/>
        <v>156.3037897</v>
      </c>
      <c r="BL17" s="16">
        <f t="shared" si="5"/>
        <v>144.1511412</v>
      </c>
      <c r="BM17" s="16">
        <f t="shared" si="5"/>
        <v>142.9646804</v>
      </c>
      <c r="BN17" s="16">
        <f t="shared" si="5"/>
        <v>153.6473215</v>
      </c>
      <c r="BO17" s="16">
        <f t="shared" si="5"/>
        <v>170.7828678</v>
      </c>
      <c r="BP17" s="16">
        <f t="shared" si="5"/>
        <v>157.5044684</v>
      </c>
      <c r="BQ17" s="16">
        <f t="shared" si="5"/>
        <v>156.2081007</v>
      </c>
      <c r="BR17" s="16">
        <f t="shared" si="5"/>
        <v>167.8803198</v>
      </c>
      <c r="BS17" s="16">
        <f t="shared" si="5"/>
        <v>186.603204</v>
      </c>
      <c r="BT17" s="16">
        <f t="shared" si="5"/>
        <v>172.0947704</v>
      </c>
      <c r="BU17" s="16">
        <f t="shared" si="5"/>
        <v>170.6783148</v>
      </c>
      <c r="BV17" s="16">
        <f t="shared" si="5"/>
        <v>183.4317807</v>
      </c>
      <c r="BW17" s="16">
        <f t="shared" si="5"/>
        <v>203.8890445</v>
      </c>
      <c r="BX17" s="6" t="s">
        <v>35</v>
      </c>
      <c r="BY17" s="16">
        <f>SUM(D17:G17)</f>
        <v>33.403</v>
      </c>
      <c r="BZ17" s="16">
        <f>SUM(H17:K17)</f>
        <v>45.023</v>
      </c>
      <c r="CA17" s="16">
        <f>SUM(L17:O17)</f>
        <v>49.027</v>
      </c>
      <c r="CB17" s="16">
        <f>SUM(P17:S17)</f>
        <v>27.149</v>
      </c>
      <c r="CC17" s="16">
        <f>SUM(T17:W17)</f>
        <v>70.454</v>
      </c>
      <c r="CD17" s="16">
        <f>SUM(X17:AA17)</f>
        <v>198.582</v>
      </c>
      <c r="CE17" s="16">
        <f>SUM(AB17:AE17)</f>
        <v>215.57</v>
      </c>
      <c r="CF17" s="16">
        <f>SUM(AF17:AI17)</f>
        <v>273.595</v>
      </c>
      <c r="CG17" s="16">
        <f>SUM(AJ17:AM17)</f>
        <v>315.952979</v>
      </c>
      <c r="CH17" s="16">
        <f>SUM(AN17:AQ17)</f>
        <v>354.5845298</v>
      </c>
      <c r="CI17" s="16">
        <f>SUM(AR17:AU17)</f>
        <v>392.6948146</v>
      </c>
      <c r="CJ17" s="16">
        <f>SUM(AV17:AY17)</f>
        <v>429.0717887</v>
      </c>
      <c r="CK17" s="16">
        <f>SUM(AZ17:BC17)</f>
        <v>468.8185151</v>
      </c>
      <c r="CL17" s="16">
        <f>SUM(BD17:BG17)</f>
        <v>512.2471482</v>
      </c>
      <c r="CM17" s="16">
        <f>SUM(BH17:BK17)</f>
        <v>559.6987583</v>
      </c>
      <c r="CN17" s="16">
        <f>SUM(BL17:BO17)</f>
        <v>611.5460109</v>
      </c>
      <c r="CO17" s="16">
        <f>SUM(BP17:BS17)</f>
        <v>668.1960928</v>
      </c>
      <c r="CP17" s="16">
        <f>SUM(BT17:BW17)</f>
        <v>730.0939103</v>
      </c>
      <c r="CQ17" s="6" t="s">
        <v>35</v>
      </c>
    </row>
    <row r="18" ht="14.25" customHeight="1">
      <c r="A18" s="9"/>
      <c r="B18" s="10" t="s">
        <v>40</v>
      </c>
      <c r="C18" s="9" t="s">
        <v>42</v>
      </c>
      <c r="D18" s="18"/>
      <c r="E18" s="18"/>
      <c r="F18" s="18"/>
      <c r="G18" s="18"/>
      <c r="H18" s="18">
        <f t="shared" ref="H18:BW18" si="6">H17/D17-1</f>
        <v>-0.1742152116</v>
      </c>
      <c r="I18" s="18">
        <f t="shared" si="6"/>
        <v>-0.2610988084</v>
      </c>
      <c r="J18" s="18">
        <f t="shared" si="6"/>
        <v>1.15014437</v>
      </c>
      <c r="K18" s="18">
        <f t="shared" si="6"/>
        <v>1.6595286</v>
      </c>
      <c r="L18" s="18">
        <f t="shared" si="6"/>
        <v>-0.004255319149</v>
      </c>
      <c r="M18" s="18">
        <f t="shared" si="6"/>
        <v>0.8106179535</v>
      </c>
      <c r="N18" s="18">
        <f t="shared" si="6"/>
        <v>0.2021038496</v>
      </c>
      <c r="O18" s="18">
        <f t="shared" si="6"/>
        <v>-0.1857335855</v>
      </c>
      <c r="P18" s="18">
        <f t="shared" si="6"/>
        <v>-0.1058879392</v>
      </c>
      <c r="Q18" s="18">
        <f t="shared" si="6"/>
        <v>-1.33490975</v>
      </c>
      <c r="R18" s="18">
        <f t="shared" si="6"/>
        <v>-0.1205548315</v>
      </c>
      <c r="S18" s="18">
        <f t="shared" si="6"/>
        <v>-0.1680382267</v>
      </c>
      <c r="T18" s="18">
        <f t="shared" si="6"/>
        <v>0.2120021243</v>
      </c>
      <c r="U18" s="18">
        <f t="shared" si="6"/>
        <v>-6.052953636</v>
      </c>
      <c r="V18" s="18">
        <f t="shared" si="6"/>
        <v>1.240076215</v>
      </c>
      <c r="W18" s="18">
        <f t="shared" si="6"/>
        <v>0.3091097639</v>
      </c>
      <c r="X18" s="18">
        <f t="shared" si="6"/>
        <v>1.236701428</v>
      </c>
      <c r="Y18" s="18">
        <f t="shared" si="6"/>
        <v>0.8353982301</v>
      </c>
      <c r="Z18" s="18">
        <f t="shared" si="6"/>
        <v>2.689207069</v>
      </c>
      <c r="AA18" s="18">
        <f t="shared" si="6"/>
        <v>2.386874657</v>
      </c>
      <c r="AB18" s="18">
        <f t="shared" si="6"/>
        <v>0.9429925949</v>
      </c>
      <c r="AC18" s="18">
        <f t="shared" si="6"/>
        <v>0.3919961427</v>
      </c>
      <c r="AD18" s="18">
        <f t="shared" si="6"/>
        <v>-0.3401903396</v>
      </c>
      <c r="AE18" s="18">
        <f t="shared" si="6"/>
        <v>0.07254147026</v>
      </c>
      <c r="AF18" s="18">
        <f t="shared" si="6"/>
        <v>-0.1225222319</v>
      </c>
      <c r="AG18" s="18">
        <f t="shared" si="6"/>
        <v>-0.2892093413</v>
      </c>
      <c r="AH18" s="18">
        <f t="shared" si="6"/>
        <v>0.7248602267</v>
      </c>
      <c r="AI18" s="18">
        <f t="shared" si="6"/>
        <v>0.7150333814</v>
      </c>
      <c r="AJ18" s="18">
        <f t="shared" si="6"/>
        <v>0.6968861312</v>
      </c>
      <c r="AK18" s="18">
        <f t="shared" si="6"/>
        <v>0.9247091342</v>
      </c>
      <c r="AL18" s="18">
        <f t="shared" si="6"/>
        <v>-0.1138339585</v>
      </c>
      <c r="AM18" s="18">
        <f t="shared" si="6"/>
        <v>-0.1360156928</v>
      </c>
      <c r="AN18" s="18">
        <f t="shared" si="6"/>
        <v>0.1211080463</v>
      </c>
      <c r="AO18" s="18">
        <f t="shared" si="6"/>
        <v>0.1019980727</v>
      </c>
      <c r="AP18" s="18">
        <f t="shared" si="6"/>
        <v>0.1346838804</v>
      </c>
      <c r="AQ18" s="18">
        <f t="shared" si="6"/>
        <v>0.1293975821</v>
      </c>
      <c r="AR18" s="18">
        <f t="shared" si="6"/>
        <v>0.1181625854</v>
      </c>
      <c r="AS18" s="18">
        <f t="shared" si="6"/>
        <v>0.1101118737</v>
      </c>
      <c r="AT18" s="18">
        <f t="shared" si="6"/>
        <v>0.1043296022</v>
      </c>
      <c r="AU18" s="18">
        <f t="shared" si="6"/>
        <v>0.09925077967</v>
      </c>
      <c r="AV18" s="18">
        <f t="shared" si="6"/>
        <v>0.0926342105</v>
      </c>
      <c r="AW18" s="18">
        <f t="shared" si="6"/>
        <v>0.0926342105</v>
      </c>
      <c r="AX18" s="18">
        <f t="shared" si="6"/>
        <v>0.0926342105</v>
      </c>
      <c r="AY18" s="18">
        <f t="shared" si="6"/>
        <v>0.0926342105</v>
      </c>
      <c r="AZ18" s="18">
        <f t="shared" si="6"/>
        <v>0.0926342105</v>
      </c>
      <c r="BA18" s="18">
        <f t="shared" si="6"/>
        <v>0.0926342105</v>
      </c>
      <c r="BB18" s="18">
        <f t="shared" si="6"/>
        <v>0.0926342105</v>
      </c>
      <c r="BC18" s="18">
        <f t="shared" si="6"/>
        <v>0.0926342105</v>
      </c>
      <c r="BD18" s="18">
        <f t="shared" si="6"/>
        <v>0.0926342105</v>
      </c>
      <c r="BE18" s="18">
        <f t="shared" si="6"/>
        <v>0.0926342105</v>
      </c>
      <c r="BF18" s="18">
        <f t="shared" si="6"/>
        <v>0.0926342105</v>
      </c>
      <c r="BG18" s="18">
        <f t="shared" si="6"/>
        <v>0.0926342105</v>
      </c>
      <c r="BH18" s="18">
        <f t="shared" si="6"/>
        <v>0.0926342105</v>
      </c>
      <c r="BI18" s="18">
        <f t="shared" si="6"/>
        <v>0.0926342105</v>
      </c>
      <c r="BJ18" s="18">
        <f t="shared" si="6"/>
        <v>0.0926342105</v>
      </c>
      <c r="BK18" s="18">
        <f t="shared" si="6"/>
        <v>0.0926342105</v>
      </c>
      <c r="BL18" s="18">
        <f t="shared" si="6"/>
        <v>0.0926342105</v>
      </c>
      <c r="BM18" s="18">
        <f t="shared" si="6"/>
        <v>0.0926342105</v>
      </c>
      <c r="BN18" s="18">
        <f t="shared" si="6"/>
        <v>0.0926342105</v>
      </c>
      <c r="BO18" s="18">
        <f t="shared" si="6"/>
        <v>0.0926342105</v>
      </c>
      <c r="BP18" s="18">
        <f t="shared" si="6"/>
        <v>0.0926342105</v>
      </c>
      <c r="BQ18" s="18">
        <f t="shared" si="6"/>
        <v>0.0926342105</v>
      </c>
      <c r="BR18" s="18">
        <f t="shared" si="6"/>
        <v>0.0926342105</v>
      </c>
      <c r="BS18" s="18">
        <f t="shared" si="6"/>
        <v>0.0926342105</v>
      </c>
      <c r="BT18" s="18">
        <f t="shared" si="6"/>
        <v>0.0926342105</v>
      </c>
      <c r="BU18" s="18">
        <f t="shared" si="6"/>
        <v>0.0926342105</v>
      </c>
      <c r="BV18" s="18">
        <f t="shared" si="6"/>
        <v>0.0926342105</v>
      </c>
      <c r="BW18" s="18">
        <f t="shared" si="6"/>
        <v>0.0926342105</v>
      </c>
      <c r="BX18" s="6" t="s">
        <v>35</v>
      </c>
      <c r="BY18" s="18"/>
      <c r="BZ18" s="18">
        <f t="shared" ref="BZ18:CP18" si="7">BZ17/BY17-1</f>
        <v>0.3478729455</v>
      </c>
      <c r="CA18" s="18">
        <f t="shared" si="7"/>
        <v>0.08893232348</v>
      </c>
      <c r="CB18" s="18">
        <f t="shared" si="7"/>
        <v>-0.4462439064</v>
      </c>
      <c r="CC18" s="18">
        <f t="shared" si="7"/>
        <v>1.595086375</v>
      </c>
      <c r="CD18" s="18">
        <f t="shared" si="7"/>
        <v>1.818605047</v>
      </c>
      <c r="CE18" s="18">
        <f t="shared" si="7"/>
        <v>0.08554652486</v>
      </c>
      <c r="CF18" s="18">
        <f t="shared" si="7"/>
        <v>0.2691701072</v>
      </c>
      <c r="CG18" s="18">
        <f t="shared" si="7"/>
        <v>0.1548200039</v>
      </c>
      <c r="CH18" s="18">
        <f t="shared" si="7"/>
        <v>0.122269937</v>
      </c>
      <c r="CI18" s="18">
        <f t="shared" si="7"/>
        <v>0.1074787015</v>
      </c>
      <c r="CJ18" s="18">
        <f t="shared" si="7"/>
        <v>0.0926342105</v>
      </c>
      <c r="CK18" s="18">
        <f t="shared" si="7"/>
        <v>0.0926342105</v>
      </c>
      <c r="CL18" s="18">
        <f t="shared" si="7"/>
        <v>0.0926342105</v>
      </c>
      <c r="CM18" s="18">
        <f t="shared" si="7"/>
        <v>0.0926342105</v>
      </c>
      <c r="CN18" s="18">
        <f t="shared" si="7"/>
        <v>0.0926342105</v>
      </c>
      <c r="CO18" s="18">
        <f t="shared" si="7"/>
        <v>0.0926342105</v>
      </c>
      <c r="CP18" s="18">
        <f t="shared" si="7"/>
        <v>0.0926342105</v>
      </c>
      <c r="CQ18" s="6" t="s">
        <v>35</v>
      </c>
    </row>
    <row r="19" ht="14.25" customHeight="1">
      <c r="A19" s="9"/>
      <c r="B19" s="10" t="s">
        <v>44</v>
      </c>
      <c r="C19" s="9" t="s">
        <v>42</v>
      </c>
      <c r="D19" s="18">
        <f t="shared" ref="D19:BW19" si="8">D17/D11</f>
        <v>0.2448940565</v>
      </c>
      <c r="E19" s="18">
        <f t="shared" si="8"/>
        <v>0.1755265983</v>
      </c>
      <c r="F19" s="18">
        <f t="shared" si="8"/>
        <v>0.06768839883</v>
      </c>
      <c r="G19" s="18">
        <f t="shared" si="8"/>
        <v>0.1011557752</v>
      </c>
      <c r="H19" s="18">
        <f t="shared" si="8"/>
        <v>0.1389691968</v>
      </c>
      <c r="I19" s="18">
        <f t="shared" si="8"/>
        <v>0.0830941821</v>
      </c>
      <c r="J19" s="18">
        <f t="shared" si="8"/>
        <v>0.1118622002</v>
      </c>
      <c r="K19" s="18">
        <f t="shared" si="8"/>
        <v>0.2128699773</v>
      </c>
      <c r="L19" s="18">
        <f t="shared" si="8"/>
        <v>0.1270511583</v>
      </c>
      <c r="M19" s="18">
        <f t="shared" si="8"/>
        <v>0.1372220299</v>
      </c>
      <c r="N19" s="18">
        <f t="shared" si="8"/>
        <v>0.1258022205</v>
      </c>
      <c r="O19" s="18">
        <f t="shared" si="8"/>
        <v>0.1714454761</v>
      </c>
      <c r="P19" s="18">
        <f t="shared" si="8"/>
        <v>0.1323781671</v>
      </c>
      <c r="Q19" s="18">
        <f t="shared" si="8"/>
        <v>-0.08817913917</v>
      </c>
      <c r="R19" s="18">
        <f t="shared" si="8"/>
        <v>0.1723056158</v>
      </c>
      <c r="S19" s="18">
        <f t="shared" si="8"/>
        <v>0.1841417198</v>
      </c>
      <c r="T19" s="18">
        <f t="shared" si="8"/>
        <v>0.1454723933</v>
      </c>
      <c r="U19" s="18">
        <f t="shared" si="8"/>
        <v>0.1925146157</v>
      </c>
      <c r="V19" s="18">
        <f t="shared" si="8"/>
        <v>0.1712371443</v>
      </c>
      <c r="W19" s="18">
        <f t="shared" si="8"/>
        <v>0.1372237506</v>
      </c>
      <c r="X19" s="18">
        <f t="shared" si="8"/>
        <v>0.1974119795</v>
      </c>
      <c r="Y19" s="18">
        <f t="shared" si="8"/>
        <v>0.2142305727</v>
      </c>
      <c r="Z19" s="18">
        <f t="shared" si="8"/>
        <v>0.3068358231</v>
      </c>
      <c r="AA19" s="18">
        <f t="shared" si="8"/>
        <v>0.2261039357</v>
      </c>
      <c r="AB19" s="18">
        <f t="shared" si="8"/>
        <v>0.2055483251</v>
      </c>
      <c r="AC19" s="18">
        <f t="shared" si="8"/>
        <v>0.2160128222</v>
      </c>
      <c r="AD19" s="18">
        <f t="shared" si="8"/>
        <v>0.1915250393</v>
      </c>
      <c r="AE19" s="18">
        <f t="shared" si="8"/>
        <v>0.2112046823</v>
      </c>
      <c r="AF19" s="18">
        <f t="shared" si="8"/>
        <v>0.2010571499</v>
      </c>
      <c r="AG19" s="18">
        <f t="shared" si="8"/>
        <v>0.1899493326</v>
      </c>
      <c r="AH19" s="18">
        <f t="shared" si="8"/>
        <v>0.2262705131</v>
      </c>
      <c r="AI19" s="18">
        <f t="shared" si="8"/>
        <v>0.2436066363</v>
      </c>
      <c r="AJ19" s="18">
        <f t="shared" si="8"/>
        <v>0.2001924928</v>
      </c>
      <c r="AK19" s="18">
        <f t="shared" si="8"/>
        <v>0.2116660234</v>
      </c>
      <c r="AL19" s="18">
        <f t="shared" si="8"/>
        <v>0.2192113764</v>
      </c>
      <c r="AM19" s="18">
        <f t="shared" si="8"/>
        <v>0.2157735588</v>
      </c>
      <c r="AN19" s="18">
        <f t="shared" si="8"/>
        <v>0.2150480235</v>
      </c>
      <c r="AO19" s="18">
        <f t="shared" si="8"/>
        <v>0.2146631877</v>
      </c>
      <c r="AP19" s="18">
        <f t="shared" si="8"/>
        <v>0.2221372267</v>
      </c>
      <c r="AQ19" s="18">
        <f t="shared" si="8"/>
        <v>0.2192151692</v>
      </c>
      <c r="AR19" s="18">
        <f t="shared" si="8"/>
        <v>0.2173755056</v>
      </c>
      <c r="AS19" s="18">
        <f t="shared" si="8"/>
        <v>0.2164906697</v>
      </c>
      <c r="AT19" s="18">
        <f t="shared" si="8"/>
        <v>0.2239647088</v>
      </c>
      <c r="AU19" s="18">
        <f t="shared" si="8"/>
        <v>0.2205426513</v>
      </c>
      <c r="AV19" s="18">
        <f t="shared" si="8"/>
        <v>0.2173755056</v>
      </c>
      <c r="AW19" s="18">
        <f t="shared" si="8"/>
        <v>0.2164906697</v>
      </c>
      <c r="AX19" s="18">
        <f t="shared" si="8"/>
        <v>0.2239647088</v>
      </c>
      <c r="AY19" s="18">
        <f t="shared" si="8"/>
        <v>0.2205426513</v>
      </c>
      <c r="AZ19" s="18">
        <f t="shared" si="8"/>
        <v>0.2173755056</v>
      </c>
      <c r="BA19" s="18">
        <f t="shared" si="8"/>
        <v>0.2164906697</v>
      </c>
      <c r="BB19" s="18">
        <f t="shared" si="8"/>
        <v>0.2239647088</v>
      </c>
      <c r="BC19" s="18">
        <f t="shared" si="8"/>
        <v>0.2205426513</v>
      </c>
      <c r="BD19" s="18">
        <f t="shared" si="8"/>
        <v>0.2173755056</v>
      </c>
      <c r="BE19" s="18">
        <f t="shared" si="8"/>
        <v>0.2164906697</v>
      </c>
      <c r="BF19" s="18">
        <f t="shared" si="8"/>
        <v>0.2239647088</v>
      </c>
      <c r="BG19" s="18">
        <f t="shared" si="8"/>
        <v>0.2205426513</v>
      </c>
      <c r="BH19" s="18">
        <f t="shared" si="8"/>
        <v>0.2173755056</v>
      </c>
      <c r="BI19" s="18">
        <f t="shared" si="8"/>
        <v>0.2164906697</v>
      </c>
      <c r="BJ19" s="18">
        <f t="shared" si="8"/>
        <v>0.2239647088</v>
      </c>
      <c r="BK19" s="18">
        <f t="shared" si="8"/>
        <v>0.2205426513</v>
      </c>
      <c r="BL19" s="18">
        <f t="shared" si="8"/>
        <v>0.2173755056</v>
      </c>
      <c r="BM19" s="18">
        <f t="shared" si="8"/>
        <v>0.2164906697</v>
      </c>
      <c r="BN19" s="18">
        <f t="shared" si="8"/>
        <v>0.2239647088</v>
      </c>
      <c r="BO19" s="18">
        <f t="shared" si="8"/>
        <v>0.2205426513</v>
      </c>
      <c r="BP19" s="18">
        <f t="shared" si="8"/>
        <v>0.2173755056</v>
      </c>
      <c r="BQ19" s="18">
        <f t="shared" si="8"/>
        <v>0.2164906697</v>
      </c>
      <c r="BR19" s="18">
        <f t="shared" si="8"/>
        <v>0.2239647088</v>
      </c>
      <c r="BS19" s="18">
        <f t="shared" si="8"/>
        <v>0.2205426513</v>
      </c>
      <c r="BT19" s="18">
        <f t="shared" si="8"/>
        <v>0.2173755056</v>
      </c>
      <c r="BU19" s="18">
        <f t="shared" si="8"/>
        <v>0.2164906697</v>
      </c>
      <c r="BV19" s="18">
        <f t="shared" si="8"/>
        <v>0.2239647088</v>
      </c>
      <c r="BW19" s="18">
        <f t="shared" si="8"/>
        <v>0.2205426513</v>
      </c>
      <c r="BX19" s="6" t="s">
        <v>35</v>
      </c>
      <c r="BY19" s="18">
        <f t="shared" ref="BY19:CP19" si="9">BY17/BY11</f>
        <v>0.1412377062</v>
      </c>
      <c r="BZ19" s="18">
        <f t="shared" si="9"/>
        <v>0.1375852975</v>
      </c>
      <c r="CA19" s="18">
        <f t="shared" si="9"/>
        <v>0.1406348605</v>
      </c>
      <c r="CB19" s="18">
        <f t="shared" si="9"/>
        <v>0.1120872951</v>
      </c>
      <c r="CC19" s="18">
        <f t="shared" si="9"/>
        <v>0.1626583491</v>
      </c>
      <c r="CD19" s="18">
        <f t="shared" si="9"/>
        <v>0.244109975</v>
      </c>
      <c r="CE19" s="18">
        <f t="shared" si="9"/>
        <v>0.2060091169</v>
      </c>
      <c r="CF19" s="18">
        <f t="shared" si="9"/>
        <v>0.2217031587</v>
      </c>
      <c r="CG19" s="18">
        <f t="shared" si="9"/>
        <v>0.2117730981</v>
      </c>
      <c r="CH19" s="18">
        <f t="shared" si="9"/>
        <v>0.2178741215</v>
      </c>
      <c r="CI19" s="18">
        <f t="shared" si="9"/>
        <v>0.2196703414</v>
      </c>
      <c r="CJ19" s="18">
        <f t="shared" si="9"/>
        <v>0.2196703414</v>
      </c>
      <c r="CK19" s="18">
        <f t="shared" si="9"/>
        <v>0.2196703414</v>
      </c>
      <c r="CL19" s="18">
        <f t="shared" si="9"/>
        <v>0.2196703414</v>
      </c>
      <c r="CM19" s="18">
        <f t="shared" si="9"/>
        <v>0.2196703414</v>
      </c>
      <c r="CN19" s="18">
        <f t="shared" si="9"/>
        <v>0.2196703414</v>
      </c>
      <c r="CO19" s="18">
        <f t="shared" si="9"/>
        <v>0.2196703414</v>
      </c>
      <c r="CP19" s="18">
        <f t="shared" si="9"/>
        <v>0.2196703414</v>
      </c>
      <c r="CQ19" s="6" t="s">
        <v>35</v>
      </c>
    </row>
    <row r="20" ht="14.25" customHeight="1">
      <c r="A20" s="9"/>
      <c r="B20" s="10"/>
      <c r="C20" s="9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BX20" s="6" t="s">
        <v>35</v>
      </c>
      <c r="CQ20" s="6" t="s">
        <v>35</v>
      </c>
    </row>
    <row r="21" ht="14.25" customHeight="1">
      <c r="A21" s="9"/>
      <c r="B21" s="22" t="s">
        <v>45</v>
      </c>
      <c r="C21" s="15" t="s">
        <v>39</v>
      </c>
      <c r="D21" s="26">
        <f>Inputs!F147/1000</f>
        <v>-9.014</v>
      </c>
      <c r="E21" s="26">
        <f>Inputs!G147/1000</f>
        <v>-10.452</v>
      </c>
      <c r="F21" s="26">
        <f>Inputs!H147/1000</f>
        <v>-8.349</v>
      </c>
      <c r="G21" s="26">
        <f>Inputs!I147/1000</f>
        <v>-13.301</v>
      </c>
      <c r="H21" s="26">
        <f>Inputs!J147/1000</f>
        <v>-8.349</v>
      </c>
      <c r="I21" s="26">
        <f>Inputs!K147/1000</f>
        <v>-4.123</v>
      </c>
      <c r="J21" s="26">
        <f>Inputs!L147/1000</f>
        <v>-5.844</v>
      </c>
      <c r="K21" s="26">
        <f>Inputs!M147/1000</f>
        <v>-12.059</v>
      </c>
      <c r="L21" s="26">
        <f>Inputs!N147/1000</f>
        <v>-9.44</v>
      </c>
      <c r="M21" s="26">
        <f>Inputs!O147/1000</f>
        <v>-10.9</v>
      </c>
      <c r="N21" s="26">
        <f>Inputs!P147/1000</f>
        <v>-11.224</v>
      </c>
      <c r="O21" s="26">
        <f>Inputs!Q147/1000</f>
        <v>-10.5</v>
      </c>
      <c r="P21" s="26">
        <f>Inputs!R147/1000</f>
        <v>1.144</v>
      </c>
      <c r="Q21" s="26">
        <f>Inputs!S147/1000</f>
        <v>-10.798</v>
      </c>
      <c r="R21" s="26">
        <f>Inputs!T147/1000</f>
        <v>-12.461</v>
      </c>
      <c r="S21" s="26">
        <f>Inputs!U147/1000</f>
        <v>-9.883</v>
      </c>
      <c r="T21" s="26">
        <f>Inputs!V147/1000</f>
        <v>-11.007</v>
      </c>
      <c r="U21" s="26">
        <f>Inputs!W147/1000</f>
        <v>-12.675</v>
      </c>
      <c r="V21" s="26">
        <f>Inputs!X147/1000</f>
        <v>-14.047</v>
      </c>
      <c r="W21" s="26">
        <f>Inputs!Y147/1000</f>
        <v>-12.233</v>
      </c>
      <c r="X21" s="26">
        <f>Inputs!Z147/1000</f>
        <v>-14.971</v>
      </c>
      <c r="Y21" s="26">
        <f>Inputs!AA147/1000</f>
        <v>-19.973</v>
      </c>
      <c r="Z21" s="26">
        <f>Inputs!AB147/1000</f>
        <v>-27.577</v>
      </c>
      <c r="AA21" s="26">
        <f>Inputs!AC147/1000</f>
        <v>-31.603</v>
      </c>
      <c r="AB21" s="26">
        <f>Inputs!AD147/1000</f>
        <v>-25.536</v>
      </c>
      <c r="AC21" s="26">
        <f>Inputs!AE147/1000</f>
        <v>-30.564</v>
      </c>
      <c r="AD21" s="26">
        <f>Inputs!AF147/1000</f>
        <v>-30.896</v>
      </c>
      <c r="AE21" s="26">
        <f>Inputs!AG147/1000</f>
        <v>-41.176</v>
      </c>
      <c r="AF21" s="26">
        <f>Inputs!AH147/1000</f>
        <v>-29.528</v>
      </c>
      <c r="AG21" s="26">
        <f>Inputs!AI147/1000</f>
        <v>-32.401</v>
      </c>
      <c r="AH21" s="26">
        <f>Inputs!AJ147/1000</f>
        <v>-43.794</v>
      </c>
      <c r="AI21" s="26">
        <f>Inputs!AK147/1000</f>
        <v>-56.39</v>
      </c>
      <c r="AJ21" s="26">
        <f>Inputs!AL147/1000</f>
        <v>-52.195</v>
      </c>
      <c r="AK21" s="26">
        <f>'Build-Up'!AK100</f>
        <v>-50.88390862</v>
      </c>
      <c r="AL21" s="26">
        <f>'Build-Up'!AL100</f>
        <v>-40.03524573</v>
      </c>
      <c r="AM21" s="26">
        <f>'Build-Up'!AM100</f>
        <v>-52.13710145</v>
      </c>
      <c r="AN21" s="26">
        <f>'Build-Up'!AN100</f>
        <v>-42.34443939</v>
      </c>
      <c r="AO21" s="26">
        <f>'Build-Up'!AO100</f>
        <v>-42.37631125</v>
      </c>
      <c r="AP21" s="26">
        <f>'Build-Up'!AP100</f>
        <v>-44.24086894</v>
      </c>
      <c r="AQ21" s="26">
        <f>'Build-Up'!AQ100</f>
        <v>-50.06055163</v>
      </c>
      <c r="AR21" s="26">
        <f>'Build-Up'!AR100</f>
        <v>-44.71186733</v>
      </c>
      <c r="AS21" s="26">
        <f>'Build-Up'!AS100</f>
        <v>-44.52509982</v>
      </c>
      <c r="AT21" s="26">
        <f>'Build-Up'!AT100</f>
        <v>-46.25521798</v>
      </c>
      <c r="AU21" s="26">
        <f>'Build-Up'!AU100</f>
        <v>-52.21160443</v>
      </c>
      <c r="AV21" s="26">
        <f>'Build-Up'!AV100</f>
        <v>-46.52734843</v>
      </c>
      <c r="AW21" s="26">
        <f>'Build-Up'!AW100</f>
        <v>-46.33299741</v>
      </c>
      <c r="AX21" s="26">
        <f>'Build-Up'!AX100</f>
        <v>-48.13336531</v>
      </c>
      <c r="AY21" s="26">
        <f>'Build-Up'!AY100</f>
        <v>-54.33160494</v>
      </c>
      <c r="AZ21" s="26">
        <f>'Build-Up'!AZ100</f>
        <v>-50.83737262</v>
      </c>
      <c r="BA21" s="26">
        <f>'Build-Up'!BA100</f>
        <v>-50.62501805</v>
      </c>
      <c r="BB21" s="26">
        <f>'Build-Up'!BB100</f>
        <v>-52.59216161</v>
      </c>
      <c r="BC21" s="26">
        <f>'Build-Up'!BC100</f>
        <v>-59.36457027</v>
      </c>
      <c r="BD21" s="26">
        <f>'Build-Up'!BD100</f>
        <v>-55.5466525</v>
      </c>
      <c r="BE21" s="26">
        <f>'Build-Up'!BE100</f>
        <v>-55.31462663</v>
      </c>
      <c r="BF21" s="26">
        <f>'Build-Up'!BF100</f>
        <v>-57.46399498</v>
      </c>
      <c r="BG21" s="26">
        <f>'Build-Up'!BG100</f>
        <v>-64.86376036</v>
      </c>
      <c r="BH21" s="26">
        <f>'Build-Up'!BH100</f>
        <v>-60.6921728</v>
      </c>
      <c r="BI21" s="26">
        <f>'Build-Up'!BI100</f>
        <v>-60.4386534</v>
      </c>
      <c r="BJ21" s="26">
        <f>'Build-Up'!BJ100</f>
        <v>-62.78712679</v>
      </c>
      <c r="BK21" s="26">
        <f>'Build-Up'!BK100</f>
        <v>-70.8723636</v>
      </c>
      <c r="BL21" s="26">
        <f>'Build-Up'!BL100</f>
        <v>-66.31434431</v>
      </c>
      <c r="BM21" s="26">
        <f>'Build-Up'!BM100</f>
        <v>-66.03734034</v>
      </c>
      <c r="BN21" s="26">
        <f>'Build-Up'!BN100</f>
        <v>-68.6033627</v>
      </c>
      <c r="BO21" s="26">
        <f>'Build-Up'!BO100</f>
        <v>-77.43756904</v>
      </c>
      <c r="BP21" s="26">
        <f>'Build-Up'!BP100</f>
        <v>-72.45732124</v>
      </c>
      <c r="BQ21" s="26">
        <f>'Build-Up'!BQ100</f>
        <v>-72.15465722</v>
      </c>
      <c r="BR21" s="26">
        <f>'Build-Up'!BR100</f>
        <v>-74.95838105</v>
      </c>
      <c r="BS21" s="26">
        <f>'Build-Up'!BS100</f>
        <v>-84.61093711</v>
      </c>
      <c r="BT21" s="26">
        <f>'Build-Up'!BT100</f>
        <v>-79.16934799</v>
      </c>
      <c r="BU21" s="26">
        <f>'Build-Up'!BU100</f>
        <v>-78.83864693</v>
      </c>
      <c r="BV21" s="26">
        <f>'Build-Up'!BV100</f>
        <v>-81.9020915</v>
      </c>
      <c r="BW21" s="26">
        <f>'Build-Up'!BW100</f>
        <v>-92.44880447</v>
      </c>
      <c r="BX21" s="6" t="s">
        <v>35</v>
      </c>
      <c r="BY21" s="24">
        <f>SUM(D21:G21)</f>
        <v>-41.116</v>
      </c>
      <c r="BZ21" s="24">
        <f>SUM(H21:K21)</f>
        <v>-30.375</v>
      </c>
      <c r="CA21" s="24">
        <f>SUM(L21:O21)</f>
        <v>-42.064</v>
      </c>
      <c r="CB21" s="24">
        <f>SUM(P21:S21)</f>
        <v>-31.998</v>
      </c>
      <c r="CC21" s="24">
        <f>SUM(T21:W21)</f>
        <v>-49.962</v>
      </c>
      <c r="CD21" s="24">
        <f>SUM(X21:AA21)</f>
        <v>-94.124</v>
      </c>
      <c r="CE21" s="24">
        <f>SUM(AB21:AE21)</f>
        <v>-128.172</v>
      </c>
      <c r="CF21" s="24">
        <f>SUM(AF21:AI21)</f>
        <v>-162.113</v>
      </c>
      <c r="CG21" s="24">
        <f>SUM(AJ21:AM21)</f>
        <v>-195.2512558</v>
      </c>
      <c r="CH21" s="24">
        <f>SUM(AN21:AQ21)</f>
        <v>-179.0221712</v>
      </c>
      <c r="CI21" s="24">
        <f>SUM(AR21:AU21)</f>
        <v>-187.7037896</v>
      </c>
      <c r="CJ21" s="24">
        <f>SUM(AV21:AY21)</f>
        <v>-195.3253161</v>
      </c>
      <c r="CK21" s="24">
        <f>SUM(AZ21:BC21)</f>
        <v>-213.4191225</v>
      </c>
      <c r="CL21" s="24">
        <f>SUM(BD21:BG21)</f>
        <v>-233.1890345</v>
      </c>
      <c r="CM21" s="24">
        <f>SUM(BH21:BK21)</f>
        <v>-254.7903166</v>
      </c>
      <c r="CN21" s="24">
        <f>SUM(BL21:BO21)</f>
        <v>-278.3926164</v>
      </c>
      <c r="CO21" s="24">
        <f>SUM(BP21:BS21)</f>
        <v>-304.1812966</v>
      </c>
      <c r="CP21" s="24">
        <f>SUM(BT21:BW21)</f>
        <v>-332.3588909</v>
      </c>
      <c r="CQ21" s="6" t="s">
        <v>35</v>
      </c>
    </row>
    <row r="22" ht="14.25" customHeight="1">
      <c r="A22" s="9"/>
      <c r="B22" s="10" t="s">
        <v>40</v>
      </c>
      <c r="C22" s="9" t="s">
        <v>42</v>
      </c>
      <c r="D22" s="21"/>
      <c r="E22" s="21"/>
      <c r="F22" s="21"/>
      <c r="G22" s="21"/>
      <c r="H22" s="18">
        <f t="shared" ref="H22:BW22" si="10">H21/D21-1</f>
        <v>-0.07377412913</v>
      </c>
      <c r="I22" s="18">
        <f t="shared" si="10"/>
        <v>-0.6055300421</v>
      </c>
      <c r="J22" s="18">
        <f t="shared" si="10"/>
        <v>-0.3000359324</v>
      </c>
      <c r="K22" s="18">
        <f t="shared" si="10"/>
        <v>-0.09337643786</v>
      </c>
      <c r="L22" s="18">
        <f t="shared" si="10"/>
        <v>0.1306743323</v>
      </c>
      <c r="M22" s="18">
        <f t="shared" si="10"/>
        <v>1.643706039</v>
      </c>
      <c r="N22" s="18">
        <f t="shared" si="10"/>
        <v>0.9206023272</v>
      </c>
      <c r="O22" s="18">
        <f t="shared" si="10"/>
        <v>-0.1292810349</v>
      </c>
      <c r="P22" s="18">
        <f t="shared" si="10"/>
        <v>-1.121186441</v>
      </c>
      <c r="Q22" s="18">
        <f t="shared" si="10"/>
        <v>-0.009357798165</v>
      </c>
      <c r="R22" s="18">
        <f t="shared" si="10"/>
        <v>0.1102102637</v>
      </c>
      <c r="S22" s="18">
        <f t="shared" si="10"/>
        <v>-0.05876190476</v>
      </c>
      <c r="T22" s="18">
        <f t="shared" si="10"/>
        <v>-10.6215035</v>
      </c>
      <c r="U22" s="18">
        <f t="shared" si="10"/>
        <v>0.1738284868</v>
      </c>
      <c r="V22" s="18">
        <f t="shared" si="10"/>
        <v>0.1272771046</v>
      </c>
      <c r="W22" s="18">
        <f t="shared" si="10"/>
        <v>0.23778205</v>
      </c>
      <c r="X22" s="18">
        <f t="shared" si="10"/>
        <v>0.3601344599</v>
      </c>
      <c r="Y22" s="18">
        <f t="shared" si="10"/>
        <v>0.5757790927</v>
      </c>
      <c r="Z22" s="18">
        <f t="shared" si="10"/>
        <v>0.9631949883</v>
      </c>
      <c r="AA22" s="18">
        <f t="shared" si="10"/>
        <v>1.583421892</v>
      </c>
      <c r="AB22" s="18">
        <f t="shared" si="10"/>
        <v>0.7056976822</v>
      </c>
      <c r="AC22" s="18">
        <f t="shared" si="10"/>
        <v>0.5302658589</v>
      </c>
      <c r="AD22" s="18">
        <f t="shared" si="10"/>
        <v>0.1203539181</v>
      </c>
      <c r="AE22" s="18">
        <f t="shared" si="10"/>
        <v>0.3029142803</v>
      </c>
      <c r="AF22" s="18">
        <f t="shared" si="10"/>
        <v>0.1563283208</v>
      </c>
      <c r="AG22" s="18">
        <f t="shared" si="10"/>
        <v>0.06010338961</v>
      </c>
      <c r="AH22" s="18">
        <f t="shared" si="10"/>
        <v>0.417465044</v>
      </c>
      <c r="AI22" s="18">
        <f t="shared" si="10"/>
        <v>0.3694870799</v>
      </c>
      <c r="AJ22" s="18">
        <f t="shared" si="10"/>
        <v>0.7676442698</v>
      </c>
      <c r="AK22" s="18">
        <f t="shared" si="10"/>
        <v>0.5704425363</v>
      </c>
      <c r="AL22" s="18">
        <f t="shared" si="10"/>
        <v>-0.08582806487</v>
      </c>
      <c r="AM22" s="18">
        <f t="shared" si="10"/>
        <v>-0.07541937483</v>
      </c>
      <c r="AN22" s="18">
        <f t="shared" si="10"/>
        <v>-0.1887261349</v>
      </c>
      <c r="AO22" s="18">
        <f t="shared" si="10"/>
        <v>-0.1671962238</v>
      </c>
      <c r="AP22" s="18">
        <f t="shared" si="10"/>
        <v>0.105048018</v>
      </c>
      <c r="AQ22" s="18">
        <f t="shared" si="10"/>
        <v>-0.03982863962</v>
      </c>
      <c r="AR22" s="18">
        <f t="shared" si="10"/>
        <v>0.05590882706</v>
      </c>
      <c r="AS22" s="18">
        <f t="shared" si="10"/>
        <v>0.05070730574</v>
      </c>
      <c r="AT22" s="18">
        <f t="shared" si="10"/>
        <v>0.04553140768</v>
      </c>
      <c r="AU22" s="18">
        <f t="shared" si="10"/>
        <v>0.04296901911</v>
      </c>
      <c r="AV22" s="18">
        <f t="shared" si="10"/>
        <v>0.04060401</v>
      </c>
      <c r="AW22" s="18">
        <f t="shared" si="10"/>
        <v>0.04060401</v>
      </c>
      <c r="AX22" s="18">
        <f t="shared" si="10"/>
        <v>0.04060401</v>
      </c>
      <c r="AY22" s="18">
        <f t="shared" si="10"/>
        <v>0.04060401</v>
      </c>
      <c r="AZ22" s="18">
        <f t="shared" si="10"/>
        <v>0.0926342105</v>
      </c>
      <c r="BA22" s="18">
        <f t="shared" si="10"/>
        <v>0.0926342105</v>
      </c>
      <c r="BB22" s="18">
        <f t="shared" si="10"/>
        <v>0.0926342105</v>
      </c>
      <c r="BC22" s="18">
        <f t="shared" si="10"/>
        <v>0.0926342105</v>
      </c>
      <c r="BD22" s="18">
        <f t="shared" si="10"/>
        <v>0.0926342105</v>
      </c>
      <c r="BE22" s="18">
        <f t="shared" si="10"/>
        <v>0.0926342105</v>
      </c>
      <c r="BF22" s="18">
        <f t="shared" si="10"/>
        <v>0.0926342105</v>
      </c>
      <c r="BG22" s="18">
        <f t="shared" si="10"/>
        <v>0.0926342105</v>
      </c>
      <c r="BH22" s="18">
        <f t="shared" si="10"/>
        <v>0.0926342105</v>
      </c>
      <c r="BI22" s="18">
        <f t="shared" si="10"/>
        <v>0.0926342105</v>
      </c>
      <c r="BJ22" s="18">
        <f t="shared" si="10"/>
        <v>0.0926342105</v>
      </c>
      <c r="BK22" s="18">
        <f t="shared" si="10"/>
        <v>0.0926342105</v>
      </c>
      <c r="BL22" s="18">
        <f t="shared" si="10"/>
        <v>0.0926342105</v>
      </c>
      <c r="BM22" s="18">
        <f t="shared" si="10"/>
        <v>0.0926342105</v>
      </c>
      <c r="BN22" s="18">
        <f t="shared" si="10"/>
        <v>0.0926342105</v>
      </c>
      <c r="BO22" s="18">
        <f t="shared" si="10"/>
        <v>0.0926342105</v>
      </c>
      <c r="BP22" s="18">
        <f t="shared" si="10"/>
        <v>0.0926342105</v>
      </c>
      <c r="BQ22" s="18">
        <f t="shared" si="10"/>
        <v>0.0926342105</v>
      </c>
      <c r="BR22" s="18">
        <f t="shared" si="10"/>
        <v>0.0926342105</v>
      </c>
      <c r="BS22" s="18">
        <f t="shared" si="10"/>
        <v>0.0926342105</v>
      </c>
      <c r="BT22" s="18">
        <f t="shared" si="10"/>
        <v>0.0926342105</v>
      </c>
      <c r="BU22" s="18">
        <f t="shared" si="10"/>
        <v>0.0926342105</v>
      </c>
      <c r="BV22" s="18">
        <f t="shared" si="10"/>
        <v>0.0926342105</v>
      </c>
      <c r="BW22" s="18">
        <f t="shared" si="10"/>
        <v>0.0926342105</v>
      </c>
      <c r="BX22" s="6" t="s">
        <v>35</v>
      </c>
      <c r="BY22" s="25"/>
      <c r="BZ22" s="18">
        <f t="shared" ref="BZ22:CP22" si="11">BZ21/BY21-1</f>
        <v>-0.2612365016</v>
      </c>
      <c r="CA22" s="18">
        <f t="shared" si="11"/>
        <v>0.3848230453</v>
      </c>
      <c r="CB22" s="18">
        <f t="shared" si="11"/>
        <v>-0.239302016</v>
      </c>
      <c r="CC22" s="18">
        <f t="shared" si="11"/>
        <v>0.5614100881</v>
      </c>
      <c r="CD22" s="18">
        <f t="shared" si="11"/>
        <v>0.8839117729</v>
      </c>
      <c r="CE22" s="18">
        <f t="shared" si="11"/>
        <v>0.3617355828</v>
      </c>
      <c r="CF22" s="18">
        <f t="shared" si="11"/>
        <v>0.2648082264</v>
      </c>
      <c r="CG22" s="18">
        <f t="shared" si="11"/>
        <v>0.2044145491</v>
      </c>
      <c r="CH22" s="18">
        <f t="shared" si="11"/>
        <v>-0.08311897677</v>
      </c>
      <c r="CI22" s="18">
        <f t="shared" si="11"/>
        <v>0.04849465455</v>
      </c>
      <c r="CJ22" s="18">
        <f t="shared" si="11"/>
        <v>0.04060401</v>
      </c>
      <c r="CK22" s="18">
        <f t="shared" si="11"/>
        <v>0.0926342105</v>
      </c>
      <c r="CL22" s="18">
        <f t="shared" si="11"/>
        <v>0.0926342105</v>
      </c>
      <c r="CM22" s="18">
        <f t="shared" si="11"/>
        <v>0.0926342105</v>
      </c>
      <c r="CN22" s="18">
        <f t="shared" si="11"/>
        <v>0.0926342105</v>
      </c>
      <c r="CO22" s="18">
        <f t="shared" si="11"/>
        <v>0.0926342105</v>
      </c>
      <c r="CP22" s="18">
        <f t="shared" si="11"/>
        <v>0.0926342105</v>
      </c>
      <c r="CQ22" s="6" t="s">
        <v>35</v>
      </c>
    </row>
    <row r="23" ht="14.25" customHeight="1">
      <c r="A23" s="9"/>
      <c r="B23" s="10" t="s">
        <v>46</v>
      </c>
      <c r="C23" s="9" t="s">
        <v>39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BX23" s="6" t="s">
        <v>35</v>
      </c>
      <c r="CQ23" s="6" t="s">
        <v>35</v>
      </c>
    </row>
    <row r="24" ht="14.25" customHeight="1">
      <c r="A24" s="9"/>
      <c r="B24" s="10" t="s">
        <v>47</v>
      </c>
      <c r="C24" s="9"/>
      <c r="D24" s="18">
        <f t="shared" ref="D24:BW24" si="12">D21/D$11</f>
        <v>-0.172378184</v>
      </c>
      <c r="E24" s="18">
        <f t="shared" si="12"/>
        <v>-0.193462407</v>
      </c>
      <c r="F24" s="18">
        <f t="shared" si="12"/>
        <v>-0.1359794133</v>
      </c>
      <c r="G24" s="18">
        <f t="shared" si="12"/>
        <v>-0.1933706477</v>
      </c>
      <c r="H24" s="18">
        <f t="shared" si="12"/>
        <v>-0.1097166737</v>
      </c>
      <c r="I24" s="18">
        <f t="shared" si="12"/>
        <v>-0.04889357968</v>
      </c>
      <c r="J24" s="18">
        <f t="shared" si="12"/>
        <v>-0.07315607631</v>
      </c>
      <c r="K24" s="18">
        <f t="shared" si="12"/>
        <v>-0.1387192141</v>
      </c>
      <c r="L24" s="18">
        <f t="shared" si="12"/>
        <v>-0.1138996139</v>
      </c>
      <c r="M24" s="18">
        <f t="shared" si="12"/>
        <v>-0.1178939171</v>
      </c>
      <c r="N24" s="18">
        <f t="shared" si="12"/>
        <v>-0.1314470417</v>
      </c>
      <c r="O24" s="18">
        <f t="shared" si="12"/>
        <v>-0.1194702348</v>
      </c>
      <c r="P24" s="18">
        <f t="shared" si="12"/>
        <v>0.01608503698</v>
      </c>
      <c r="Q24" s="18">
        <f t="shared" si="12"/>
        <v>-0.2240899846</v>
      </c>
      <c r="R24" s="18">
        <f t="shared" si="12"/>
        <v>-0.2272785307</v>
      </c>
      <c r="S24" s="18">
        <f t="shared" si="12"/>
        <v>-0.1451717148</v>
      </c>
      <c r="T24" s="18">
        <f t="shared" si="12"/>
        <v>-0.1403220255</v>
      </c>
      <c r="U24" s="18">
        <f t="shared" si="12"/>
        <v>-0.1136526667</v>
      </c>
      <c r="V24" s="18">
        <f t="shared" si="12"/>
        <v>-0.1136645008</v>
      </c>
      <c r="W24" s="18">
        <f t="shared" si="12"/>
        <v>-0.1022885955</v>
      </c>
      <c r="X24" s="18">
        <f t="shared" si="12"/>
        <v>-0.1157957428</v>
      </c>
      <c r="Y24" s="18">
        <f t="shared" si="12"/>
        <v>-0.1085831403</v>
      </c>
      <c r="Z24" s="18">
        <f t="shared" si="12"/>
        <v>-0.1083835418</v>
      </c>
      <c r="AA24" s="18">
        <f t="shared" si="12"/>
        <v>-0.1285589342</v>
      </c>
      <c r="AB24" s="18">
        <f t="shared" si="12"/>
        <v>-0.1058434399</v>
      </c>
      <c r="AC24" s="18">
        <f t="shared" si="12"/>
        <v>-0.1203619838</v>
      </c>
      <c r="AD24" s="18">
        <f t="shared" si="12"/>
        <v>-0.1148733812</v>
      </c>
      <c r="AE24" s="18">
        <f t="shared" si="12"/>
        <v>-0.1458812359</v>
      </c>
      <c r="AF24" s="18">
        <f t="shared" si="12"/>
        <v>-0.1364314724</v>
      </c>
      <c r="AG24" s="18">
        <f t="shared" si="12"/>
        <v>-0.1578534542</v>
      </c>
      <c r="AH24" s="18">
        <f t="shared" si="12"/>
        <v>-0.1115270605</v>
      </c>
      <c r="AI24" s="18">
        <f t="shared" si="12"/>
        <v>-0.1343601156</v>
      </c>
      <c r="AJ24" s="18">
        <f t="shared" si="12"/>
        <v>-0.1415093061</v>
      </c>
      <c r="AK24" s="18">
        <f t="shared" si="12"/>
        <v>-0.1435239608</v>
      </c>
      <c r="AL24" s="18">
        <f t="shared" si="12"/>
        <v>-0.1114623419</v>
      </c>
      <c r="AM24" s="18">
        <f t="shared" si="12"/>
        <v>-0.1273557073</v>
      </c>
      <c r="AN24" s="18">
        <f t="shared" si="12"/>
        <v>-0.11</v>
      </c>
      <c r="AO24" s="18">
        <f t="shared" si="12"/>
        <v>-0.11</v>
      </c>
      <c r="AP24" s="18">
        <f t="shared" si="12"/>
        <v>-0.11</v>
      </c>
      <c r="AQ24" s="18">
        <f t="shared" si="12"/>
        <v>-0.11</v>
      </c>
      <c r="AR24" s="18">
        <f t="shared" si="12"/>
        <v>-0.105</v>
      </c>
      <c r="AS24" s="18">
        <f t="shared" si="12"/>
        <v>-0.105</v>
      </c>
      <c r="AT24" s="18">
        <f t="shared" si="12"/>
        <v>-0.105</v>
      </c>
      <c r="AU24" s="18">
        <f t="shared" si="12"/>
        <v>-0.105</v>
      </c>
      <c r="AV24" s="18">
        <f t="shared" si="12"/>
        <v>-0.1</v>
      </c>
      <c r="AW24" s="18">
        <f t="shared" si="12"/>
        <v>-0.1</v>
      </c>
      <c r="AX24" s="18">
        <f t="shared" si="12"/>
        <v>-0.1</v>
      </c>
      <c r="AY24" s="18">
        <f t="shared" si="12"/>
        <v>-0.1</v>
      </c>
      <c r="AZ24" s="18">
        <f t="shared" si="12"/>
        <v>-0.1</v>
      </c>
      <c r="BA24" s="18">
        <f t="shared" si="12"/>
        <v>-0.1</v>
      </c>
      <c r="BB24" s="18">
        <f t="shared" si="12"/>
        <v>-0.1</v>
      </c>
      <c r="BC24" s="18">
        <f t="shared" si="12"/>
        <v>-0.1</v>
      </c>
      <c r="BD24" s="18">
        <f t="shared" si="12"/>
        <v>-0.1</v>
      </c>
      <c r="BE24" s="18">
        <f t="shared" si="12"/>
        <v>-0.1</v>
      </c>
      <c r="BF24" s="18">
        <f t="shared" si="12"/>
        <v>-0.1</v>
      </c>
      <c r="BG24" s="18">
        <f t="shared" si="12"/>
        <v>-0.1</v>
      </c>
      <c r="BH24" s="18">
        <f t="shared" si="12"/>
        <v>-0.1</v>
      </c>
      <c r="BI24" s="18">
        <f t="shared" si="12"/>
        <v>-0.1</v>
      </c>
      <c r="BJ24" s="18">
        <f t="shared" si="12"/>
        <v>-0.1</v>
      </c>
      <c r="BK24" s="18">
        <f t="shared" si="12"/>
        <v>-0.1</v>
      </c>
      <c r="BL24" s="18">
        <f t="shared" si="12"/>
        <v>-0.1</v>
      </c>
      <c r="BM24" s="18">
        <f t="shared" si="12"/>
        <v>-0.1</v>
      </c>
      <c r="BN24" s="18">
        <f t="shared" si="12"/>
        <v>-0.1</v>
      </c>
      <c r="BO24" s="18">
        <f t="shared" si="12"/>
        <v>-0.1</v>
      </c>
      <c r="BP24" s="18">
        <f t="shared" si="12"/>
        <v>-0.1</v>
      </c>
      <c r="BQ24" s="18">
        <f t="shared" si="12"/>
        <v>-0.1</v>
      </c>
      <c r="BR24" s="18">
        <f t="shared" si="12"/>
        <v>-0.1</v>
      </c>
      <c r="BS24" s="18">
        <f t="shared" si="12"/>
        <v>-0.1</v>
      </c>
      <c r="BT24" s="18">
        <f t="shared" si="12"/>
        <v>-0.1</v>
      </c>
      <c r="BU24" s="18">
        <f t="shared" si="12"/>
        <v>-0.1</v>
      </c>
      <c r="BV24" s="18">
        <f t="shared" si="12"/>
        <v>-0.1</v>
      </c>
      <c r="BW24" s="18">
        <f t="shared" si="12"/>
        <v>-0.1</v>
      </c>
      <c r="BX24" s="6" t="s">
        <v>35</v>
      </c>
      <c r="BY24" s="18">
        <f t="shared" ref="BY24:CP24" si="13">BY21/BY$11</f>
        <v>-0.1738505383</v>
      </c>
      <c r="BZ24" s="18">
        <f t="shared" si="13"/>
        <v>-0.09282263314</v>
      </c>
      <c r="CA24" s="18">
        <f t="shared" si="13"/>
        <v>-0.1206613656</v>
      </c>
      <c r="CB24" s="18">
        <f t="shared" si="13"/>
        <v>-0.1321068646</v>
      </c>
      <c r="CC24" s="18">
        <f t="shared" si="13"/>
        <v>-0.1153481199</v>
      </c>
      <c r="CD24" s="18">
        <f t="shared" si="13"/>
        <v>-0.1157033734</v>
      </c>
      <c r="CE24" s="18">
        <f t="shared" si="13"/>
        <v>-0.1224873616</v>
      </c>
      <c r="CF24" s="18">
        <f t="shared" si="13"/>
        <v>-0.1313655738</v>
      </c>
      <c r="CG24" s="18">
        <f t="shared" si="13"/>
        <v>-0.1308706235</v>
      </c>
      <c r="CH24" s="18">
        <f t="shared" si="13"/>
        <v>-0.11</v>
      </c>
      <c r="CI24" s="18">
        <f t="shared" si="13"/>
        <v>-0.105</v>
      </c>
      <c r="CJ24" s="18">
        <f t="shared" si="13"/>
        <v>-0.1</v>
      </c>
      <c r="CK24" s="18">
        <f t="shared" si="13"/>
        <v>-0.1</v>
      </c>
      <c r="CL24" s="18">
        <f t="shared" si="13"/>
        <v>-0.1</v>
      </c>
      <c r="CM24" s="18">
        <f t="shared" si="13"/>
        <v>-0.1</v>
      </c>
      <c r="CN24" s="18">
        <f t="shared" si="13"/>
        <v>-0.1</v>
      </c>
      <c r="CO24" s="18">
        <f t="shared" si="13"/>
        <v>-0.1</v>
      </c>
      <c r="CP24" s="18">
        <f t="shared" si="13"/>
        <v>-0.1</v>
      </c>
      <c r="CQ24" s="6" t="s">
        <v>35</v>
      </c>
    </row>
    <row r="25" ht="14.25" customHeight="1">
      <c r="A25" s="9"/>
      <c r="B25" s="10"/>
      <c r="C25" s="9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BX25" s="6" t="s">
        <v>35</v>
      </c>
      <c r="CQ25" s="6" t="s">
        <v>35</v>
      </c>
    </row>
    <row r="26" ht="14.25" customHeight="1">
      <c r="A26" s="9"/>
      <c r="B26" s="22" t="s">
        <v>48</v>
      </c>
      <c r="C26" s="15" t="s">
        <v>39</v>
      </c>
      <c r="D26" s="26">
        <f>Inputs!F149/1000</f>
        <v>0.174</v>
      </c>
      <c r="E26" s="26">
        <f>Inputs!G149/1000</f>
        <v>0.061</v>
      </c>
      <c r="F26" s="26">
        <f>Inputs!H149/1000</f>
        <v>0.212</v>
      </c>
      <c r="G26" s="26">
        <f>Inputs!I149/1000</f>
        <v>-0.261</v>
      </c>
      <c r="H26" s="26">
        <f>Inputs!J149/1000</f>
        <v>0.607</v>
      </c>
      <c r="I26" s="26">
        <f>Inputs!K149/1000</f>
        <v>0.438</v>
      </c>
      <c r="J26" s="26">
        <f>Inputs!L149/1000</f>
        <v>0.116</v>
      </c>
      <c r="K26" s="26">
        <f>Inputs!M149/1000</f>
        <v>-0.713</v>
      </c>
      <c r="L26" s="26">
        <f>Inputs!N149/1000</f>
        <v>-0.163</v>
      </c>
      <c r="M26" s="26">
        <f>Inputs!O149/1000</f>
        <v>0.288</v>
      </c>
      <c r="N26" s="26">
        <f>Inputs!P149/1000</f>
        <v>-0.256</v>
      </c>
      <c r="O26" s="26">
        <f>Inputs!Q149/1000</f>
        <v>0.928</v>
      </c>
      <c r="P26" s="26">
        <f>Inputs!R149/1000</f>
        <v>0.217</v>
      </c>
      <c r="Q26" s="26">
        <f>Inputs!S149/1000</f>
        <v>0</v>
      </c>
      <c r="R26" s="26">
        <f>Inputs!T149/1000</f>
        <v>0</v>
      </c>
      <c r="S26" s="26">
        <f>Inputs!U149/1000</f>
        <v>0</v>
      </c>
      <c r="T26" s="26">
        <f>Inputs!V149/1000</f>
        <v>0</v>
      </c>
      <c r="U26" s="26">
        <f>Inputs!W149/1000</f>
        <v>0</v>
      </c>
      <c r="V26" s="26">
        <f>Inputs!X149/1000</f>
        <v>0</v>
      </c>
      <c r="W26" s="26">
        <f>Inputs!Y149/1000</f>
        <v>0</v>
      </c>
      <c r="X26" s="26">
        <f>Inputs!Z149/1000</f>
        <v>0</v>
      </c>
      <c r="Y26" s="26">
        <f>Inputs!AA149/1000</f>
        <v>0</v>
      </c>
      <c r="Z26" s="26">
        <f>Inputs!AB149/1000</f>
        <v>0</v>
      </c>
      <c r="AA26" s="26">
        <f>Inputs!AC149/1000</f>
        <v>0</v>
      </c>
      <c r="AB26" s="26">
        <f>Inputs!AD149/1000</f>
        <v>0</v>
      </c>
      <c r="AC26" s="26">
        <f>Inputs!AE149/1000</f>
        <v>0</v>
      </c>
      <c r="AD26" s="26">
        <f>Inputs!AF149/1000</f>
        <v>0</v>
      </c>
      <c r="AE26" s="26">
        <f>Inputs!AG149/1000</f>
        <v>0</v>
      </c>
      <c r="AF26" s="26">
        <f>Inputs!AH149/1000</f>
        <v>0</v>
      </c>
      <c r="AG26" s="26">
        <f>Inputs!AI149/1000</f>
        <v>0</v>
      </c>
      <c r="AH26" s="26">
        <f>Inputs!AJ149/1000</f>
        <v>0</v>
      </c>
      <c r="AI26" s="26">
        <f>Inputs!AK149/1000</f>
        <v>0</v>
      </c>
      <c r="AJ26" s="26">
        <f>Inputs!AL149/1000</f>
        <v>0</v>
      </c>
      <c r="AK26" s="26">
        <f t="shared" ref="AK26:BW26" si="14">0</f>
        <v>0</v>
      </c>
      <c r="AL26" s="26">
        <f t="shared" si="14"/>
        <v>0</v>
      </c>
      <c r="AM26" s="26">
        <f t="shared" si="14"/>
        <v>0</v>
      </c>
      <c r="AN26" s="26">
        <f t="shared" si="14"/>
        <v>0</v>
      </c>
      <c r="AO26" s="26">
        <f t="shared" si="14"/>
        <v>0</v>
      </c>
      <c r="AP26" s="26">
        <f t="shared" si="14"/>
        <v>0</v>
      </c>
      <c r="AQ26" s="26">
        <f t="shared" si="14"/>
        <v>0</v>
      </c>
      <c r="AR26" s="26">
        <f t="shared" si="14"/>
        <v>0</v>
      </c>
      <c r="AS26" s="26">
        <f t="shared" si="14"/>
        <v>0</v>
      </c>
      <c r="AT26" s="26">
        <f t="shared" si="14"/>
        <v>0</v>
      </c>
      <c r="AU26" s="26">
        <f t="shared" si="14"/>
        <v>0</v>
      </c>
      <c r="AV26" s="26">
        <f t="shared" si="14"/>
        <v>0</v>
      </c>
      <c r="AW26" s="26">
        <f t="shared" si="14"/>
        <v>0</v>
      </c>
      <c r="AX26" s="26">
        <f t="shared" si="14"/>
        <v>0</v>
      </c>
      <c r="AY26" s="26">
        <f t="shared" si="14"/>
        <v>0</v>
      </c>
      <c r="AZ26" s="26">
        <f t="shared" si="14"/>
        <v>0</v>
      </c>
      <c r="BA26" s="26">
        <f t="shared" si="14"/>
        <v>0</v>
      </c>
      <c r="BB26" s="26">
        <f t="shared" si="14"/>
        <v>0</v>
      </c>
      <c r="BC26" s="26">
        <f t="shared" si="14"/>
        <v>0</v>
      </c>
      <c r="BD26" s="26">
        <f t="shared" si="14"/>
        <v>0</v>
      </c>
      <c r="BE26" s="26">
        <f t="shared" si="14"/>
        <v>0</v>
      </c>
      <c r="BF26" s="26">
        <f t="shared" si="14"/>
        <v>0</v>
      </c>
      <c r="BG26" s="26">
        <f t="shared" si="14"/>
        <v>0</v>
      </c>
      <c r="BH26" s="26">
        <f t="shared" si="14"/>
        <v>0</v>
      </c>
      <c r="BI26" s="26">
        <f t="shared" si="14"/>
        <v>0</v>
      </c>
      <c r="BJ26" s="26">
        <f t="shared" si="14"/>
        <v>0</v>
      </c>
      <c r="BK26" s="26">
        <f t="shared" si="14"/>
        <v>0</v>
      </c>
      <c r="BL26" s="26">
        <f t="shared" si="14"/>
        <v>0</v>
      </c>
      <c r="BM26" s="26">
        <f t="shared" si="14"/>
        <v>0</v>
      </c>
      <c r="BN26" s="26">
        <f t="shared" si="14"/>
        <v>0</v>
      </c>
      <c r="BO26" s="26">
        <f t="shared" si="14"/>
        <v>0</v>
      </c>
      <c r="BP26" s="26">
        <f t="shared" si="14"/>
        <v>0</v>
      </c>
      <c r="BQ26" s="26">
        <f t="shared" si="14"/>
        <v>0</v>
      </c>
      <c r="BR26" s="26">
        <f t="shared" si="14"/>
        <v>0</v>
      </c>
      <c r="BS26" s="26">
        <f t="shared" si="14"/>
        <v>0</v>
      </c>
      <c r="BT26" s="26">
        <f t="shared" si="14"/>
        <v>0</v>
      </c>
      <c r="BU26" s="26">
        <f t="shared" si="14"/>
        <v>0</v>
      </c>
      <c r="BV26" s="26">
        <f t="shared" si="14"/>
        <v>0</v>
      </c>
      <c r="BW26" s="26">
        <f t="shared" si="14"/>
        <v>0</v>
      </c>
      <c r="BX26" s="6" t="s">
        <v>35</v>
      </c>
      <c r="BY26" s="24">
        <f>SUM(D26:G26)</f>
        <v>0.186</v>
      </c>
      <c r="BZ26" s="24">
        <f>SUM(H26:K26)</f>
        <v>0.448</v>
      </c>
      <c r="CA26" s="24">
        <f>SUM(L26:O26)</f>
        <v>0.797</v>
      </c>
      <c r="CB26" s="24">
        <f>SUM(P26:S26)</f>
        <v>0.217</v>
      </c>
      <c r="CC26" s="24">
        <f>SUM(T26:W26)</f>
        <v>0</v>
      </c>
      <c r="CD26" s="24">
        <f>SUM(X26:AA26)</f>
        <v>0</v>
      </c>
      <c r="CE26" s="24">
        <f>SUM(AB26:AE26)</f>
        <v>0</v>
      </c>
      <c r="CF26" s="24">
        <f>SUM(AF26:AI26)</f>
        <v>0</v>
      </c>
      <c r="CG26" s="24">
        <f>SUM(AJ26:AM26)</f>
        <v>0</v>
      </c>
      <c r="CH26" s="24">
        <f>SUM(AN26:AQ26)</f>
        <v>0</v>
      </c>
      <c r="CI26" s="24">
        <f>SUM(AR26:AU26)</f>
        <v>0</v>
      </c>
      <c r="CJ26" s="24">
        <f>SUM(AV26:AY26)</f>
        <v>0</v>
      </c>
      <c r="CK26" s="24">
        <f>SUM(AQ26:AT26)</f>
        <v>0</v>
      </c>
      <c r="CL26" s="24">
        <f>SUM(AU26:AX26)</f>
        <v>0</v>
      </c>
      <c r="CM26" s="24">
        <f>SUM(AY26:BB26)</f>
        <v>0</v>
      </c>
      <c r="CN26" s="24">
        <f>SUM(AT26:AW26)</f>
        <v>0</v>
      </c>
      <c r="CO26" s="24">
        <f>SUM(AX26:BA26)</f>
        <v>0</v>
      </c>
      <c r="CP26" s="24">
        <f>SUM(BB26:BE26)</f>
        <v>0</v>
      </c>
      <c r="CQ26" s="6" t="s">
        <v>35</v>
      </c>
    </row>
    <row r="27" ht="14.25" customHeight="1">
      <c r="A27" s="9"/>
      <c r="B27" s="10" t="s">
        <v>40</v>
      </c>
      <c r="C27" s="9" t="s">
        <v>42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BX27" s="6" t="s">
        <v>35</v>
      </c>
      <c r="BY27" s="25"/>
      <c r="BZ27" s="18">
        <f t="shared" ref="BZ27:CC27" si="15">BZ26/BY26-1</f>
        <v>1.408602151</v>
      </c>
      <c r="CA27" s="18">
        <f t="shared" si="15"/>
        <v>0.7790178571</v>
      </c>
      <c r="CB27" s="18">
        <f t="shared" si="15"/>
        <v>-0.7277289837</v>
      </c>
      <c r="CC27" s="18">
        <f t="shared" si="15"/>
        <v>-1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6" t="s">
        <v>35</v>
      </c>
    </row>
    <row r="28" ht="14.25" customHeight="1">
      <c r="A28" s="9"/>
      <c r="B28" s="10"/>
      <c r="C28" s="9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BX28" s="6" t="s">
        <v>35</v>
      </c>
      <c r="CQ28" s="6" t="s">
        <v>35</v>
      </c>
    </row>
    <row r="29" ht="14.25" customHeight="1">
      <c r="A29" s="9"/>
      <c r="B29" s="14" t="s">
        <v>49</v>
      </c>
      <c r="C29" s="15" t="s">
        <v>39</v>
      </c>
      <c r="D29" s="27">
        <f>Inputs!F151/1000</f>
        <v>3.966</v>
      </c>
      <c r="E29" s="27">
        <f>Inputs!G151/1000</f>
        <v>-0.908</v>
      </c>
      <c r="F29" s="27">
        <f>Inputs!H151/1000</f>
        <v>-3.981</v>
      </c>
      <c r="G29" s="27">
        <f>Inputs!I151/1000</f>
        <v>-6.604</v>
      </c>
      <c r="H29" s="27">
        <f>Inputs!J151/1000</f>
        <v>2.833</v>
      </c>
      <c r="I29" s="27">
        <f>Inputs!K151/1000</f>
        <v>3.322</v>
      </c>
      <c r="J29" s="27">
        <f>Inputs!L151/1000</f>
        <v>3.208</v>
      </c>
      <c r="K29" s="27">
        <f>Inputs!M151/1000</f>
        <v>5.733</v>
      </c>
      <c r="L29" s="27">
        <f>Inputs!N151/1000</f>
        <v>0.927</v>
      </c>
      <c r="M29" s="27">
        <f>Inputs!O151/1000</f>
        <v>2.075</v>
      </c>
      <c r="N29" s="27">
        <f>Inputs!P151/1000</f>
        <v>-0.738</v>
      </c>
      <c r="O29" s="27">
        <f>Inputs!Q151/1000</f>
        <v>5.496</v>
      </c>
      <c r="P29" s="27">
        <f>Inputs!R151/1000</f>
        <v>10.776</v>
      </c>
      <c r="Q29" s="27">
        <f>Inputs!S151/1000</f>
        <v>-15.047</v>
      </c>
      <c r="R29" s="27">
        <f>Inputs!T151/1000</f>
        <v>-3.014</v>
      </c>
      <c r="S29" s="27">
        <f>Inputs!U151/1000</f>
        <v>2.653</v>
      </c>
      <c r="T29" s="27">
        <f>Inputs!V151/1000</f>
        <v>0.404</v>
      </c>
      <c r="U29" s="27">
        <f>Inputs!W151/1000</f>
        <v>8.795</v>
      </c>
      <c r="V29" s="27">
        <f>Inputs!X151/1000</f>
        <v>7.115</v>
      </c>
      <c r="W29" s="27">
        <f>Inputs!Y151/1000</f>
        <v>4.178</v>
      </c>
      <c r="X29" s="27">
        <f>Inputs!Z151/1000</f>
        <v>10.552</v>
      </c>
      <c r="Y29" s="27">
        <f>Inputs!AA151/1000</f>
        <v>19.433</v>
      </c>
      <c r="Z29" s="27">
        <f>Inputs!AB151/1000</f>
        <v>50.494</v>
      </c>
      <c r="AA29" s="27">
        <f>Inputs!AC151/1000</f>
        <v>23.979</v>
      </c>
      <c r="AB29" s="27">
        <f>Inputs!AD151/1000</f>
        <v>24.055</v>
      </c>
      <c r="AC29" s="27">
        <f>Inputs!AE151/1000</f>
        <v>24.289</v>
      </c>
      <c r="AD29" s="27">
        <f>Inputs!AF151/1000</f>
        <v>20.616</v>
      </c>
      <c r="AE29" s="27">
        <f>Inputs!AG151/1000</f>
        <v>18.438</v>
      </c>
      <c r="AF29" s="27">
        <f>Inputs!AH151/1000</f>
        <v>13.987</v>
      </c>
      <c r="AG29" s="27">
        <f>Inputs!AI151/1000</f>
        <v>6.588</v>
      </c>
      <c r="AH29" s="27">
        <f>Inputs!AJ151/1000</f>
        <v>45.057</v>
      </c>
      <c r="AI29" s="27">
        <f>Inputs!AK151/1000</f>
        <v>45.85</v>
      </c>
      <c r="AJ29" s="27">
        <f>Inputs!AL151/1000</f>
        <v>21.645</v>
      </c>
      <c r="AK29" s="27">
        <f t="shared" ref="AK29:BW29" si="16">AK17+AK21+AK26</f>
        <v>24.15857581</v>
      </c>
      <c r="AL29" s="27">
        <f t="shared" si="16"/>
        <v>38.70149322</v>
      </c>
      <c r="AM29" s="27">
        <f t="shared" si="16"/>
        <v>36.19665412</v>
      </c>
      <c r="AN29" s="27">
        <f t="shared" si="16"/>
        <v>40.43817875</v>
      </c>
      <c r="AO29" s="27">
        <f t="shared" si="16"/>
        <v>40.32036197</v>
      </c>
      <c r="AP29" s="27">
        <f t="shared" si="16"/>
        <v>45.10043954</v>
      </c>
      <c r="AQ29" s="27">
        <f t="shared" si="16"/>
        <v>49.70337833</v>
      </c>
      <c r="AR29" s="27">
        <f t="shared" si="16"/>
        <v>47.852559</v>
      </c>
      <c r="AS29" s="27">
        <f t="shared" si="16"/>
        <v>47.27745904</v>
      </c>
      <c r="AT29" s="27">
        <f t="shared" si="16"/>
        <v>52.40703367</v>
      </c>
      <c r="AU29" s="27">
        <f t="shared" si="16"/>
        <v>57.45397336</v>
      </c>
      <c r="AV29" s="27">
        <f t="shared" si="16"/>
        <v>54.61171044</v>
      </c>
      <c r="AW29" s="27">
        <f t="shared" si="16"/>
        <v>53.973619</v>
      </c>
      <c r="AX29" s="27">
        <f t="shared" si="16"/>
        <v>59.66838613</v>
      </c>
      <c r="AY29" s="27">
        <f t="shared" si="16"/>
        <v>65.49275707</v>
      </c>
      <c r="AZ29" s="27">
        <f t="shared" si="16"/>
        <v>59.67062312</v>
      </c>
      <c r="BA29" s="27">
        <f t="shared" si="16"/>
        <v>58.97342258</v>
      </c>
      <c r="BB29" s="27">
        <f t="shared" si="16"/>
        <v>65.19571997</v>
      </c>
      <c r="BC29" s="27">
        <f t="shared" si="16"/>
        <v>71.55962691</v>
      </c>
      <c r="BD29" s="27">
        <f t="shared" si="16"/>
        <v>65.19816419</v>
      </c>
      <c r="BE29" s="27">
        <f t="shared" si="16"/>
        <v>64.43637903</v>
      </c>
      <c r="BF29" s="27">
        <f t="shared" si="16"/>
        <v>71.23507402</v>
      </c>
      <c r="BG29" s="27">
        <f t="shared" si="16"/>
        <v>78.18849646</v>
      </c>
      <c r="BH29" s="27">
        <f t="shared" si="16"/>
        <v>71.23774465</v>
      </c>
      <c r="BI29" s="27">
        <f t="shared" si="16"/>
        <v>70.40539212</v>
      </c>
      <c r="BJ29" s="27">
        <f t="shared" si="16"/>
        <v>77.83387886</v>
      </c>
      <c r="BK29" s="27">
        <f t="shared" si="16"/>
        <v>85.4314261</v>
      </c>
      <c r="BL29" s="27">
        <f t="shared" si="16"/>
        <v>77.83679689</v>
      </c>
      <c r="BM29" s="27">
        <f t="shared" si="16"/>
        <v>76.92734004</v>
      </c>
      <c r="BN29" s="27">
        <f t="shared" si="16"/>
        <v>85.04395878</v>
      </c>
      <c r="BO29" s="27">
        <f t="shared" si="16"/>
        <v>93.3452988</v>
      </c>
      <c r="BP29" s="27">
        <f t="shared" si="16"/>
        <v>85.04714711</v>
      </c>
      <c r="BQ29" s="27">
        <f t="shared" si="16"/>
        <v>84.05344345</v>
      </c>
      <c r="BR29" s="27">
        <f t="shared" si="16"/>
        <v>92.92193875</v>
      </c>
      <c r="BS29" s="27">
        <f t="shared" si="16"/>
        <v>101.9922669</v>
      </c>
      <c r="BT29" s="27">
        <f t="shared" si="16"/>
        <v>92.92542244</v>
      </c>
      <c r="BU29" s="27">
        <f t="shared" si="16"/>
        <v>91.83966782</v>
      </c>
      <c r="BV29" s="27">
        <f t="shared" si="16"/>
        <v>101.5296892</v>
      </c>
      <c r="BW29" s="27">
        <f t="shared" si="16"/>
        <v>111.44024</v>
      </c>
      <c r="BX29" s="6" t="s">
        <v>35</v>
      </c>
      <c r="BY29" s="16">
        <f>SUM(D29:G29)</f>
        <v>-7.527</v>
      </c>
      <c r="BZ29" s="16">
        <f>SUM(H29:K29)</f>
        <v>15.096</v>
      </c>
      <c r="CA29" s="16">
        <f>SUM(L29:O29)</f>
        <v>7.76</v>
      </c>
      <c r="CB29" s="16">
        <f>SUM(P29:S29)</f>
        <v>-4.632</v>
      </c>
      <c r="CC29" s="16">
        <f>SUM(T29:W29)</f>
        <v>20.492</v>
      </c>
      <c r="CD29" s="16">
        <f>SUM(X29:AA29)</f>
        <v>104.458</v>
      </c>
      <c r="CE29" s="16">
        <f>SUM(AB29:AE29)</f>
        <v>87.398</v>
      </c>
      <c r="CF29" s="16">
        <f>SUM(AF29:AI29)</f>
        <v>111.482</v>
      </c>
      <c r="CG29" s="16">
        <f>SUM(AJ29:AM29)</f>
        <v>120.7017232</v>
      </c>
      <c r="CH29" s="16">
        <f>SUM(AN29:AQ29)</f>
        <v>175.5623586</v>
      </c>
      <c r="CI29" s="16">
        <f>SUM(AR29:AU29)</f>
        <v>204.9910251</v>
      </c>
      <c r="CJ29" s="16">
        <f>SUM(AV29:AY29)</f>
        <v>233.7464726</v>
      </c>
      <c r="CK29" s="16">
        <f>SUM(AZ29:BC29)</f>
        <v>255.3993926</v>
      </c>
      <c r="CL29" s="16">
        <f>SUM(BD29:BG29)</f>
        <v>279.0581137</v>
      </c>
      <c r="CM29" s="16">
        <f>SUM(BH29:BK29)</f>
        <v>304.9084417</v>
      </c>
      <c r="CN29" s="16">
        <f>SUM(BL29:BO29)</f>
        <v>333.1533945</v>
      </c>
      <c r="CO29" s="16">
        <f>SUM(BP29:BS29)</f>
        <v>364.0147962</v>
      </c>
      <c r="CP29" s="16">
        <f>SUM(BT29:BW29)</f>
        <v>397.7350194</v>
      </c>
      <c r="CQ29" s="6" t="s">
        <v>35</v>
      </c>
    </row>
    <row r="30" ht="14.25" customHeight="1">
      <c r="A30" s="9"/>
      <c r="B30" s="10" t="s">
        <v>40</v>
      </c>
      <c r="C30" s="9" t="s">
        <v>42</v>
      </c>
      <c r="D30" s="18"/>
      <c r="E30" s="18"/>
      <c r="F30" s="18"/>
      <c r="G30" s="18"/>
      <c r="H30" s="18">
        <f t="shared" ref="H30:BW30" si="17">H29/D29-1</f>
        <v>-0.2856782653</v>
      </c>
      <c r="I30" s="18">
        <f t="shared" si="17"/>
        <v>-4.658590308</v>
      </c>
      <c r="J30" s="18">
        <f t="shared" si="17"/>
        <v>-1.805827681</v>
      </c>
      <c r="K30" s="18">
        <f t="shared" si="17"/>
        <v>-1.868110236</v>
      </c>
      <c r="L30" s="18">
        <f t="shared" si="17"/>
        <v>-0.6727850335</v>
      </c>
      <c r="M30" s="18">
        <f t="shared" si="17"/>
        <v>-0.3753762793</v>
      </c>
      <c r="N30" s="18">
        <f t="shared" si="17"/>
        <v>-1.230049875</v>
      </c>
      <c r="O30" s="18">
        <f t="shared" si="17"/>
        <v>-0.04133961277</v>
      </c>
      <c r="P30" s="18">
        <f t="shared" si="17"/>
        <v>10.62459547</v>
      </c>
      <c r="Q30" s="18">
        <f t="shared" si="17"/>
        <v>-8.251566265</v>
      </c>
      <c r="R30" s="18">
        <f t="shared" si="17"/>
        <v>3.08401084</v>
      </c>
      <c r="S30" s="18">
        <f t="shared" si="17"/>
        <v>-0.5172852984</v>
      </c>
      <c r="T30" s="18">
        <f t="shared" si="17"/>
        <v>-0.9625092799</v>
      </c>
      <c r="U30" s="18">
        <f t="shared" si="17"/>
        <v>-1.584501894</v>
      </c>
      <c r="V30" s="18">
        <f t="shared" si="17"/>
        <v>-3.360650299</v>
      </c>
      <c r="W30" s="18">
        <f t="shared" si="17"/>
        <v>0.5748209574</v>
      </c>
      <c r="X30" s="18">
        <f t="shared" si="17"/>
        <v>25.11881188</v>
      </c>
      <c r="Y30" s="18">
        <f t="shared" si="17"/>
        <v>1.209550881</v>
      </c>
      <c r="Z30" s="18">
        <f t="shared" si="17"/>
        <v>6.096837667</v>
      </c>
      <c r="AA30" s="18">
        <f t="shared" si="17"/>
        <v>4.739348971</v>
      </c>
      <c r="AB30" s="18">
        <f t="shared" si="17"/>
        <v>1.279662623</v>
      </c>
      <c r="AC30" s="18">
        <f t="shared" si="17"/>
        <v>0.2498842176</v>
      </c>
      <c r="AD30" s="18">
        <f t="shared" si="17"/>
        <v>-0.591713867</v>
      </c>
      <c r="AE30" s="18">
        <f t="shared" si="17"/>
        <v>-0.2310771925</v>
      </c>
      <c r="AF30" s="18">
        <f t="shared" si="17"/>
        <v>-0.4185408439</v>
      </c>
      <c r="AG30" s="18">
        <f t="shared" si="17"/>
        <v>-0.7287661081</v>
      </c>
      <c r="AH30" s="18">
        <f t="shared" si="17"/>
        <v>1.185535506</v>
      </c>
      <c r="AI30" s="18">
        <f t="shared" si="17"/>
        <v>1.486712225</v>
      </c>
      <c r="AJ30" s="18">
        <f t="shared" si="17"/>
        <v>0.5475084007</v>
      </c>
      <c r="AK30" s="18">
        <f t="shared" si="17"/>
        <v>2.667057653</v>
      </c>
      <c r="AL30" s="18">
        <f t="shared" si="17"/>
        <v>-0.1410548145</v>
      </c>
      <c r="AM30" s="18">
        <f t="shared" si="17"/>
        <v>-0.2105418949</v>
      </c>
      <c r="AN30" s="18">
        <f t="shared" si="17"/>
        <v>0.8682457266</v>
      </c>
      <c r="AO30" s="18">
        <f t="shared" si="17"/>
        <v>0.6689875379</v>
      </c>
      <c r="AP30" s="18">
        <f t="shared" si="17"/>
        <v>0.1653410704</v>
      </c>
      <c r="AQ30" s="18">
        <f t="shared" si="17"/>
        <v>0.3731484177</v>
      </c>
      <c r="AR30" s="18">
        <f t="shared" si="17"/>
        <v>0.1833509934</v>
      </c>
      <c r="AS30" s="18">
        <f t="shared" si="17"/>
        <v>0.1725455013</v>
      </c>
      <c r="AT30" s="18">
        <f t="shared" si="17"/>
        <v>0.1620071603</v>
      </c>
      <c r="AU30" s="18">
        <f t="shared" si="17"/>
        <v>0.1559369864</v>
      </c>
      <c r="AV30" s="18">
        <f t="shared" si="17"/>
        <v>0.1412495295</v>
      </c>
      <c r="AW30" s="18">
        <f t="shared" si="17"/>
        <v>0.1416353607</v>
      </c>
      <c r="AX30" s="18">
        <f t="shared" si="17"/>
        <v>0.13855683</v>
      </c>
      <c r="AY30" s="18">
        <f t="shared" si="17"/>
        <v>0.1399169324</v>
      </c>
      <c r="AZ30" s="18">
        <f t="shared" si="17"/>
        <v>0.0926342105</v>
      </c>
      <c r="BA30" s="18">
        <f t="shared" si="17"/>
        <v>0.0926342105</v>
      </c>
      <c r="BB30" s="18">
        <f t="shared" si="17"/>
        <v>0.0926342105</v>
      </c>
      <c r="BC30" s="18">
        <f t="shared" si="17"/>
        <v>0.0926342105</v>
      </c>
      <c r="BD30" s="18">
        <f t="shared" si="17"/>
        <v>0.0926342105</v>
      </c>
      <c r="BE30" s="18">
        <f t="shared" si="17"/>
        <v>0.0926342105</v>
      </c>
      <c r="BF30" s="18">
        <f t="shared" si="17"/>
        <v>0.0926342105</v>
      </c>
      <c r="BG30" s="18">
        <f t="shared" si="17"/>
        <v>0.0926342105</v>
      </c>
      <c r="BH30" s="18">
        <f t="shared" si="17"/>
        <v>0.0926342105</v>
      </c>
      <c r="BI30" s="18">
        <f t="shared" si="17"/>
        <v>0.0926342105</v>
      </c>
      <c r="BJ30" s="18">
        <f t="shared" si="17"/>
        <v>0.0926342105</v>
      </c>
      <c r="BK30" s="18">
        <f t="shared" si="17"/>
        <v>0.0926342105</v>
      </c>
      <c r="BL30" s="18">
        <f t="shared" si="17"/>
        <v>0.0926342105</v>
      </c>
      <c r="BM30" s="18">
        <f t="shared" si="17"/>
        <v>0.0926342105</v>
      </c>
      <c r="BN30" s="18">
        <f t="shared" si="17"/>
        <v>0.0926342105</v>
      </c>
      <c r="BO30" s="18">
        <f t="shared" si="17"/>
        <v>0.0926342105</v>
      </c>
      <c r="BP30" s="18">
        <f t="shared" si="17"/>
        <v>0.0926342105</v>
      </c>
      <c r="BQ30" s="18">
        <f t="shared" si="17"/>
        <v>0.0926342105</v>
      </c>
      <c r="BR30" s="18">
        <f t="shared" si="17"/>
        <v>0.0926342105</v>
      </c>
      <c r="BS30" s="18">
        <f t="shared" si="17"/>
        <v>0.0926342105</v>
      </c>
      <c r="BT30" s="18">
        <f t="shared" si="17"/>
        <v>0.0926342105</v>
      </c>
      <c r="BU30" s="18">
        <f t="shared" si="17"/>
        <v>0.0926342105</v>
      </c>
      <c r="BV30" s="18">
        <f t="shared" si="17"/>
        <v>0.0926342105</v>
      </c>
      <c r="BW30" s="18">
        <f t="shared" si="17"/>
        <v>0.0926342105</v>
      </c>
      <c r="BX30" s="6" t="s">
        <v>35</v>
      </c>
      <c r="BY30" s="18"/>
      <c r="BZ30" s="18">
        <f t="shared" ref="BZ30:CP30" si="18">BZ29/BY29-1</f>
        <v>-3.005579912</v>
      </c>
      <c r="CA30" s="18">
        <f t="shared" si="18"/>
        <v>-0.4859565448</v>
      </c>
      <c r="CB30" s="18">
        <f t="shared" si="18"/>
        <v>-1.596907216</v>
      </c>
      <c r="CC30" s="18">
        <f t="shared" si="18"/>
        <v>-5.424006908</v>
      </c>
      <c r="CD30" s="18">
        <f t="shared" si="18"/>
        <v>4.097501464</v>
      </c>
      <c r="CE30" s="18">
        <f t="shared" si="18"/>
        <v>-0.1633192288</v>
      </c>
      <c r="CF30" s="18">
        <f t="shared" si="18"/>
        <v>0.2755669466</v>
      </c>
      <c r="CG30" s="18">
        <f t="shared" si="18"/>
        <v>0.08270145096</v>
      </c>
      <c r="CH30" s="18">
        <f t="shared" si="18"/>
        <v>0.454514103</v>
      </c>
      <c r="CI30" s="18">
        <f t="shared" si="18"/>
        <v>0.1676251488</v>
      </c>
      <c r="CJ30" s="18">
        <f t="shared" si="18"/>
        <v>0.1402766173</v>
      </c>
      <c r="CK30" s="18">
        <f t="shared" si="18"/>
        <v>0.0926342105</v>
      </c>
      <c r="CL30" s="18">
        <f t="shared" si="18"/>
        <v>0.0926342105</v>
      </c>
      <c r="CM30" s="18">
        <f t="shared" si="18"/>
        <v>0.0926342105</v>
      </c>
      <c r="CN30" s="18">
        <f t="shared" si="18"/>
        <v>0.0926342105</v>
      </c>
      <c r="CO30" s="18">
        <f t="shared" si="18"/>
        <v>0.0926342105</v>
      </c>
      <c r="CP30" s="18">
        <f t="shared" si="18"/>
        <v>0.0926342105</v>
      </c>
      <c r="CQ30" s="6" t="s">
        <v>35</v>
      </c>
    </row>
    <row r="31" ht="14.25" customHeight="1">
      <c r="A31" s="9"/>
      <c r="B31" s="10" t="s">
        <v>50</v>
      </c>
      <c r="C31" s="9" t="s">
        <v>42</v>
      </c>
      <c r="D31" s="18">
        <f t="shared" ref="D31:BW31" si="19">D29/D$11</f>
        <v>0.07584334124</v>
      </c>
      <c r="E31" s="18">
        <f t="shared" si="19"/>
        <v>-0.01680672269</v>
      </c>
      <c r="F31" s="18">
        <f t="shared" si="19"/>
        <v>-0.06483818955</v>
      </c>
      <c r="G31" s="18">
        <f t="shared" si="19"/>
        <v>-0.09600930435</v>
      </c>
      <c r="H31" s="18">
        <f t="shared" si="19"/>
        <v>0.03722928932</v>
      </c>
      <c r="I31" s="18">
        <f t="shared" si="19"/>
        <v>0.03939472998</v>
      </c>
      <c r="J31" s="18">
        <f t="shared" si="19"/>
        <v>0.04015822943</v>
      </c>
      <c r="K31" s="18">
        <f t="shared" si="19"/>
        <v>0.06594885599</v>
      </c>
      <c r="L31" s="18">
        <f t="shared" si="19"/>
        <v>0.01118484556</v>
      </c>
      <c r="M31" s="18">
        <f t="shared" si="19"/>
        <v>0.02244310807</v>
      </c>
      <c r="N31" s="18">
        <f t="shared" si="19"/>
        <v>-0.008642900642</v>
      </c>
      <c r="O31" s="18">
        <f t="shared" si="19"/>
        <v>0.06253413435</v>
      </c>
      <c r="P31" s="18">
        <f t="shared" si="19"/>
        <v>0.1515142994</v>
      </c>
      <c r="Q31" s="18">
        <f t="shared" si="19"/>
        <v>-0.3122691238</v>
      </c>
      <c r="R31" s="18">
        <f t="shared" si="19"/>
        <v>-0.0549729148</v>
      </c>
      <c r="S31" s="18">
        <f t="shared" si="19"/>
        <v>0.03897000499</v>
      </c>
      <c r="T31" s="18">
        <f t="shared" si="19"/>
        <v>0.005150367792</v>
      </c>
      <c r="U31" s="18">
        <f t="shared" si="19"/>
        <v>0.078861949</v>
      </c>
      <c r="V31" s="18">
        <f t="shared" si="19"/>
        <v>0.05757264349</v>
      </c>
      <c r="W31" s="18">
        <f t="shared" si="19"/>
        <v>0.03493515507</v>
      </c>
      <c r="X31" s="18">
        <f t="shared" si="19"/>
        <v>0.08161623662</v>
      </c>
      <c r="Y31" s="18">
        <f t="shared" si="19"/>
        <v>0.1056474323</v>
      </c>
      <c r="Z31" s="18">
        <f t="shared" si="19"/>
        <v>0.1984522813</v>
      </c>
      <c r="AA31" s="18">
        <f t="shared" si="19"/>
        <v>0.09754500153</v>
      </c>
      <c r="AB31" s="18">
        <f t="shared" si="19"/>
        <v>0.09970488515</v>
      </c>
      <c r="AC31" s="18">
        <f t="shared" si="19"/>
        <v>0.09565083841</v>
      </c>
      <c r="AD31" s="18">
        <f t="shared" si="19"/>
        <v>0.07665165807</v>
      </c>
      <c r="AE31" s="18">
        <f t="shared" si="19"/>
        <v>0.06532344636</v>
      </c>
      <c r="AF31" s="18">
        <f t="shared" si="19"/>
        <v>0.06462567747</v>
      </c>
      <c r="AG31" s="18">
        <f t="shared" si="19"/>
        <v>0.0320958784</v>
      </c>
      <c r="AH31" s="18">
        <f t="shared" si="19"/>
        <v>0.1147434526</v>
      </c>
      <c r="AI31" s="18">
        <f t="shared" si="19"/>
        <v>0.1092465207</v>
      </c>
      <c r="AJ31" s="18">
        <f t="shared" si="19"/>
        <v>0.0586831867</v>
      </c>
      <c r="AK31" s="18">
        <f t="shared" si="19"/>
        <v>0.06814206262</v>
      </c>
      <c r="AL31" s="18">
        <f t="shared" si="19"/>
        <v>0.1077490345</v>
      </c>
      <c r="AM31" s="18">
        <f t="shared" si="19"/>
        <v>0.0884178514</v>
      </c>
      <c r="AN31" s="18">
        <f t="shared" si="19"/>
        <v>0.1050480235</v>
      </c>
      <c r="AO31" s="18">
        <f t="shared" si="19"/>
        <v>0.1046631877</v>
      </c>
      <c r="AP31" s="18">
        <f t="shared" si="19"/>
        <v>0.1121372267</v>
      </c>
      <c r="AQ31" s="18">
        <f t="shared" si="19"/>
        <v>0.1092151692</v>
      </c>
      <c r="AR31" s="18">
        <f t="shared" si="19"/>
        <v>0.1123755056</v>
      </c>
      <c r="AS31" s="18">
        <f t="shared" si="19"/>
        <v>0.1114906697</v>
      </c>
      <c r="AT31" s="18">
        <f t="shared" si="19"/>
        <v>0.1189647088</v>
      </c>
      <c r="AU31" s="18">
        <f t="shared" si="19"/>
        <v>0.1155426513</v>
      </c>
      <c r="AV31" s="18">
        <f t="shared" si="19"/>
        <v>0.1173755056</v>
      </c>
      <c r="AW31" s="18">
        <f t="shared" si="19"/>
        <v>0.1164906697</v>
      </c>
      <c r="AX31" s="18">
        <f t="shared" si="19"/>
        <v>0.1239647088</v>
      </c>
      <c r="AY31" s="18">
        <f t="shared" si="19"/>
        <v>0.1205426513</v>
      </c>
      <c r="AZ31" s="18">
        <f t="shared" si="19"/>
        <v>0.1173755056</v>
      </c>
      <c r="BA31" s="18">
        <f t="shared" si="19"/>
        <v>0.1164906697</v>
      </c>
      <c r="BB31" s="18">
        <f t="shared" si="19"/>
        <v>0.1239647088</v>
      </c>
      <c r="BC31" s="18">
        <f t="shared" si="19"/>
        <v>0.1205426513</v>
      </c>
      <c r="BD31" s="18">
        <f t="shared" si="19"/>
        <v>0.1173755056</v>
      </c>
      <c r="BE31" s="18">
        <f t="shared" si="19"/>
        <v>0.1164906697</v>
      </c>
      <c r="BF31" s="18">
        <f t="shared" si="19"/>
        <v>0.1239647088</v>
      </c>
      <c r="BG31" s="18">
        <f t="shared" si="19"/>
        <v>0.1205426513</v>
      </c>
      <c r="BH31" s="18">
        <f t="shared" si="19"/>
        <v>0.1173755056</v>
      </c>
      <c r="BI31" s="18">
        <f t="shared" si="19"/>
        <v>0.1164906697</v>
      </c>
      <c r="BJ31" s="18">
        <f t="shared" si="19"/>
        <v>0.1239647088</v>
      </c>
      <c r="BK31" s="18">
        <f t="shared" si="19"/>
        <v>0.1205426513</v>
      </c>
      <c r="BL31" s="18">
        <f t="shared" si="19"/>
        <v>0.1173755056</v>
      </c>
      <c r="BM31" s="18">
        <f t="shared" si="19"/>
        <v>0.1164906697</v>
      </c>
      <c r="BN31" s="18">
        <f t="shared" si="19"/>
        <v>0.1239647088</v>
      </c>
      <c r="BO31" s="18">
        <f t="shared" si="19"/>
        <v>0.1205426513</v>
      </c>
      <c r="BP31" s="18">
        <f t="shared" si="19"/>
        <v>0.1173755056</v>
      </c>
      <c r="BQ31" s="18">
        <f t="shared" si="19"/>
        <v>0.1164906697</v>
      </c>
      <c r="BR31" s="18">
        <f t="shared" si="19"/>
        <v>0.1239647088</v>
      </c>
      <c r="BS31" s="18">
        <f t="shared" si="19"/>
        <v>0.1205426513</v>
      </c>
      <c r="BT31" s="18">
        <f t="shared" si="19"/>
        <v>0.1173755056</v>
      </c>
      <c r="BU31" s="18">
        <f t="shared" si="19"/>
        <v>0.1164906697</v>
      </c>
      <c r="BV31" s="18">
        <f t="shared" si="19"/>
        <v>0.1239647088</v>
      </c>
      <c r="BW31" s="18">
        <f t="shared" si="19"/>
        <v>0.1205426513</v>
      </c>
      <c r="BX31" s="6" t="s">
        <v>35</v>
      </c>
      <c r="BY31" s="18">
        <f t="shared" ref="BY31:CP31" si="20">BY29/BY$11</f>
        <v>-0.03182636933</v>
      </c>
      <c r="BZ31" s="18">
        <f t="shared" si="20"/>
        <v>0.04613170271</v>
      </c>
      <c r="CA31" s="18">
        <f t="shared" si="20"/>
        <v>0.0222597042</v>
      </c>
      <c r="CB31" s="18">
        <f t="shared" si="20"/>
        <v>-0.01912366388</v>
      </c>
      <c r="CC31" s="18">
        <f t="shared" si="20"/>
        <v>0.04731022923</v>
      </c>
      <c r="CD31" s="18">
        <f t="shared" si="20"/>
        <v>0.1284066016</v>
      </c>
      <c r="CE31" s="18">
        <f t="shared" si="20"/>
        <v>0.08352175533</v>
      </c>
      <c r="CF31" s="18">
        <f t="shared" si="20"/>
        <v>0.09033758488</v>
      </c>
      <c r="CG31" s="18">
        <f t="shared" si="20"/>
        <v>0.08090247461</v>
      </c>
      <c r="CH31" s="18">
        <f t="shared" si="20"/>
        <v>0.1078741215</v>
      </c>
      <c r="CI31" s="18">
        <f t="shared" si="20"/>
        <v>0.1146703414</v>
      </c>
      <c r="CJ31" s="18">
        <f t="shared" si="20"/>
        <v>0.1196703414</v>
      </c>
      <c r="CK31" s="18">
        <f t="shared" si="20"/>
        <v>0.1196703414</v>
      </c>
      <c r="CL31" s="18">
        <f t="shared" si="20"/>
        <v>0.1196703414</v>
      </c>
      <c r="CM31" s="18">
        <f t="shared" si="20"/>
        <v>0.1196703414</v>
      </c>
      <c r="CN31" s="18">
        <f t="shared" si="20"/>
        <v>0.1196703414</v>
      </c>
      <c r="CO31" s="18">
        <f t="shared" si="20"/>
        <v>0.1196703414</v>
      </c>
      <c r="CP31" s="18">
        <f t="shared" si="20"/>
        <v>0.1196703414</v>
      </c>
      <c r="CQ31" s="6" t="s">
        <v>35</v>
      </c>
    </row>
    <row r="32" ht="14.25" customHeight="1">
      <c r="A32" s="9"/>
      <c r="B32" s="10"/>
      <c r="C32" s="9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BX32" s="6" t="s">
        <v>35</v>
      </c>
      <c r="CQ32" s="6" t="s">
        <v>35</v>
      </c>
    </row>
    <row r="33" ht="14.25" customHeight="1">
      <c r="A33" s="9"/>
      <c r="B33" s="22" t="s">
        <v>51</v>
      </c>
      <c r="C33" s="15" t="s">
        <v>39</v>
      </c>
      <c r="D33" s="26">
        <f t="shared" ref="D33:BW33" si="21">+D35+D36</f>
        <v>-0.868</v>
      </c>
      <c r="E33" s="26">
        <f t="shared" si="21"/>
        <v>-1.397</v>
      </c>
      <c r="F33" s="26">
        <f t="shared" si="21"/>
        <v>-2.506</v>
      </c>
      <c r="G33" s="26">
        <f t="shared" si="21"/>
        <v>-1.364</v>
      </c>
      <c r="H33" s="26">
        <f t="shared" si="21"/>
        <v>-2.428</v>
      </c>
      <c r="I33" s="26">
        <f t="shared" si="21"/>
        <v>-2.741</v>
      </c>
      <c r="J33" s="26">
        <f t="shared" si="21"/>
        <v>-2.071</v>
      </c>
      <c r="K33" s="26">
        <f t="shared" si="21"/>
        <v>-1.891</v>
      </c>
      <c r="L33" s="26">
        <f t="shared" si="21"/>
        <v>-2.503</v>
      </c>
      <c r="M33" s="26">
        <f t="shared" si="21"/>
        <v>-3.963</v>
      </c>
      <c r="N33" s="26">
        <f t="shared" si="21"/>
        <v>-3.653</v>
      </c>
      <c r="O33" s="26">
        <f t="shared" si="21"/>
        <v>-3.466</v>
      </c>
      <c r="P33" s="26">
        <f t="shared" si="21"/>
        <v>-2.572</v>
      </c>
      <c r="Q33" s="26">
        <f t="shared" si="21"/>
        <v>-0.884</v>
      </c>
      <c r="R33" s="26">
        <f t="shared" si="21"/>
        <v>-1.24</v>
      </c>
      <c r="S33" s="26">
        <f t="shared" si="21"/>
        <v>-1.814</v>
      </c>
      <c r="T33" s="26">
        <f t="shared" si="21"/>
        <v>-0.861</v>
      </c>
      <c r="U33" s="26">
        <f t="shared" si="21"/>
        <v>-0.556</v>
      </c>
      <c r="V33" s="26">
        <f t="shared" si="21"/>
        <v>-1.358</v>
      </c>
      <c r="W33" s="26">
        <f t="shared" si="21"/>
        <v>-1.538</v>
      </c>
      <c r="X33" s="26">
        <f t="shared" si="21"/>
        <v>-1.423</v>
      </c>
      <c r="Y33" s="26">
        <f t="shared" si="21"/>
        <v>-3.802</v>
      </c>
      <c r="Z33" s="26">
        <f t="shared" si="21"/>
        <v>-6.468</v>
      </c>
      <c r="AA33" s="26">
        <f t="shared" si="21"/>
        <v>-8.585</v>
      </c>
      <c r="AB33" s="26">
        <f t="shared" si="21"/>
        <v>-7.507</v>
      </c>
      <c r="AC33" s="26">
        <f t="shared" si="21"/>
        <v>-9.261</v>
      </c>
      <c r="AD33" s="26">
        <f t="shared" si="21"/>
        <v>-12.423</v>
      </c>
      <c r="AE33" s="26">
        <f t="shared" si="21"/>
        <v>-15.797</v>
      </c>
      <c r="AF33" s="26">
        <f t="shared" si="21"/>
        <v>-11.289</v>
      </c>
      <c r="AG33" s="26">
        <f t="shared" si="21"/>
        <v>-10.315</v>
      </c>
      <c r="AH33" s="26">
        <f t="shared" si="21"/>
        <v>-15.655</v>
      </c>
      <c r="AI33" s="26">
        <f t="shared" si="21"/>
        <v>-14.821</v>
      </c>
      <c r="AJ33" s="26">
        <f t="shared" si="21"/>
        <v>-15.798</v>
      </c>
      <c r="AK33" s="26">
        <f t="shared" si="21"/>
        <v>-19.858566</v>
      </c>
      <c r="AL33" s="26">
        <f t="shared" si="21"/>
        <v>-14.3192785</v>
      </c>
      <c r="AM33" s="26">
        <f t="shared" si="21"/>
        <v>-11.19492275</v>
      </c>
      <c r="AN33" s="26">
        <f t="shared" si="21"/>
        <v>-10.34454543</v>
      </c>
      <c r="AO33" s="26">
        <f t="shared" si="21"/>
        <v>-13.73192927</v>
      </c>
      <c r="AP33" s="26">
        <f t="shared" si="21"/>
        <v>-16.4913824</v>
      </c>
      <c r="AQ33" s="26">
        <f t="shared" si="21"/>
        <v>-9.487170403</v>
      </c>
      <c r="AR33" s="26">
        <f t="shared" si="21"/>
        <v>-8.416237542</v>
      </c>
      <c r="AS33" s="26">
        <f t="shared" si="21"/>
        <v>-11.04733566</v>
      </c>
      <c r="AT33" s="26">
        <f t="shared" si="21"/>
        <v>-13.78850206</v>
      </c>
      <c r="AU33" s="26">
        <f t="shared" si="21"/>
        <v>-7.710864318</v>
      </c>
      <c r="AV33" s="26">
        <f t="shared" si="21"/>
        <v>-6.62095858</v>
      </c>
      <c r="AW33" s="26">
        <f t="shared" si="21"/>
        <v>-7.398660523</v>
      </c>
      <c r="AX33" s="26">
        <f t="shared" si="21"/>
        <v>-10.2044653</v>
      </c>
      <c r="AY33" s="26">
        <f t="shared" si="21"/>
        <v>-6.371260942</v>
      </c>
      <c r="AZ33" s="26">
        <f t="shared" si="21"/>
        <v>-5.161889365</v>
      </c>
      <c r="BA33" s="26">
        <f t="shared" si="21"/>
        <v>-5.243162819</v>
      </c>
      <c r="BB33" s="26">
        <f t="shared" si="21"/>
        <v>-8.299858605</v>
      </c>
      <c r="BC33" s="26">
        <f t="shared" si="21"/>
        <v>-4.976616674</v>
      </c>
      <c r="BD33" s="26">
        <f t="shared" si="21"/>
        <v>-3.636482555</v>
      </c>
      <c r="BE33" s="26">
        <f t="shared" si="21"/>
        <v>-3.716742892</v>
      </c>
      <c r="BF33" s="26">
        <f t="shared" si="21"/>
        <v>-7.046759773</v>
      </c>
      <c r="BG33" s="26">
        <f t="shared" si="21"/>
        <v>-3.404889507</v>
      </c>
      <c r="BH33" s="26">
        <f t="shared" si="21"/>
        <v>-1.929331538</v>
      </c>
      <c r="BI33" s="26">
        <f t="shared" si="21"/>
        <v>-2.00524964</v>
      </c>
      <c r="BJ33" s="26">
        <f t="shared" si="21"/>
        <v>-5.631435857</v>
      </c>
      <c r="BK33" s="26">
        <f t="shared" si="21"/>
        <v>-1.639330973</v>
      </c>
      <c r="BL33" s="26">
        <f t="shared" si="21"/>
        <v>-0.013485344</v>
      </c>
      <c r="BM33" s="26">
        <f t="shared" si="21"/>
        <v>-0.08215782756</v>
      </c>
      <c r="BN33" s="26">
        <f t="shared" si="21"/>
        <v>-4.029370134</v>
      </c>
      <c r="BO33" s="26">
        <f t="shared" si="21"/>
        <v>0.3479738218</v>
      </c>
      <c r="BP33" s="26">
        <f t="shared" si="21"/>
        <v>2.14042398</v>
      </c>
      <c r="BQ33" s="26">
        <f t="shared" si="21"/>
        <v>2.081961314</v>
      </c>
      <c r="BR33" s="26">
        <f t="shared" si="21"/>
        <v>-2.03259728</v>
      </c>
      <c r="BS33" s="26">
        <f t="shared" si="21"/>
        <v>2.942251601</v>
      </c>
      <c r="BT33" s="26">
        <f t="shared" si="21"/>
        <v>5.096781533</v>
      </c>
      <c r="BU33" s="26">
        <f t="shared" si="21"/>
        <v>5.249945778</v>
      </c>
      <c r="BV33" s="26">
        <f t="shared" si="21"/>
        <v>0.7560507039</v>
      </c>
      <c r="BW33" s="26">
        <f t="shared" si="21"/>
        <v>6.197486322</v>
      </c>
      <c r="BX33" s="6" t="s">
        <v>35</v>
      </c>
      <c r="BY33" s="24">
        <f>SUM(D33:G33)</f>
        <v>-6.135</v>
      </c>
      <c r="BZ33" s="24">
        <f>SUM(H33:K33)</f>
        <v>-9.131</v>
      </c>
      <c r="CA33" s="24">
        <f>SUM(L33:O33)</f>
        <v>-13.585</v>
      </c>
      <c r="CB33" s="24">
        <f>SUM(P33:S33)</f>
        <v>-6.51</v>
      </c>
      <c r="CC33" s="24">
        <f>SUM(T33:W33)</f>
        <v>-4.313</v>
      </c>
      <c r="CD33" s="24">
        <f>SUM(X33:AA33)</f>
        <v>-20.278</v>
      </c>
      <c r="CE33" s="24">
        <f>SUM(AB33:AE33)</f>
        <v>-44.988</v>
      </c>
      <c r="CF33" s="24">
        <f>SUM(AF33:AI33)</f>
        <v>-52.08</v>
      </c>
      <c r="CG33" s="24">
        <f>SUM(AJ33:AM33)</f>
        <v>-61.17076725</v>
      </c>
      <c r="CH33" s="24">
        <f>SUM(AN33:AQ33)</f>
        <v>-50.05502751</v>
      </c>
      <c r="CI33" s="24">
        <f>SUM(AR33:AU33)</f>
        <v>-40.96293957</v>
      </c>
      <c r="CJ33" s="24">
        <f>SUM(AV33:AY33)</f>
        <v>-30.59534534</v>
      </c>
      <c r="CK33" s="24">
        <f>SUM(AZ33:BC33)</f>
        <v>-23.68152746</v>
      </c>
      <c r="CL33" s="24">
        <f>SUM(BD33:BG33)</f>
        <v>-17.80487473</v>
      </c>
      <c r="CM33" s="24">
        <f>SUM(BH33:BK33)</f>
        <v>-11.20534801</v>
      </c>
      <c r="CN33" s="24">
        <f>SUM(BL33:BO33)</f>
        <v>-3.777039484</v>
      </c>
      <c r="CO33" s="24">
        <f>SUM(BP33:BS33)</f>
        <v>5.132039615</v>
      </c>
      <c r="CP33" s="24">
        <f>SUM(BT33:BW33)</f>
        <v>17.30026434</v>
      </c>
      <c r="CQ33" s="6" t="s">
        <v>35</v>
      </c>
    </row>
    <row r="34" ht="14.25" customHeight="1">
      <c r="A34" s="9"/>
      <c r="B34" s="10" t="s">
        <v>40</v>
      </c>
      <c r="C34" s="9" t="s">
        <v>42</v>
      </c>
      <c r="D34" s="18"/>
      <c r="E34" s="18"/>
      <c r="F34" s="18"/>
      <c r="G34" s="18"/>
      <c r="H34" s="18">
        <f t="shared" ref="H34:BW34" si="22">H33/D33-1</f>
        <v>1.797235023</v>
      </c>
      <c r="I34" s="18">
        <f t="shared" si="22"/>
        <v>0.9620615605</v>
      </c>
      <c r="J34" s="18">
        <f t="shared" si="22"/>
        <v>-0.1735833998</v>
      </c>
      <c r="K34" s="18">
        <f t="shared" si="22"/>
        <v>0.3863636364</v>
      </c>
      <c r="L34" s="18">
        <f t="shared" si="22"/>
        <v>0.03088962109</v>
      </c>
      <c r="M34" s="18">
        <f t="shared" si="22"/>
        <v>0.4458226924</v>
      </c>
      <c r="N34" s="18">
        <f t="shared" si="22"/>
        <v>0.7638821825</v>
      </c>
      <c r="O34" s="18">
        <f t="shared" si="22"/>
        <v>0.8328926494</v>
      </c>
      <c r="P34" s="18">
        <f t="shared" si="22"/>
        <v>0.0275669197</v>
      </c>
      <c r="Q34" s="18">
        <f t="shared" si="22"/>
        <v>-0.7769366641</v>
      </c>
      <c r="R34" s="18">
        <f t="shared" si="22"/>
        <v>-0.6605529702</v>
      </c>
      <c r="S34" s="18">
        <f t="shared" si="22"/>
        <v>-0.4766301212</v>
      </c>
      <c r="T34" s="18">
        <f t="shared" si="22"/>
        <v>-0.6652410575</v>
      </c>
      <c r="U34" s="18">
        <f t="shared" si="22"/>
        <v>-0.371040724</v>
      </c>
      <c r="V34" s="18">
        <f t="shared" si="22"/>
        <v>0.09516129032</v>
      </c>
      <c r="W34" s="18">
        <f t="shared" si="22"/>
        <v>-0.1521499449</v>
      </c>
      <c r="X34" s="18">
        <f t="shared" si="22"/>
        <v>0.6527293844</v>
      </c>
      <c r="Y34" s="18">
        <f t="shared" si="22"/>
        <v>5.838129496</v>
      </c>
      <c r="Z34" s="18">
        <f t="shared" si="22"/>
        <v>3.762886598</v>
      </c>
      <c r="AA34" s="18">
        <f t="shared" si="22"/>
        <v>4.581924577</v>
      </c>
      <c r="AB34" s="18">
        <f t="shared" si="22"/>
        <v>4.27547435</v>
      </c>
      <c r="AC34" s="18">
        <f t="shared" si="22"/>
        <v>1.435823251</v>
      </c>
      <c r="AD34" s="18">
        <f t="shared" si="22"/>
        <v>0.9206864564</v>
      </c>
      <c r="AE34" s="18">
        <f t="shared" si="22"/>
        <v>0.8400698893</v>
      </c>
      <c r="AF34" s="18">
        <f t="shared" si="22"/>
        <v>0.5037964566</v>
      </c>
      <c r="AG34" s="18">
        <f t="shared" si="22"/>
        <v>0.1138106036</v>
      </c>
      <c r="AH34" s="18">
        <f t="shared" si="22"/>
        <v>0.2601626016</v>
      </c>
      <c r="AI34" s="18">
        <f t="shared" si="22"/>
        <v>-0.06178388302</v>
      </c>
      <c r="AJ34" s="18">
        <f t="shared" si="22"/>
        <v>0.3994153601</v>
      </c>
      <c r="AK34" s="18">
        <f t="shared" si="22"/>
        <v>0.9252124091</v>
      </c>
      <c r="AL34" s="18">
        <f t="shared" si="22"/>
        <v>-0.08532235707</v>
      </c>
      <c r="AM34" s="18">
        <f t="shared" si="22"/>
        <v>-0.2446580699</v>
      </c>
      <c r="AN34" s="18">
        <f t="shared" si="22"/>
        <v>-0.3451990485</v>
      </c>
      <c r="AO34" s="18">
        <f t="shared" si="22"/>
        <v>-0.3085135517</v>
      </c>
      <c r="AP34" s="18">
        <f t="shared" si="22"/>
        <v>0.1516908764</v>
      </c>
      <c r="AQ34" s="18">
        <f t="shared" si="22"/>
        <v>-0.1525470413</v>
      </c>
      <c r="AR34" s="18">
        <f t="shared" si="22"/>
        <v>-0.1864081803</v>
      </c>
      <c r="AS34" s="18">
        <f t="shared" si="22"/>
        <v>-0.195500105</v>
      </c>
      <c r="AT34" s="18">
        <f t="shared" si="22"/>
        <v>-0.1638965298</v>
      </c>
      <c r="AU34" s="18">
        <f t="shared" si="22"/>
        <v>-0.1872324423</v>
      </c>
      <c r="AV34" s="18">
        <f t="shared" si="22"/>
        <v>-0.2133113464</v>
      </c>
      <c r="AW34" s="18">
        <f t="shared" si="22"/>
        <v>-0.33027648</v>
      </c>
      <c r="AX34" s="18">
        <f t="shared" si="22"/>
        <v>-0.2599293777</v>
      </c>
      <c r="AY34" s="18">
        <f t="shared" si="22"/>
        <v>-0.173729341</v>
      </c>
      <c r="AZ34" s="18">
        <f t="shared" si="22"/>
        <v>-0.2203712947</v>
      </c>
      <c r="BA34" s="18">
        <f t="shared" si="22"/>
        <v>-0.2913362084</v>
      </c>
      <c r="BB34" s="18">
        <f t="shared" si="22"/>
        <v>-0.1866444383</v>
      </c>
      <c r="BC34" s="18">
        <f t="shared" si="22"/>
        <v>-0.2188961149</v>
      </c>
      <c r="BD34" s="18">
        <f t="shared" si="22"/>
        <v>-0.2955132709</v>
      </c>
      <c r="BE34" s="18">
        <f t="shared" si="22"/>
        <v>-0.2911257917</v>
      </c>
      <c r="BF34" s="18">
        <f t="shared" si="22"/>
        <v>-0.1509783348</v>
      </c>
      <c r="BG34" s="18">
        <f t="shared" si="22"/>
        <v>-0.3158224292</v>
      </c>
      <c r="BH34" s="18">
        <f t="shared" si="22"/>
        <v>-0.4694511773</v>
      </c>
      <c r="BI34" s="18">
        <f t="shared" si="22"/>
        <v>-0.4604820139</v>
      </c>
      <c r="BJ34" s="18">
        <f t="shared" si="22"/>
        <v>-0.2008474762</v>
      </c>
      <c r="BK34" s="18">
        <f t="shared" si="22"/>
        <v>-0.5185362198</v>
      </c>
      <c r="BL34" s="18">
        <f t="shared" si="22"/>
        <v>-0.9930103542</v>
      </c>
      <c r="BM34" s="18">
        <f t="shared" si="22"/>
        <v>-0.9590286287</v>
      </c>
      <c r="BN34" s="18">
        <f t="shared" si="22"/>
        <v>-0.2844861886</v>
      </c>
      <c r="BO34" s="18">
        <f t="shared" si="22"/>
        <v>-1.212265752</v>
      </c>
      <c r="BP34" s="18">
        <f t="shared" si="22"/>
        <v>-159.722238</v>
      </c>
      <c r="BQ34" s="18">
        <f t="shared" si="22"/>
        <v>-26.34099764</v>
      </c>
      <c r="BR34" s="18">
        <f t="shared" si="22"/>
        <v>-0.4955545874</v>
      </c>
      <c r="BS34" s="18">
        <f t="shared" si="22"/>
        <v>7.455382033</v>
      </c>
      <c r="BT34" s="18">
        <f t="shared" si="22"/>
        <v>1.381201846</v>
      </c>
      <c r="BU34" s="18">
        <f t="shared" si="22"/>
        <v>1.521634644</v>
      </c>
      <c r="BV34" s="18">
        <f t="shared" si="22"/>
        <v>-1.371962863</v>
      </c>
      <c r="BW34" s="18">
        <f t="shared" si="22"/>
        <v>1.106375376</v>
      </c>
      <c r="BX34" s="6" t="s">
        <v>35</v>
      </c>
      <c r="BY34" s="25"/>
      <c r="BZ34" s="18">
        <f t="shared" ref="BZ34:CP34" si="23">BZ33/BY33-1</f>
        <v>0.4883455583</v>
      </c>
      <c r="CA34" s="18">
        <f t="shared" si="23"/>
        <v>0.4877888512</v>
      </c>
      <c r="CB34" s="18">
        <f t="shared" si="23"/>
        <v>-0.5207949945</v>
      </c>
      <c r="CC34" s="18">
        <f t="shared" si="23"/>
        <v>-0.3374807988</v>
      </c>
      <c r="CD34" s="18">
        <f t="shared" si="23"/>
        <v>3.701599815</v>
      </c>
      <c r="CE34" s="18">
        <f t="shared" si="23"/>
        <v>1.218561988</v>
      </c>
      <c r="CF34" s="18">
        <f t="shared" si="23"/>
        <v>0.1576420379</v>
      </c>
      <c r="CG34" s="18">
        <f t="shared" si="23"/>
        <v>0.1745539026</v>
      </c>
      <c r="CH34" s="18">
        <f t="shared" si="23"/>
        <v>-0.1817165329</v>
      </c>
      <c r="CI34" s="18">
        <f t="shared" si="23"/>
        <v>-0.1816418528</v>
      </c>
      <c r="CJ34" s="18">
        <f t="shared" si="23"/>
        <v>-0.2530969295</v>
      </c>
      <c r="CK34" s="18">
        <f t="shared" si="23"/>
        <v>-0.2259761347</v>
      </c>
      <c r="CL34" s="18">
        <f t="shared" si="23"/>
        <v>-0.2481534498</v>
      </c>
      <c r="CM34" s="18">
        <f t="shared" si="23"/>
        <v>-0.3706584191</v>
      </c>
      <c r="CN34" s="18">
        <f t="shared" si="23"/>
        <v>-0.6629252853</v>
      </c>
      <c r="CO34" s="18">
        <f t="shared" si="23"/>
        <v>-2.358746616</v>
      </c>
      <c r="CP34" s="18">
        <f t="shared" si="23"/>
        <v>2.371030942</v>
      </c>
      <c r="CQ34" s="6" t="s">
        <v>35</v>
      </c>
    </row>
    <row r="35" ht="14.25" customHeight="1">
      <c r="A35" s="9"/>
      <c r="B35" s="10" t="s">
        <v>52</v>
      </c>
      <c r="C35" s="9" t="s">
        <v>39</v>
      </c>
      <c r="D35" s="28">
        <f>Inputs!F154/1000</f>
        <v>0.544</v>
      </c>
      <c r="E35" s="28">
        <f>Inputs!G154/1000</f>
        <v>0.555</v>
      </c>
      <c r="F35" s="28">
        <f>Inputs!H154/1000</f>
        <v>0.776</v>
      </c>
      <c r="G35" s="28">
        <f>Inputs!I154/1000</f>
        <v>0.508</v>
      </c>
      <c r="H35" s="28">
        <f>Inputs!J154/1000</f>
        <v>0.895</v>
      </c>
      <c r="I35" s="28">
        <f>Inputs!K154/1000</f>
        <v>1.644</v>
      </c>
      <c r="J35" s="28">
        <f>Inputs!L154/1000</f>
        <v>2.601</v>
      </c>
      <c r="K35" s="28">
        <f>Inputs!M154/1000</f>
        <v>1.191</v>
      </c>
      <c r="L35" s="28">
        <f>Inputs!N154/1000</f>
        <v>1.566</v>
      </c>
      <c r="M35" s="28">
        <f>Inputs!O154/1000</f>
        <v>0.693</v>
      </c>
      <c r="N35" s="28">
        <f>Inputs!P154/1000</f>
        <v>1.089</v>
      </c>
      <c r="O35" s="28">
        <f>Inputs!Q154/1000</f>
        <v>1.117</v>
      </c>
      <c r="P35" s="28">
        <f>Inputs!R154/1000</f>
        <v>1.939</v>
      </c>
      <c r="Q35" s="28">
        <f>Inputs!S154/1000</f>
        <v>2.932</v>
      </c>
      <c r="R35" s="28">
        <f>Inputs!T154/1000</f>
        <v>-0.12</v>
      </c>
      <c r="S35" s="28">
        <f>Inputs!U154/1000</f>
        <v>0.149</v>
      </c>
      <c r="T35" s="28">
        <f>Inputs!V154/1000</f>
        <v>0.997</v>
      </c>
      <c r="U35" s="28">
        <f>Inputs!W154/1000</f>
        <v>1.126</v>
      </c>
      <c r="V35" s="28">
        <f>Inputs!X154/1000</f>
        <v>0.853</v>
      </c>
      <c r="W35" s="28">
        <f>Inputs!Y154/1000</f>
        <v>1.235</v>
      </c>
      <c r="X35" s="28">
        <f>Inputs!Z154/1000</f>
        <v>2.039</v>
      </c>
      <c r="Y35" s="28">
        <f>Inputs!AA154/1000</f>
        <v>1.808</v>
      </c>
      <c r="Z35" s="28">
        <f>Inputs!AB154/1000</f>
        <v>2.867</v>
      </c>
      <c r="AA35" s="28">
        <f>Inputs!AC154/1000</f>
        <v>3.051</v>
      </c>
      <c r="AB35" s="28">
        <f>Inputs!AD154/1000</f>
        <v>4.301</v>
      </c>
      <c r="AC35" s="28">
        <f>Inputs!AE154/1000</f>
        <v>3.404</v>
      </c>
      <c r="AD35" s="28">
        <f>Inputs!AF154/1000</f>
        <v>2.376</v>
      </c>
      <c r="AE35" s="28">
        <f>Inputs!AG154/1000</f>
        <v>3.962</v>
      </c>
      <c r="AF35" s="28">
        <f>Inputs!AH154/1000</f>
        <v>4.503</v>
      </c>
      <c r="AG35" s="28">
        <f>Inputs!AI154/1000</f>
        <v>4.554</v>
      </c>
      <c r="AH35" s="28">
        <f>Inputs!AJ154/1000</f>
        <v>6.423</v>
      </c>
      <c r="AI35" s="28">
        <f>Inputs!AK154/1000</f>
        <v>7.896</v>
      </c>
      <c r="AJ35" s="28">
        <f>Inputs!AL154/1000</f>
        <v>7.978</v>
      </c>
      <c r="AK35" s="28">
        <f t="shared" ref="AK35:BW35" si="24">AK243</f>
        <v>7.978</v>
      </c>
      <c r="AL35" s="28">
        <f t="shared" si="24"/>
        <v>13.5172875</v>
      </c>
      <c r="AM35" s="28">
        <f t="shared" si="24"/>
        <v>16.64164325</v>
      </c>
      <c r="AN35" s="28">
        <f t="shared" si="24"/>
        <v>17.49202057</v>
      </c>
      <c r="AO35" s="28">
        <f t="shared" si="24"/>
        <v>14.10463673</v>
      </c>
      <c r="AP35" s="28">
        <f t="shared" si="24"/>
        <v>11.3451836</v>
      </c>
      <c r="AQ35" s="28">
        <f t="shared" si="24"/>
        <v>14.3033831</v>
      </c>
      <c r="AR35" s="28">
        <f t="shared" si="24"/>
        <v>15.37431596</v>
      </c>
      <c r="AS35" s="28">
        <f t="shared" si="24"/>
        <v>12.74321784</v>
      </c>
      <c r="AT35" s="28">
        <f t="shared" si="24"/>
        <v>10.00205144</v>
      </c>
      <c r="AU35" s="28">
        <f t="shared" si="24"/>
        <v>12.84287918</v>
      </c>
      <c r="AV35" s="28">
        <f t="shared" si="24"/>
        <v>13.93278492</v>
      </c>
      <c r="AW35" s="28">
        <f t="shared" si="24"/>
        <v>13.15508298</v>
      </c>
      <c r="AX35" s="28">
        <f t="shared" si="24"/>
        <v>10.3492782</v>
      </c>
      <c r="AY35" s="28">
        <f t="shared" si="24"/>
        <v>13.37328006</v>
      </c>
      <c r="AZ35" s="28">
        <f t="shared" si="24"/>
        <v>14.58265163</v>
      </c>
      <c r="BA35" s="28">
        <f t="shared" si="24"/>
        <v>14.50137818</v>
      </c>
      <c r="BB35" s="28">
        <f t="shared" si="24"/>
        <v>11.4446824</v>
      </c>
      <c r="BC35" s="28">
        <f t="shared" si="24"/>
        <v>14.76792433</v>
      </c>
      <c r="BD35" s="28">
        <f t="shared" si="24"/>
        <v>16.10805845</v>
      </c>
      <c r="BE35" s="28">
        <f t="shared" si="24"/>
        <v>16.02779811</v>
      </c>
      <c r="BF35" s="28">
        <f t="shared" si="24"/>
        <v>12.69778123</v>
      </c>
      <c r="BG35" s="28">
        <f t="shared" si="24"/>
        <v>16.33965149</v>
      </c>
      <c r="BH35" s="28">
        <f t="shared" si="24"/>
        <v>17.81520946</v>
      </c>
      <c r="BI35" s="28">
        <f t="shared" si="24"/>
        <v>17.73929136</v>
      </c>
      <c r="BJ35" s="28">
        <f t="shared" si="24"/>
        <v>14.11310514</v>
      </c>
      <c r="BK35" s="28">
        <f t="shared" si="24"/>
        <v>18.10521003</v>
      </c>
      <c r="BL35" s="28">
        <f t="shared" si="24"/>
        <v>19.73105566</v>
      </c>
      <c r="BM35" s="28">
        <f t="shared" si="24"/>
        <v>19.66238317</v>
      </c>
      <c r="BN35" s="28">
        <f t="shared" si="24"/>
        <v>15.71517087</v>
      </c>
      <c r="BO35" s="28">
        <f t="shared" si="24"/>
        <v>20.09251482</v>
      </c>
      <c r="BP35" s="28">
        <f t="shared" si="24"/>
        <v>21.88496498</v>
      </c>
      <c r="BQ35" s="28">
        <f t="shared" si="24"/>
        <v>21.82650231</v>
      </c>
      <c r="BR35" s="28">
        <f t="shared" si="24"/>
        <v>17.71194372</v>
      </c>
      <c r="BS35" s="28">
        <f t="shared" si="24"/>
        <v>22.6867926</v>
      </c>
      <c r="BT35" s="28">
        <f t="shared" si="24"/>
        <v>24.84132253</v>
      </c>
      <c r="BU35" s="28">
        <f t="shared" si="24"/>
        <v>24.99448678</v>
      </c>
      <c r="BV35" s="28">
        <f t="shared" si="24"/>
        <v>20.5005917</v>
      </c>
      <c r="BW35" s="28">
        <f t="shared" si="24"/>
        <v>25.94202732</v>
      </c>
      <c r="BX35" s="6" t="s">
        <v>35</v>
      </c>
      <c r="BY35" s="29">
        <f t="shared" ref="BY35:BY36" si="26">SUM(D35:G35)</f>
        <v>2.383</v>
      </c>
      <c r="BZ35" s="29">
        <f t="shared" ref="BZ35:BZ36" si="27">SUM(H35:K35)</f>
        <v>6.331</v>
      </c>
      <c r="CA35" s="29">
        <f t="shared" ref="CA35:CA36" si="28">SUM(L35:O35)</f>
        <v>4.465</v>
      </c>
      <c r="CB35" s="29">
        <f t="shared" ref="CB35:CB36" si="29">SUM(P35:S35)</f>
        <v>4.9</v>
      </c>
      <c r="CC35" s="29">
        <f t="shared" ref="CC35:CC36" si="30">SUM(T35:W35)</f>
        <v>4.211</v>
      </c>
      <c r="CD35" s="29">
        <f t="shared" ref="CD35:CD36" si="31">SUM(X35:AA35)</f>
        <v>9.765</v>
      </c>
      <c r="CE35" s="29">
        <f t="shared" ref="CE35:CE36" si="32">SUM(AB35:AE35)</f>
        <v>14.043</v>
      </c>
      <c r="CF35" s="29">
        <f t="shared" ref="CF35:CF36" si="33">SUM(AF35:AI35)</f>
        <v>23.376</v>
      </c>
      <c r="CG35" s="29">
        <f t="shared" ref="CG35:CG36" si="34">SUM(AJ35:AM35)</f>
        <v>46.11493075</v>
      </c>
      <c r="CH35" s="29">
        <f t="shared" ref="CH35:CH36" si="35">SUM(AN35:AQ35)</f>
        <v>57.24522399</v>
      </c>
      <c r="CI35" s="29">
        <f t="shared" ref="CI35:CI36" si="36">SUM(AR35:AU35)</f>
        <v>50.96246443</v>
      </c>
      <c r="CJ35" s="29">
        <f t="shared" ref="CJ35:CJ36" si="37">SUM(AV35:AY35)</f>
        <v>50.81042616</v>
      </c>
      <c r="CK35" s="29">
        <f t="shared" ref="CK35:CK36" si="38">SUM(AZ35:BC35)</f>
        <v>55.29663654</v>
      </c>
      <c r="CL35" s="29">
        <f t="shared" ref="CL35:CL36" si="39">SUM(BD35:BG35)</f>
        <v>61.17328927</v>
      </c>
      <c r="CM35" s="29">
        <f t="shared" ref="CM35:CM36" si="40">SUM(BH35:BK35)</f>
        <v>67.77281599</v>
      </c>
      <c r="CN35" s="29">
        <f t="shared" ref="CN35:CN36" si="41">SUM(BL35:BO35)</f>
        <v>75.20112452</v>
      </c>
      <c r="CO35" s="29">
        <f t="shared" ref="CO35:CO36" si="42">SUM(BP35:BS35)</f>
        <v>84.11020362</v>
      </c>
      <c r="CP35" s="29">
        <f t="shared" ref="CP35:CP36" si="43">SUM(BT35:BW35)</f>
        <v>96.27842834</v>
      </c>
      <c r="CQ35" s="6" t="s">
        <v>35</v>
      </c>
    </row>
    <row r="36" ht="14.25" customHeight="1">
      <c r="A36" s="9"/>
      <c r="B36" s="10" t="s">
        <v>53</v>
      </c>
      <c r="C36" s="9" t="s">
        <v>39</v>
      </c>
      <c r="D36" s="28">
        <f>Inputs!F155/1000</f>
        <v>-1.412</v>
      </c>
      <c r="E36" s="28">
        <f>Inputs!G155/1000</f>
        <v>-1.952</v>
      </c>
      <c r="F36" s="28">
        <f>Inputs!H155/1000</f>
        <v>-3.282</v>
      </c>
      <c r="G36" s="28">
        <f>Inputs!I155/1000</f>
        <v>-1.872</v>
      </c>
      <c r="H36" s="28">
        <f>Inputs!J155/1000</f>
        <v>-3.323</v>
      </c>
      <c r="I36" s="28">
        <f>Inputs!K155/1000</f>
        <v>-4.385</v>
      </c>
      <c r="J36" s="28">
        <f>Inputs!L155/1000</f>
        <v>-4.672</v>
      </c>
      <c r="K36" s="28">
        <f>Inputs!M155/1000</f>
        <v>-3.082</v>
      </c>
      <c r="L36" s="28">
        <f>Inputs!N155/1000</f>
        <v>-4.069</v>
      </c>
      <c r="M36" s="28">
        <f>Inputs!O155/1000</f>
        <v>-4.656</v>
      </c>
      <c r="N36" s="28">
        <f>Inputs!P155/1000</f>
        <v>-4.742</v>
      </c>
      <c r="O36" s="28">
        <f>Inputs!Q155/1000</f>
        <v>-4.583</v>
      </c>
      <c r="P36" s="28">
        <f>Inputs!R155/1000</f>
        <v>-4.511</v>
      </c>
      <c r="Q36" s="28">
        <f>Inputs!S155/1000</f>
        <v>-3.816</v>
      </c>
      <c r="R36" s="28">
        <f>Inputs!T155/1000</f>
        <v>-1.12</v>
      </c>
      <c r="S36" s="28">
        <f>Inputs!U155/1000</f>
        <v>-1.963</v>
      </c>
      <c r="T36" s="28">
        <f>Inputs!V155/1000</f>
        <v>-1.858</v>
      </c>
      <c r="U36" s="28">
        <f>Inputs!W155/1000</f>
        <v>-1.682</v>
      </c>
      <c r="V36" s="28">
        <f>Inputs!X155/1000</f>
        <v>-2.211</v>
      </c>
      <c r="W36" s="28">
        <f>Inputs!Y155/1000</f>
        <v>-2.773</v>
      </c>
      <c r="X36" s="28">
        <f>Inputs!Z155/1000</f>
        <v>-3.462</v>
      </c>
      <c r="Y36" s="28">
        <f>Inputs!AA155/1000</f>
        <v>-5.61</v>
      </c>
      <c r="Z36" s="28">
        <f>Inputs!AB155/1000</f>
        <v>-9.335</v>
      </c>
      <c r="AA36" s="28">
        <f>Inputs!AC155/1000</f>
        <v>-11.636</v>
      </c>
      <c r="AB36" s="28">
        <f>Inputs!AD155/1000</f>
        <v>-11.808</v>
      </c>
      <c r="AC36" s="28">
        <f>Inputs!AE155/1000</f>
        <v>-12.665</v>
      </c>
      <c r="AD36" s="28">
        <f>Inputs!AF155/1000</f>
        <v>-14.799</v>
      </c>
      <c r="AE36" s="28">
        <f>Inputs!AG155/1000</f>
        <v>-19.759</v>
      </c>
      <c r="AF36" s="28">
        <f>Inputs!AH155/1000</f>
        <v>-15.792</v>
      </c>
      <c r="AG36" s="28">
        <f>Inputs!AI155/1000</f>
        <v>-14.869</v>
      </c>
      <c r="AH36" s="28">
        <f>Inputs!AJ155/1000</f>
        <v>-22.078</v>
      </c>
      <c r="AI36" s="28">
        <f>Inputs!AK155/1000</f>
        <v>-22.717</v>
      </c>
      <c r="AJ36" s="28">
        <f>Inputs!AL155/1000</f>
        <v>-23.776</v>
      </c>
      <c r="AK36" s="28">
        <f t="shared" ref="AK36:BW36" si="25">AK240</f>
        <v>-27.836566</v>
      </c>
      <c r="AL36" s="28">
        <f t="shared" si="25"/>
        <v>-27.836566</v>
      </c>
      <c r="AM36" s="28">
        <f t="shared" si="25"/>
        <v>-27.836566</v>
      </c>
      <c r="AN36" s="28">
        <f t="shared" si="25"/>
        <v>-27.836566</v>
      </c>
      <c r="AO36" s="28">
        <f t="shared" si="25"/>
        <v>-27.836566</v>
      </c>
      <c r="AP36" s="28">
        <f t="shared" si="25"/>
        <v>-27.836566</v>
      </c>
      <c r="AQ36" s="28">
        <f t="shared" si="25"/>
        <v>-23.7905535</v>
      </c>
      <c r="AR36" s="28">
        <f t="shared" si="25"/>
        <v>-23.7905535</v>
      </c>
      <c r="AS36" s="28">
        <f t="shared" si="25"/>
        <v>-23.7905535</v>
      </c>
      <c r="AT36" s="28">
        <f t="shared" si="25"/>
        <v>-23.7905535</v>
      </c>
      <c r="AU36" s="28">
        <f t="shared" si="25"/>
        <v>-20.5537435</v>
      </c>
      <c r="AV36" s="28">
        <f t="shared" si="25"/>
        <v>-20.5537435</v>
      </c>
      <c r="AW36" s="28">
        <f t="shared" si="25"/>
        <v>-20.5537435</v>
      </c>
      <c r="AX36" s="28">
        <f t="shared" si="25"/>
        <v>-20.5537435</v>
      </c>
      <c r="AY36" s="28">
        <f t="shared" si="25"/>
        <v>-19.744541</v>
      </c>
      <c r="AZ36" s="28">
        <f t="shared" si="25"/>
        <v>-19.744541</v>
      </c>
      <c r="BA36" s="28">
        <f t="shared" si="25"/>
        <v>-19.744541</v>
      </c>
      <c r="BB36" s="28">
        <f t="shared" si="25"/>
        <v>-19.744541</v>
      </c>
      <c r="BC36" s="28">
        <f t="shared" si="25"/>
        <v>-19.744541</v>
      </c>
      <c r="BD36" s="28">
        <f t="shared" si="25"/>
        <v>-19.744541</v>
      </c>
      <c r="BE36" s="28">
        <f t="shared" si="25"/>
        <v>-19.744541</v>
      </c>
      <c r="BF36" s="28">
        <f t="shared" si="25"/>
        <v>-19.744541</v>
      </c>
      <c r="BG36" s="28">
        <f t="shared" si="25"/>
        <v>-19.744541</v>
      </c>
      <c r="BH36" s="28">
        <f t="shared" si="25"/>
        <v>-19.744541</v>
      </c>
      <c r="BI36" s="28">
        <f t="shared" si="25"/>
        <v>-19.744541</v>
      </c>
      <c r="BJ36" s="28">
        <f t="shared" si="25"/>
        <v>-19.744541</v>
      </c>
      <c r="BK36" s="28">
        <f t="shared" si="25"/>
        <v>-19.744541</v>
      </c>
      <c r="BL36" s="28">
        <f t="shared" si="25"/>
        <v>-19.744541</v>
      </c>
      <c r="BM36" s="28">
        <f t="shared" si="25"/>
        <v>-19.744541</v>
      </c>
      <c r="BN36" s="28">
        <f t="shared" si="25"/>
        <v>-19.744541</v>
      </c>
      <c r="BO36" s="28">
        <f t="shared" si="25"/>
        <v>-19.744541</v>
      </c>
      <c r="BP36" s="28">
        <f t="shared" si="25"/>
        <v>-19.744541</v>
      </c>
      <c r="BQ36" s="28">
        <f t="shared" si="25"/>
        <v>-19.744541</v>
      </c>
      <c r="BR36" s="28">
        <f t="shared" si="25"/>
        <v>-19.744541</v>
      </c>
      <c r="BS36" s="28">
        <f t="shared" si="25"/>
        <v>-19.744541</v>
      </c>
      <c r="BT36" s="28">
        <f t="shared" si="25"/>
        <v>-19.744541</v>
      </c>
      <c r="BU36" s="28">
        <f t="shared" si="25"/>
        <v>-19.744541</v>
      </c>
      <c r="BV36" s="28">
        <f t="shared" si="25"/>
        <v>-19.744541</v>
      </c>
      <c r="BW36" s="28">
        <f t="shared" si="25"/>
        <v>-19.744541</v>
      </c>
      <c r="BX36" s="6" t="s">
        <v>35</v>
      </c>
      <c r="BY36" s="29">
        <f t="shared" si="26"/>
        <v>-8.518</v>
      </c>
      <c r="BZ36" s="29">
        <f t="shared" si="27"/>
        <v>-15.462</v>
      </c>
      <c r="CA36" s="29">
        <f t="shared" si="28"/>
        <v>-18.05</v>
      </c>
      <c r="CB36" s="29">
        <f t="shared" si="29"/>
        <v>-11.41</v>
      </c>
      <c r="CC36" s="29">
        <f t="shared" si="30"/>
        <v>-8.524</v>
      </c>
      <c r="CD36" s="29">
        <f t="shared" si="31"/>
        <v>-30.043</v>
      </c>
      <c r="CE36" s="29">
        <f t="shared" si="32"/>
        <v>-59.031</v>
      </c>
      <c r="CF36" s="29">
        <f t="shared" si="33"/>
        <v>-75.456</v>
      </c>
      <c r="CG36" s="29">
        <f t="shared" si="34"/>
        <v>-107.285698</v>
      </c>
      <c r="CH36" s="29">
        <f t="shared" si="35"/>
        <v>-107.3002515</v>
      </c>
      <c r="CI36" s="29">
        <f t="shared" si="36"/>
        <v>-91.925404</v>
      </c>
      <c r="CJ36" s="29">
        <f t="shared" si="37"/>
        <v>-81.4057715</v>
      </c>
      <c r="CK36" s="29">
        <f t="shared" si="38"/>
        <v>-78.978164</v>
      </c>
      <c r="CL36" s="29">
        <f t="shared" si="39"/>
        <v>-78.978164</v>
      </c>
      <c r="CM36" s="29">
        <f t="shared" si="40"/>
        <v>-78.978164</v>
      </c>
      <c r="CN36" s="29">
        <f t="shared" si="41"/>
        <v>-78.978164</v>
      </c>
      <c r="CO36" s="29">
        <f t="shared" si="42"/>
        <v>-78.978164</v>
      </c>
      <c r="CP36" s="29">
        <f t="shared" si="43"/>
        <v>-78.978164</v>
      </c>
      <c r="CQ36" s="6" t="s">
        <v>35</v>
      </c>
    </row>
    <row r="37" ht="14.25" customHeight="1">
      <c r="A37" s="9"/>
      <c r="B37" s="10"/>
      <c r="C37" s="9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BX37" s="6" t="s">
        <v>35</v>
      </c>
      <c r="CQ37" s="6" t="s">
        <v>35</v>
      </c>
      <c r="CV37" s="30">
        <v>264.0</v>
      </c>
      <c r="CW37" s="30">
        <v>400.0</v>
      </c>
      <c r="CX37" s="30">
        <f>(CW37/CV37)^(1/2)-1</f>
        <v>0.2309149098</v>
      </c>
    </row>
    <row r="38" ht="14.25" customHeight="1">
      <c r="A38" s="9"/>
      <c r="B38" s="14" t="s">
        <v>54</v>
      </c>
      <c r="C38" s="15" t="s">
        <v>39</v>
      </c>
      <c r="D38" s="27">
        <f>Inputs!F157/1000</f>
        <v>3.098</v>
      </c>
      <c r="E38" s="27">
        <f>Inputs!G157/1000</f>
        <v>-2.305</v>
      </c>
      <c r="F38" s="27">
        <f>Inputs!H157/1000</f>
        <v>-6.487</v>
      </c>
      <c r="G38" s="27">
        <f>Inputs!I157/1000</f>
        <v>-7.968</v>
      </c>
      <c r="H38" s="27">
        <f>Inputs!J157/1000</f>
        <v>0.405</v>
      </c>
      <c r="I38" s="27">
        <f>Inputs!K157/1000</f>
        <v>0.581</v>
      </c>
      <c r="J38" s="27">
        <f>Inputs!L157/1000</f>
        <v>1.137</v>
      </c>
      <c r="K38" s="27">
        <f>Inputs!M157/1000</f>
        <v>3.842</v>
      </c>
      <c r="L38" s="27">
        <f>Inputs!N157/1000</f>
        <v>-1.576</v>
      </c>
      <c r="M38" s="27">
        <f>Inputs!O157/1000</f>
        <v>-1.888</v>
      </c>
      <c r="N38" s="27">
        <f>Inputs!P157/1000</f>
        <v>-4.391</v>
      </c>
      <c r="O38" s="27">
        <f>Inputs!Q157/1000</f>
        <v>2.03</v>
      </c>
      <c r="P38" s="27">
        <f>Inputs!R157/1000</f>
        <v>8.204</v>
      </c>
      <c r="Q38" s="27">
        <f>Inputs!S157/1000</f>
        <v>-15.931</v>
      </c>
      <c r="R38" s="27">
        <f>Inputs!T157/1000</f>
        <v>-4.254</v>
      </c>
      <c r="S38" s="27">
        <f>Inputs!U157/1000</f>
        <v>0.839</v>
      </c>
      <c r="T38" s="27">
        <f>Inputs!V157/1000</f>
        <v>-0.457</v>
      </c>
      <c r="U38" s="27">
        <f>Inputs!W157/1000</f>
        <v>8.239</v>
      </c>
      <c r="V38" s="27">
        <f>Inputs!X157/1000</f>
        <v>5.757</v>
      </c>
      <c r="W38" s="27">
        <f>Inputs!Y157/1000</f>
        <v>2.64</v>
      </c>
      <c r="X38" s="27">
        <f>Inputs!Z157/1000</f>
        <v>9.129</v>
      </c>
      <c r="Y38" s="27">
        <f>Inputs!AA157/1000</f>
        <v>15.631</v>
      </c>
      <c r="Z38" s="27">
        <f>Inputs!AB157/1000</f>
        <v>44.026</v>
      </c>
      <c r="AA38" s="27">
        <f>Inputs!AC157/1000</f>
        <v>15.394</v>
      </c>
      <c r="AB38" s="27">
        <f>Inputs!AD157/1000</f>
        <v>16.548</v>
      </c>
      <c r="AC38" s="27">
        <f>Inputs!AE157/1000</f>
        <v>15.028</v>
      </c>
      <c r="AD38" s="27">
        <f>Inputs!AF157/1000</f>
        <v>8.193</v>
      </c>
      <c r="AE38" s="27">
        <f>Inputs!AG157/1000</f>
        <v>2.641</v>
      </c>
      <c r="AF38" s="27">
        <f>Inputs!AH157/1000</f>
        <v>2.698</v>
      </c>
      <c r="AG38" s="27">
        <f>Inputs!AI157/1000</f>
        <v>-3.727</v>
      </c>
      <c r="AH38" s="27">
        <f>Inputs!AJ157/1000</f>
        <v>29.402</v>
      </c>
      <c r="AI38" s="27">
        <f>Inputs!AK157/1000</f>
        <v>31.029</v>
      </c>
      <c r="AJ38" s="27">
        <f>Inputs!AL157/1000</f>
        <v>5.847</v>
      </c>
      <c r="AK38" s="27">
        <f t="shared" ref="AK38:BW38" si="44">AK29+AK33</f>
        <v>4.300009815</v>
      </c>
      <c r="AL38" s="27">
        <f t="shared" si="44"/>
        <v>24.38221472</v>
      </c>
      <c r="AM38" s="27">
        <f t="shared" si="44"/>
        <v>25.00173137</v>
      </c>
      <c r="AN38" s="27">
        <f t="shared" si="44"/>
        <v>30.09363332</v>
      </c>
      <c r="AO38" s="27">
        <f t="shared" si="44"/>
        <v>26.5884327</v>
      </c>
      <c r="AP38" s="27">
        <f t="shared" si="44"/>
        <v>28.60905713</v>
      </c>
      <c r="AQ38" s="27">
        <f t="shared" si="44"/>
        <v>40.21620793</v>
      </c>
      <c r="AR38" s="27">
        <f t="shared" si="44"/>
        <v>39.43632146</v>
      </c>
      <c r="AS38" s="27">
        <f t="shared" si="44"/>
        <v>36.23012338</v>
      </c>
      <c r="AT38" s="27">
        <f t="shared" si="44"/>
        <v>38.61853162</v>
      </c>
      <c r="AU38" s="27">
        <f t="shared" si="44"/>
        <v>49.74310904</v>
      </c>
      <c r="AV38" s="27">
        <f t="shared" si="44"/>
        <v>47.99075186</v>
      </c>
      <c r="AW38" s="27">
        <f t="shared" si="44"/>
        <v>46.57495848</v>
      </c>
      <c r="AX38" s="27">
        <f t="shared" si="44"/>
        <v>49.46392083</v>
      </c>
      <c r="AY38" s="27">
        <f t="shared" si="44"/>
        <v>59.12149613</v>
      </c>
      <c r="AZ38" s="27">
        <f t="shared" si="44"/>
        <v>54.50873376</v>
      </c>
      <c r="BA38" s="27">
        <f t="shared" si="44"/>
        <v>53.73025976</v>
      </c>
      <c r="BB38" s="27">
        <f t="shared" si="44"/>
        <v>56.89586136</v>
      </c>
      <c r="BC38" s="27">
        <f t="shared" si="44"/>
        <v>66.58301024</v>
      </c>
      <c r="BD38" s="27">
        <f t="shared" si="44"/>
        <v>61.56168163</v>
      </c>
      <c r="BE38" s="27">
        <f t="shared" si="44"/>
        <v>60.71963613</v>
      </c>
      <c r="BF38" s="27">
        <f t="shared" si="44"/>
        <v>64.18831424</v>
      </c>
      <c r="BG38" s="27">
        <f t="shared" si="44"/>
        <v>74.78360695</v>
      </c>
      <c r="BH38" s="27">
        <f t="shared" si="44"/>
        <v>69.30841311</v>
      </c>
      <c r="BI38" s="27">
        <f t="shared" si="44"/>
        <v>68.40014248</v>
      </c>
      <c r="BJ38" s="27">
        <f t="shared" si="44"/>
        <v>72.202443</v>
      </c>
      <c r="BK38" s="27">
        <f t="shared" si="44"/>
        <v>83.79209512</v>
      </c>
      <c r="BL38" s="27">
        <f t="shared" si="44"/>
        <v>77.82331154</v>
      </c>
      <c r="BM38" s="27">
        <f t="shared" si="44"/>
        <v>76.84518221</v>
      </c>
      <c r="BN38" s="27">
        <f t="shared" si="44"/>
        <v>81.01458864</v>
      </c>
      <c r="BO38" s="27">
        <f t="shared" si="44"/>
        <v>93.69327263</v>
      </c>
      <c r="BP38" s="27">
        <f t="shared" si="44"/>
        <v>87.18757109</v>
      </c>
      <c r="BQ38" s="27">
        <f t="shared" si="44"/>
        <v>86.13540476</v>
      </c>
      <c r="BR38" s="27">
        <f t="shared" si="44"/>
        <v>90.88934147</v>
      </c>
      <c r="BS38" s="27">
        <f t="shared" si="44"/>
        <v>104.9345185</v>
      </c>
      <c r="BT38" s="27">
        <f t="shared" si="44"/>
        <v>98.02220397</v>
      </c>
      <c r="BU38" s="27">
        <f t="shared" si="44"/>
        <v>97.0896136</v>
      </c>
      <c r="BV38" s="27">
        <f t="shared" si="44"/>
        <v>102.2857399</v>
      </c>
      <c r="BW38" s="27">
        <f t="shared" si="44"/>
        <v>117.6377263</v>
      </c>
      <c r="BX38" s="6" t="s">
        <v>35</v>
      </c>
      <c r="BY38" s="16">
        <f>SUM(D38:G38)</f>
        <v>-13.662</v>
      </c>
      <c r="BZ38" s="16">
        <f>SUM(H38:K38)</f>
        <v>5.965</v>
      </c>
      <c r="CA38" s="16">
        <f>SUM(L38:O38)</f>
        <v>-5.825</v>
      </c>
      <c r="CB38" s="16">
        <f>SUM(P38:S38)</f>
        <v>-11.142</v>
      </c>
      <c r="CC38" s="16">
        <f>SUM(T38:W38)</f>
        <v>16.179</v>
      </c>
      <c r="CD38" s="16">
        <f>SUM(X38:AA38)</f>
        <v>84.18</v>
      </c>
      <c r="CE38" s="16">
        <f>SUM(AB38:AE38)</f>
        <v>42.41</v>
      </c>
      <c r="CF38" s="16">
        <f>SUM(AF38:AI38)</f>
        <v>59.402</v>
      </c>
      <c r="CG38" s="16">
        <f>SUM(AJ38:AM38)</f>
        <v>59.53095591</v>
      </c>
      <c r="CH38" s="16">
        <f>SUM(AN38:AQ38)</f>
        <v>125.5073311</v>
      </c>
      <c r="CI38" s="16">
        <f>SUM(AR38:AU38)</f>
        <v>164.0280855</v>
      </c>
      <c r="CJ38" s="16">
        <f>SUM(AV38:AY38)</f>
        <v>203.1511273</v>
      </c>
      <c r="CK38" s="16">
        <f>SUM(AZ38:BC38)</f>
        <v>231.7178651</v>
      </c>
      <c r="CL38" s="16">
        <f>SUM(BD38:BG38)</f>
        <v>261.253239</v>
      </c>
      <c r="CM38" s="16">
        <f>SUM(BH38:BK38)</f>
        <v>293.7030937</v>
      </c>
      <c r="CN38" s="16">
        <f>SUM(BL38:BO38)</f>
        <v>329.376355</v>
      </c>
      <c r="CO38" s="16">
        <f>SUM(BP38:BS38)</f>
        <v>369.1468358</v>
      </c>
      <c r="CP38" s="16">
        <f>SUM(BT38:BW38)</f>
        <v>415.0352838</v>
      </c>
      <c r="CQ38" s="6" t="s">
        <v>35</v>
      </c>
    </row>
    <row r="39" ht="14.25" customHeight="1">
      <c r="A39" s="9"/>
      <c r="B39" s="10" t="s">
        <v>40</v>
      </c>
      <c r="C39" s="9" t="s">
        <v>42</v>
      </c>
      <c r="D39" s="18"/>
      <c r="E39" s="18"/>
      <c r="F39" s="18"/>
      <c r="G39" s="18"/>
      <c r="H39" s="18">
        <f t="shared" ref="H39:BW39" si="45">H38/D38-1</f>
        <v>-0.8692704971</v>
      </c>
      <c r="I39" s="18">
        <f t="shared" si="45"/>
        <v>-1.252060738</v>
      </c>
      <c r="J39" s="18">
        <f t="shared" si="45"/>
        <v>-1.175273624</v>
      </c>
      <c r="K39" s="18">
        <f t="shared" si="45"/>
        <v>-1.482178715</v>
      </c>
      <c r="L39" s="18">
        <f t="shared" si="45"/>
        <v>-4.891358025</v>
      </c>
      <c r="M39" s="18">
        <f t="shared" si="45"/>
        <v>-4.249569707</v>
      </c>
      <c r="N39" s="18">
        <f t="shared" si="45"/>
        <v>-4.861917326</v>
      </c>
      <c r="O39" s="18">
        <f t="shared" si="45"/>
        <v>-0.4716293597</v>
      </c>
      <c r="P39" s="18">
        <f t="shared" si="45"/>
        <v>-6.205583756</v>
      </c>
      <c r="Q39" s="18">
        <f t="shared" si="45"/>
        <v>7.438029661</v>
      </c>
      <c r="R39" s="18">
        <f t="shared" si="45"/>
        <v>-0.03120018219</v>
      </c>
      <c r="S39" s="18">
        <f t="shared" si="45"/>
        <v>-0.5866995074</v>
      </c>
      <c r="T39" s="18">
        <f t="shared" si="45"/>
        <v>-1.055704534</v>
      </c>
      <c r="U39" s="18">
        <f t="shared" si="45"/>
        <v>-1.517167786</v>
      </c>
      <c r="V39" s="18">
        <f t="shared" si="45"/>
        <v>-2.353314528</v>
      </c>
      <c r="W39" s="18">
        <f t="shared" si="45"/>
        <v>2.146603099</v>
      </c>
      <c r="X39" s="18">
        <f t="shared" si="45"/>
        <v>-20.97592998</v>
      </c>
      <c r="Y39" s="18">
        <f t="shared" si="45"/>
        <v>0.8971962617</v>
      </c>
      <c r="Z39" s="18">
        <f t="shared" si="45"/>
        <v>6.647385791</v>
      </c>
      <c r="AA39" s="18">
        <f t="shared" si="45"/>
        <v>4.831060606</v>
      </c>
      <c r="AB39" s="18">
        <f t="shared" si="45"/>
        <v>0.8126848505</v>
      </c>
      <c r="AC39" s="18">
        <f t="shared" si="45"/>
        <v>-0.03857718636</v>
      </c>
      <c r="AD39" s="18">
        <f t="shared" si="45"/>
        <v>-0.8139054195</v>
      </c>
      <c r="AE39" s="18">
        <f t="shared" si="45"/>
        <v>-0.8284396518</v>
      </c>
      <c r="AF39" s="18">
        <f t="shared" si="45"/>
        <v>-0.8369591491</v>
      </c>
      <c r="AG39" s="18">
        <f t="shared" si="45"/>
        <v>-1.248003726</v>
      </c>
      <c r="AH39" s="18">
        <f t="shared" si="45"/>
        <v>2.588673258</v>
      </c>
      <c r="AI39" s="18">
        <f t="shared" si="45"/>
        <v>10.74895873</v>
      </c>
      <c r="AJ39" s="18">
        <f t="shared" si="45"/>
        <v>1.16716086</v>
      </c>
      <c r="AK39" s="18">
        <f t="shared" si="45"/>
        <v>-2.15374559</v>
      </c>
      <c r="AL39" s="18">
        <f t="shared" si="45"/>
        <v>-0.1707293816</v>
      </c>
      <c r="AM39" s="18">
        <f t="shared" si="45"/>
        <v>-0.194246306</v>
      </c>
      <c r="AN39" s="18">
        <f t="shared" si="45"/>
        <v>4.146850234</v>
      </c>
      <c r="AO39" s="18">
        <f t="shared" si="45"/>
        <v>5.183342328</v>
      </c>
      <c r="AP39" s="18">
        <f t="shared" si="45"/>
        <v>0.1733576075</v>
      </c>
      <c r="AQ39" s="18">
        <f t="shared" si="45"/>
        <v>0.6085369179</v>
      </c>
      <c r="AR39" s="18">
        <f t="shared" si="45"/>
        <v>0.3104539766</v>
      </c>
      <c r="AS39" s="18">
        <f t="shared" si="45"/>
        <v>0.362627267</v>
      </c>
      <c r="AT39" s="18">
        <f t="shared" si="45"/>
        <v>0.3498708272</v>
      </c>
      <c r="AU39" s="18">
        <f t="shared" si="45"/>
        <v>0.2368920793</v>
      </c>
      <c r="AV39" s="18">
        <f t="shared" si="45"/>
        <v>0.2169175544</v>
      </c>
      <c r="AW39" s="18">
        <f t="shared" si="45"/>
        <v>0.285531324</v>
      </c>
      <c r="AX39" s="18">
        <f t="shared" si="45"/>
        <v>0.2808338059</v>
      </c>
      <c r="AY39" s="18">
        <f t="shared" si="45"/>
        <v>0.1885364077</v>
      </c>
      <c r="AZ39" s="18">
        <f t="shared" si="45"/>
        <v>0.1358174574</v>
      </c>
      <c r="BA39" s="18">
        <f t="shared" si="45"/>
        <v>0.1536297942</v>
      </c>
      <c r="BB39" s="18">
        <f t="shared" si="45"/>
        <v>0.1502497257</v>
      </c>
      <c r="BC39" s="18">
        <f t="shared" si="45"/>
        <v>0.1262064494</v>
      </c>
      <c r="BD39" s="18">
        <f t="shared" si="45"/>
        <v>0.1293911523</v>
      </c>
      <c r="BE39" s="18">
        <f t="shared" si="45"/>
        <v>0.1300826834</v>
      </c>
      <c r="BF39" s="18">
        <f t="shared" si="45"/>
        <v>0.1281719391</v>
      </c>
      <c r="BG39" s="18">
        <f t="shared" si="45"/>
        <v>0.1231635019</v>
      </c>
      <c r="BH39" s="18">
        <f t="shared" si="45"/>
        <v>0.125836905</v>
      </c>
      <c r="BI39" s="18">
        <f t="shared" si="45"/>
        <v>0.1264913105</v>
      </c>
      <c r="BJ39" s="18">
        <f t="shared" si="45"/>
        <v>0.124853392</v>
      </c>
      <c r="BK39" s="18">
        <f t="shared" si="45"/>
        <v>0.1204607338</v>
      </c>
      <c r="BL39" s="18">
        <f t="shared" si="45"/>
        <v>0.1228551924</v>
      </c>
      <c r="BM39" s="18">
        <f t="shared" si="45"/>
        <v>0.1234652359</v>
      </c>
      <c r="BN39" s="18">
        <f t="shared" si="45"/>
        <v>0.122047749</v>
      </c>
      <c r="BO39" s="18">
        <f t="shared" si="45"/>
        <v>0.1181636226</v>
      </c>
      <c r="BP39" s="18">
        <f t="shared" si="45"/>
        <v>0.1203271792</v>
      </c>
      <c r="BQ39" s="18">
        <f t="shared" si="45"/>
        <v>0.1208953156</v>
      </c>
      <c r="BR39" s="18">
        <f t="shared" si="45"/>
        <v>0.1218885759</v>
      </c>
      <c r="BS39" s="18">
        <f t="shared" si="45"/>
        <v>0.1199792207</v>
      </c>
      <c r="BT39" s="18">
        <f t="shared" si="45"/>
        <v>0.1242680894</v>
      </c>
      <c r="BU39" s="18">
        <f t="shared" si="45"/>
        <v>0.1271742888</v>
      </c>
      <c r="BV39" s="18">
        <f t="shared" si="45"/>
        <v>0.1253876223</v>
      </c>
      <c r="BW39" s="18">
        <f t="shared" si="45"/>
        <v>0.1210584279</v>
      </c>
      <c r="BX39" s="6" t="s">
        <v>35</v>
      </c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6" t="s">
        <v>35</v>
      </c>
    </row>
    <row r="40" ht="14.25" customHeight="1">
      <c r="A40" s="9"/>
      <c r="B40" s="10" t="s">
        <v>55</v>
      </c>
      <c r="C40" s="9" t="s">
        <v>42</v>
      </c>
      <c r="D40" s="18">
        <f t="shared" ref="D40:BW40" si="46">D38/D$11</f>
        <v>0.05924424386</v>
      </c>
      <c r="E40" s="18">
        <f t="shared" si="46"/>
        <v>-0.04266464295</v>
      </c>
      <c r="F40" s="18">
        <f t="shared" si="46"/>
        <v>-0.1056531865</v>
      </c>
      <c r="G40" s="18">
        <f t="shared" si="46"/>
        <v>-0.1158392091</v>
      </c>
      <c r="H40" s="18">
        <f t="shared" si="46"/>
        <v>0.005322224558</v>
      </c>
      <c r="I40" s="18">
        <f t="shared" si="46"/>
        <v>0.006889927187</v>
      </c>
      <c r="J40" s="18">
        <f t="shared" si="46"/>
        <v>0.01423313805</v>
      </c>
      <c r="K40" s="18">
        <f t="shared" si="46"/>
        <v>0.04419597152</v>
      </c>
      <c r="L40" s="18">
        <f t="shared" si="46"/>
        <v>-0.01901544402</v>
      </c>
      <c r="M40" s="18">
        <f t="shared" si="46"/>
        <v>-0.02042052436</v>
      </c>
      <c r="N40" s="18">
        <f t="shared" si="46"/>
        <v>-0.05142408769</v>
      </c>
      <c r="O40" s="18">
        <f t="shared" si="46"/>
        <v>0.02309757874</v>
      </c>
      <c r="P40" s="18">
        <f t="shared" si="46"/>
        <v>0.1153510869</v>
      </c>
      <c r="Q40" s="18">
        <f t="shared" si="46"/>
        <v>-0.3306147014</v>
      </c>
      <c r="R40" s="18">
        <f t="shared" si="46"/>
        <v>-0.07758950882</v>
      </c>
      <c r="S40" s="18">
        <f t="shared" si="46"/>
        <v>0.01232409883</v>
      </c>
      <c r="T40" s="18">
        <f t="shared" si="46"/>
        <v>-0.005826034854</v>
      </c>
      <c r="U40" s="18">
        <f t="shared" si="46"/>
        <v>0.07387647502</v>
      </c>
      <c r="V40" s="18">
        <f t="shared" si="46"/>
        <v>0.0465840771</v>
      </c>
      <c r="W40" s="18">
        <f t="shared" si="46"/>
        <v>0.0220748706</v>
      </c>
      <c r="X40" s="18">
        <f t="shared" si="46"/>
        <v>0.07060980137</v>
      </c>
      <c r="Y40" s="18">
        <f t="shared" si="46"/>
        <v>0.08497787346</v>
      </c>
      <c r="Z40" s="18">
        <f t="shared" si="46"/>
        <v>0.17303165</v>
      </c>
      <c r="AA40" s="18">
        <f t="shared" si="46"/>
        <v>0.06262178379</v>
      </c>
      <c r="AB40" s="18">
        <f t="shared" si="46"/>
        <v>0.06858933442</v>
      </c>
      <c r="AC40" s="18">
        <f t="shared" si="46"/>
        <v>0.059180732</v>
      </c>
      <c r="AD40" s="18">
        <f t="shared" si="46"/>
        <v>0.03046211848</v>
      </c>
      <c r="AE40" s="18">
        <f t="shared" si="46"/>
        <v>0.009356721002</v>
      </c>
      <c r="AF40" s="18">
        <f t="shared" si="46"/>
        <v>0.01246586672</v>
      </c>
      <c r="AG40" s="18">
        <f t="shared" si="46"/>
        <v>-0.01815745883</v>
      </c>
      <c r="AH40" s="18">
        <f t="shared" si="46"/>
        <v>0.07487597918</v>
      </c>
      <c r="AI40" s="18">
        <f t="shared" si="46"/>
        <v>0.07393261265</v>
      </c>
      <c r="AJ40" s="18">
        <f t="shared" si="46"/>
        <v>0.01585218723</v>
      </c>
      <c r="AK40" s="18">
        <f t="shared" si="46"/>
        <v>0.01212867597</v>
      </c>
      <c r="AL40" s="18">
        <f t="shared" si="46"/>
        <v>0.06788265453</v>
      </c>
      <c r="AM40" s="18">
        <f t="shared" si="46"/>
        <v>0.06107192566</v>
      </c>
      <c r="AN40" s="18">
        <f t="shared" si="46"/>
        <v>0.07817554591</v>
      </c>
      <c r="AO40" s="18">
        <f t="shared" si="46"/>
        <v>0.06901798459</v>
      </c>
      <c r="AP40" s="18">
        <f t="shared" si="46"/>
        <v>0.07113323856</v>
      </c>
      <c r="AQ40" s="18">
        <f t="shared" si="46"/>
        <v>0.08836864013</v>
      </c>
      <c r="AR40" s="18">
        <f t="shared" si="46"/>
        <v>0.09261106728</v>
      </c>
      <c r="AS40" s="18">
        <f t="shared" si="46"/>
        <v>0.08543861711</v>
      </c>
      <c r="AT40" s="18">
        <f t="shared" si="46"/>
        <v>0.08766461378</v>
      </c>
      <c r="AU40" s="18">
        <f t="shared" si="46"/>
        <v>0.1000357393</v>
      </c>
      <c r="AV40" s="18">
        <f t="shared" si="46"/>
        <v>0.1031452543</v>
      </c>
      <c r="AW40" s="18">
        <f t="shared" si="46"/>
        <v>0.1005222219</v>
      </c>
      <c r="AX40" s="18">
        <f t="shared" si="46"/>
        <v>0.1027643102</v>
      </c>
      <c r="AY40" s="18">
        <f t="shared" si="46"/>
        <v>0.1088160311</v>
      </c>
      <c r="AZ40" s="18">
        <f t="shared" si="46"/>
        <v>0.1072217759</v>
      </c>
      <c r="BA40" s="18">
        <f t="shared" si="46"/>
        <v>0.1061338086</v>
      </c>
      <c r="BB40" s="18">
        <f t="shared" si="46"/>
        <v>0.1081831581</v>
      </c>
      <c r="BC40" s="18">
        <f t="shared" si="46"/>
        <v>0.1121595085</v>
      </c>
      <c r="BD40" s="18">
        <f t="shared" si="46"/>
        <v>0.1108287878</v>
      </c>
      <c r="BE40" s="18">
        <f t="shared" si="46"/>
        <v>0.1097713929</v>
      </c>
      <c r="BF40" s="18">
        <f t="shared" si="46"/>
        <v>0.1117017956</v>
      </c>
      <c r="BG40" s="18">
        <f t="shared" si="46"/>
        <v>0.1152933572</v>
      </c>
      <c r="BH40" s="18">
        <f t="shared" si="46"/>
        <v>0.1141966252</v>
      </c>
      <c r="BI40" s="18">
        <f t="shared" si="46"/>
        <v>0.1131728433</v>
      </c>
      <c r="BJ40" s="18">
        <f t="shared" si="46"/>
        <v>0.1149956157</v>
      </c>
      <c r="BK40" s="18">
        <f t="shared" si="46"/>
        <v>0.1182295762</v>
      </c>
      <c r="BL40" s="18">
        <f t="shared" si="46"/>
        <v>0.1173551701</v>
      </c>
      <c r="BM40" s="18">
        <f t="shared" si="46"/>
        <v>0.1163662586</v>
      </c>
      <c r="BN40" s="18">
        <f t="shared" si="46"/>
        <v>0.1180912793</v>
      </c>
      <c r="BO40" s="18">
        <f t="shared" si="46"/>
        <v>0.1209920117</v>
      </c>
      <c r="BP40" s="18">
        <f t="shared" si="46"/>
        <v>0.1203295535</v>
      </c>
      <c r="BQ40" s="18">
        <f t="shared" si="46"/>
        <v>0.1193760848</v>
      </c>
      <c r="BR40" s="18">
        <f t="shared" si="46"/>
        <v>0.1212530743</v>
      </c>
      <c r="BS40" s="18">
        <f t="shared" si="46"/>
        <v>0.1240200405</v>
      </c>
      <c r="BT40" s="18">
        <f t="shared" si="46"/>
        <v>0.1238133273</v>
      </c>
      <c r="BU40" s="18">
        <f t="shared" si="46"/>
        <v>0.1231497716</v>
      </c>
      <c r="BV40" s="18">
        <f t="shared" si="46"/>
        <v>0.124887824</v>
      </c>
      <c r="BW40" s="18">
        <f t="shared" si="46"/>
        <v>0.1272463467</v>
      </c>
      <c r="BX40" s="6" t="s">
        <v>35</v>
      </c>
      <c r="BZ40" s="18">
        <f t="shared" ref="BZ40:CP40" si="47">BZ38/BZ$11</f>
        <v>0.01822837882</v>
      </c>
      <c r="CA40" s="18">
        <f t="shared" si="47"/>
        <v>-0.01670912074</v>
      </c>
      <c r="CB40" s="18">
        <f t="shared" si="47"/>
        <v>-0.04600083398</v>
      </c>
      <c r="CC40" s="18">
        <f t="shared" si="47"/>
        <v>0.03735273271</v>
      </c>
      <c r="CD40" s="18">
        <f t="shared" si="47"/>
        <v>0.1034795585</v>
      </c>
      <c r="CE40" s="18">
        <f t="shared" si="47"/>
        <v>0.04052904693</v>
      </c>
      <c r="CF40" s="18">
        <f t="shared" si="47"/>
        <v>0.04813542291</v>
      </c>
      <c r="CG40" s="18">
        <f t="shared" si="47"/>
        <v>0.03990168096</v>
      </c>
      <c r="CH40" s="18">
        <f t="shared" si="47"/>
        <v>0.07711785823</v>
      </c>
      <c r="CI40" s="18">
        <f t="shared" si="47"/>
        <v>0.09175600033</v>
      </c>
      <c r="CJ40" s="18">
        <f t="shared" si="47"/>
        <v>0.1040065524</v>
      </c>
      <c r="CK40" s="18">
        <f t="shared" si="47"/>
        <v>0.1085740876</v>
      </c>
      <c r="CL40" s="18">
        <f t="shared" si="47"/>
        <v>0.1120349589</v>
      </c>
      <c r="CM40" s="18">
        <f t="shared" si="47"/>
        <v>0.115272471</v>
      </c>
      <c r="CN40" s="18">
        <f t="shared" si="47"/>
        <v>0.1183136102</v>
      </c>
      <c r="CO40" s="18">
        <f t="shared" si="47"/>
        <v>0.1213575062</v>
      </c>
      <c r="CP40" s="18">
        <f t="shared" si="47"/>
        <v>0.1248756375</v>
      </c>
      <c r="CQ40" s="6" t="s">
        <v>35</v>
      </c>
    </row>
    <row r="41" ht="14.25" customHeight="1">
      <c r="A41" s="9"/>
      <c r="B41" s="10"/>
      <c r="C41" s="9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BX41" s="6" t="s">
        <v>35</v>
      </c>
      <c r="CQ41" s="6" t="s">
        <v>35</v>
      </c>
    </row>
    <row r="42" ht="14.25" customHeight="1">
      <c r="A42" s="9"/>
      <c r="B42" s="22" t="s">
        <v>56</v>
      </c>
      <c r="C42" s="15" t="s">
        <v>39</v>
      </c>
      <c r="D42" s="26">
        <f>(Inputs!F159/1000)+(Inputs!F160/1000)</f>
        <v>-0.826</v>
      </c>
      <c r="E42" s="26">
        <f>(Inputs!G159/1000)+(Inputs!G160/1000)</f>
        <v>0.952</v>
      </c>
      <c r="F42" s="26">
        <f>(Inputs!H159/1000)+(Inputs!H160/1000)</f>
        <v>2.424</v>
      </c>
      <c r="G42" s="26">
        <f>(Inputs!I159/1000)+(Inputs!I160/1000)</f>
        <v>3.724</v>
      </c>
      <c r="H42" s="26">
        <f>(Inputs!J159/1000)+(Inputs!J160/1000)</f>
        <v>0.315</v>
      </c>
      <c r="I42" s="26">
        <f>(Inputs!K159/1000)+(Inputs!K160/1000)</f>
        <v>-0.423</v>
      </c>
      <c r="J42" s="26">
        <f>(Inputs!L159/1000)+(Inputs!L160/1000)</f>
        <v>-2.329</v>
      </c>
      <c r="K42" s="26">
        <f>(Inputs!M159/1000)+(Inputs!M160/1000)</f>
        <v>1.612</v>
      </c>
      <c r="L42" s="26">
        <f>(Inputs!N159/1000)+(Inputs!N160/1000)</f>
        <v>1.071</v>
      </c>
      <c r="M42" s="26">
        <f>(Inputs!O159/1000)+(Inputs!O160/1000)</f>
        <v>-0.098</v>
      </c>
      <c r="N42" s="26">
        <f>(Inputs!P159/1000)+(Inputs!P160/1000)</f>
        <v>1.448</v>
      </c>
      <c r="O42" s="26">
        <f>(Inputs!Q159/1000)+(Inputs!Q160/1000)</f>
        <v>-7.394</v>
      </c>
      <c r="P42" s="26">
        <f>(Inputs!R159/1000)+(Inputs!R160/1000)</f>
        <v>-4.934</v>
      </c>
      <c r="Q42" s="26">
        <f>(Inputs!S159/1000)+(Inputs!S160/1000)</f>
        <v>-2.221</v>
      </c>
      <c r="R42" s="26">
        <f>(Inputs!T159/1000)+(Inputs!T160/1000)</f>
        <v>-0.676</v>
      </c>
      <c r="S42" s="26">
        <f>(Inputs!U159/1000)+(Inputs!U160/1000)</f>
        <v>15.877</v>
      </c>
      <c r="T42" s="26">
        <f>(Inputs!V159/1000)+(Inputs!V160/1000)</f>
        <v>-0.574</v>
      </c>
      <c r="U42" s="26">
        <f>(Inputs!W159/1000)+(Inputs!W160/1000)</f>
        <v>-2.035</v>
      </c>
      <c r="V42" s="26">
        <f>(Inputs!X159/1000)+(Inputs!X160/1000)</f>
        <v>-1.976</v>
      </c>
      <c r="W42" s="26">
        <f>(Inputs!Y159/1000)+(Inputs!Y160/1000)</f>
        <v>2.905</v>
      </c>
      <c r="X42" s="26">
        <f>(Inputs!Z159/1000)+(Inputs!Z160/1000)</f>
        <v>-3.899</v>
      </c>
      <c r="Y42" s="26">
        <f>(Inputs!AA159/1000)+(Inputs!AA160/1000)</f>
        <v>-4.685</v>
      </c>
      <c r="Z42" s="26">
        <f>(Inputs!AB159/1000)+(Inputs!AB160/1000)</f>
        <v>-7.645</v>
      </c>
      <c r="AA42" s="26">
        <f>(Inputs!AC159/1000)+(Inputs!AC160/1000)</f>
        <v>-3.017</v>
      </c>
      <c r="AB42" s="26">
        <f>(Inputs!AD159/1000)+(Inputs!AD160/1000)</f>
        <v>-7.683</v>
      </c>
      <c r="AC42" s="26">
        <f>(Inputs!AE159/1000)+(Inputs!AE160/1000)</f>
        <v>-6.079</v>
      </c>
      <c r="AD42" s="26">
        <f>(Inputs!AF159/1000)+(Inputs!AF160/1000)</f>
        <v>-5.854</v>
      </c>
      <c r="AE42" s="26">
        <f>(Inputs!AG159/1000)+(Inputs!AG160/1000)</f>
        <v>2.285</v>
      </c>
      <c r="AF42" s="26">
        <f>(Inputs!AH159/1000)+(Inputs!AH160/1000)</f>
        <v>0.137</v>
      </c>
      <c r="AG42" s="26">
        <f>(Inputs!AI159/1000)+(Inputs!AI160/1000)</f>
        <v>1.031</v>
      </c>
      <c r="AH42" s="26">
        <f>(Inputs!AJ159/1000)+(Inputs!AJ160/1000)</f>
        <v>-8.635</v>
      </c>
      <c r="AI42" s="26">
        <f>(Inputs!AK159/1000)+(Inputs!AK160/1000)</f>
        <v>-9.68</v>
      </c>
      <c r="AJ42" s="26">
        <f>(Inputs!AL159/1000)+(Inputs!AL160/1000)</f>
        <v>-1.83</v>
      </c>
      <c r="AK42" s="26">
        <f t="shared" ref="AK42:BW42" si="48">-AK38*AK43</f>
        <v>-1.34582144</v>
      </c>
      <c r="AL42" s="26">
        <f t="shared" si="48"/>
        <v>-7.631170334</v>
      </c>
      <c r="AM42" s="26">
        <f t="shared" si="48"/>
        <v>-7.825067284</v>
      </c>
      <c r="AN42" s="26">
        <f t="shared" si="48"/>
        <v>-9.418735929</v>
      </c>
      <c r="AO42" s="26">
        <f t="shared" si="48"/>
        <v>-8.321674677</v>
      </c>
      <c r="AP42" s="26">
        <f t="shared" si="48"/>
        <v>-8.954091765</v>
      </c>
      <c r="AQ42" s="26">
        <f t="shared" si="48"/>
        <v>-12.58690961</v>
      </c>
      <c r="AR42" s="26">
        <f t="shared" si="48"/>
        <v>-12.34281995</v>
      </c>
      <c r="AS42" s="26">
        <f t="shared" si="48"/>
        <v>-11.33934082</v>
      </c>
      <c r="AT42" s="26">
        <f t="shared" si="48"/>
        <v>-12.08686726</v>
      </c>
      <c r="AU42" s="26">
        <f t="shared" si="48"/>
        <v>-15.5686488</v>
      </c>
      <c r="AV42" s="26">
        <f t="shared" si="48"/>
        <v>-15.02019427</v>
      </c>
      <c r="AW42" s="26">
        <f t="shared" si="48"/>
        <v>-14.57707782</v>
      </c>
      <c r="AX42" s="26">
        <f t="shared" si="48"/>
        <v>-15.48126819</v>
      </c>
      <c r="AY42" s="26">
        <f t="shared" si="48"/>
        <v>-18.50390592</v>
      </c>
      <c r="AZ42" s="26">
        <f t="shared" si="48"/>
        <v>-17.06019887</v>
      </c>
      <c r="BA42" s="26">
        <f t="shared" si="48"/>
        <v>-16.81655129</v>
      </c>
      <c r="BB42" s="26">
        <f t="shared" si="48"/>
        <v>-17.80732449</v>
      </c>
      <c r="BC42" s="26">
        <f t="shared" si="48"/>
        <v>-20.83921819</v>
      </c>
      <c r="BD42" s="26">
        <f t="shared" si="48"/>
        <v>-19.26763766</v>
      </c>
      <c r="BE42" s="26">
        <f t="shared" si="48"/>
        <v>-19.0040934</v>
      </c>
      <c r="BF42" s="26">
        <f t="shared" si="48"/>
        <v>-20.0897238</v>
      </c>
      <c r="BG42" s="26">
        <f t="shared" si="48"/>
        <v>-23.40584928</v>
      </c>
      <c r="BH42" s="26">
        <f t="shared" si="48"/>
        <v>-21.69221755</v>
      </c>
      <c r="BI42" s="26">
        <f t="shared" si="48"/>
        <v>-21.40794608</v>
      </c>
      <c r="BJ42" s="26">
        <f t="shared" si="48"/>
        <v>-22.59799396</v>
      </c>
      <c r="BK42" s="26">
        <f t="shared" si="48"/>
        <v>-26.22533506</v>
      </c>
      <c r="BL42" s="26">
        <f t="shared" si="48"/>
        <v>-24.35721911</v>
      </c>
      <c r="BM42" s="26">
        <f t="shared" si="48"/>
        <v>-24.0510832</v>
      </c>
      <c r="BN42" s="26">
        <f t="shared" si="48"/>
        <v>-25.35602826</v>
      </c>
      <c r="BO42" s="26">
        <f t="shared" si="48"/>
        <v>-29.32421565</v>
      </c>
      <c r="BP42" s="26">
        <f t="shared" si="48"/>
        <v>-27.28805458</v>
      </c>
      <c r="BQ42" s="26">
        <f t="shared" si="48"/>
        <v>-26.95874649</v>
      </c>
      <c r="BR42" s="26">
        <f t="shared" si="48"/>
        <v>-28.44663843</v>
      </c>
      <c r="BS42" s="26">
        <f t="shared" si="48"/>
        <v>-32.84251219</v>
      </c>
      <c r="BT42" s="26">
        <f t="shared" si="48"/>
        <v>-30.67908898</v>
      </c>
      <c r="BU42" s="26">
        <f t="shared" si="48"/>
        <v>-30.3872059</v>
      </c>
      <c r="BV42" s="26">
        <f t="shared" si="48"/>
        <v>-32.01349478</v>
      </c>
      <c r="BW42" s="26">
        <f t="shared" si="48"/>
        <v>-36.81837509</v>
      </c>
      <c r="BX42" s="6" t="s">
        <v>35</v>
      </c>
      <c r="BY42" s="24">
        <f>SUM(D42:G42)</f>
        <v>6.274</v>
      </c>
      <c r="BZ42" s="24">
        <f>SUM(H42:K42)</f>
        <v>-0.825</v>
      </c>
      <c r="CA42" s="24">
        <f>SUM(L42:O42)</f>
        <v>-4.973</v>
      </c>
      <c r="CB42" s="24">
        <f>SUM(P42:S42)</f>
        <v>8.046</v>
      </c>
      <c r="CC42" s="24">
        <f>SUM(T42:W42)</f>
        <v>-1.68</v>
      </c>
      <c r="CD42" s="24">
        <f>SUM(X42:AA42)</f>
        <v>-19.246</v>
      </c>
      <c r="CE42" s="24">
        <f>SUM(AB42:AE42)</f>
        <v>-17.331</v>
      </c>
      <c r="CF42" s="24">
        <f>SUM(AF42:AI42)</f>
        <v>-17.147</v>
      </c>
      <c r="CG42" s="24">
        <f>SUM(AJ42:AM42)</f>
        <v>-18.63205906</v>
      </c>
      <c r="CH42" s="24">
        <f>SUM(AN42:AQ42)</f>
        <v>-39.28141198</v>
      </c>
      <c r="CI42" s="24">
        <f>SUM(AR42:AU42)</f>
        <v>-51.33767684</v>
      </c>
      <c r="CJ42" s="24">
        <f>SUM(AV42:AY42)</f>
        <v>-63.5824462</v>
      </c>
      <c r="CK42" s="24">
        <f>SUM(AZ42:BC42)</f>
        <v>-72.52329283</v>
      </c>
      <c r="CL42" s="24">
        <f>SUM(BD42:BG42)</f>
        <v>-81.76730414</v>
      </c>
      <c r="CM42" s="24">
        <f>SUM(BH42:BK42)</f>
        <v>-91.92349265</v>
      </c>
      <c r="CN42" s="24">
        <f>SUM(BL42:BO42)</f>
        <v>-103.0885462</v>
      </c>
      <c r="CO42" s="24">
        <f>SUM(BP42:BS42)</f>
        <v>-115.5359517</v>
      </c>
      <c r="CP42" s="24">
        <f>SUM(BT42:BW42)</f>
        <v>-129.8981648</v>
      </c>
      <c r="CQ42" s="6" t="s">
        <v>35</v>
      </c>
    </row>
    <row r="43" ht="14.25" customHeight="1">
      <c r="A43" s="9"/>
      <c r="B43" s="10" t="s">
        <v>57</v>
      </c>
      <c r="C43" s="9" t="s">
        <v>42</v>
      </c>
      <c r="D43" s="18">
        <f t="shared" ref="D43:AJ43" si="49">-D42/D38</f>
        <v>0.2666236281</v>
      </c>
      <c r="E43" s="18">
        <f t="shared" si="49"/>
        <v>0.4130151844</v>
      </c>
      <c r="F43" s="18">
        <f t="shared" si="49"/>
        <v>0.3736704178</v>
      </c>
      <c r="G43" s="18">
        <f t="shared" si="49"/>
        <v>0.4673694779</v>
      </c>
      <c r="H43" s="18">
        <f t="shared" si="49"/>
        <v>-0.7777777778</v>
      </c>
      <c r="I43" s="18">
        <f t="shared" si="49"/>
        <v>0.7280550775</v>
      </c>
      <c r="J43" s="18">
        <f t="shared" si="49"/>
        <v>2.048372911</v>
      </c>
      <c r="K43" s="18">
        <f t="shared" si="49"/>
        <v>-0.419573139</v>
      </c>
      <c r="L43" s="18">
        <f t="shared" si="49"/>
        <v>0.6795685279</v>
      </c>
      <c r="M43" s="18">
        <f t="shared" si="49"/>
        <v>-0.05190677966</v>
      </c>
      <c r="N43" s="18">
        <f t="shared" si="49"/>
        <v>0.3297654293</v>
      </c>
      <c r="O43" s="18">
        <f t="shared" si="49"/>
        <v>3.642364532</v>
      </c>
      <c r="P43" s="18">
        <f t="shared" si="49"/>
        <v>0.6014139444</v>
      </c>
      <c r="Q43" s="18">
        <f t="shared" si="49"/>
        <v>-0.1394137217</v>
      </c>
      <c r="R43" s="18">
        <f t="shared" si="49"/>
        <v>-0.1589092619</v>
      </c>
      <c r="S43" s="18">
        <f t="shared" si="49"/>
        <v>-18.92371871</v>
      </c>
      <c r="T43" s="18">
        <f t="shared" si="49"/>
        <v>-1.256017505</v>
      </c>
      <c r="U43" s="18">
        <f t="shared" si="49"/>
        <v>0.2469959947</v>
      </c>
      <c r="V43" s="18">
        <f t="shared" si="49"/>
        <v>0.3432343234</v>
      </c>
      <c r="W43" s="18">
        <f t="shared" si="49"/>
        <v>-1.100378788</v>
      </c>
      <c r="X43" s="18">
        <f t="shared" si="49"/>
        <v>0.4271004491</v>
      </c>
      <c r="Y43" s="18">
        <f t="shared" si="49"/>
        <v>0.2997249056</v>
      </c>
      <c r="Z43" s="18">
        <f t="shared" si="49"/>
        <v>0.1736473902</v>
      </c>
      <c r="AA43" s="18">
        <f t="shared" si="49"/>
        <v>0.1959854489</v>
      </c>
      <c r="AB43" s="18">
        <f t="shared" si="49"/>
        <v>0.4642857143</v>
      </c>
      <c r="AC43" s="18">
        <f t="shared" si="49"/>
        <v>0.4045115784</v>
      </c>
      <c r="AD43" s="18">
        <f t="shared" si="49"/>
        <v>0.7145123886</v>
      </c>
      <c r="AE43" s="18">
        <f t="shared" si="49"/>
        <v>-0.8652025748</v>
      </c>
      <c r="AF43" s="18">
        <f t="shared" si="49"/>
        <v>-0.05077835434</v>
      </c>
      <c r="AG43" s="18">
        <f t="shared" si="49"/>
        <v>0.2766299973</v>
      </c>
      <c r="AH43" s="18">
        <f t="shared" si="49"/>
        <v>0.2936875043</v>
      </c>
      <c r="AI43" s="18">
        <f t="shared" si="49"/>
        <v>0.3119662251</v>
      </c>
      <c r="AJ43" s="18">
        <f t="shared" si="49"/>
        <v>0.3129810159</v>
      </c>
      <c r="AK43" s="31">
        <f t="shared" ref="AK43:BW43" si="50">AJ43</f>
        <v>0.3129810159</v>
      </c>
      <c r="AL43" s="31">
        <f t="shared" si="50"/>
        <v>0.3129810159</v>
      </c>
      <c r="AM43" s="31">
        <f t="shared" si="50"/>
        <v>0.3129810159</v>
      </c>
      <c r="AN43" s="31">
        <f t="shared" si="50"/>
        <v>0.3129810159</v>
      </c>
      <c r="AO43" s="31">
        <f t="shared" si="50"/>
        <v>0.3129810159</v>
      </c>
      <c r="AP43" s="31">
        <f t="shared" si="50"/>
        <v>0.3129810159</v>
      </c>
      <c r="AQ43" s="31">
        <f t="shared" si="50"/>
        <v>0.3129810159</v>
      </c>
      <c r="AR43" s="31">
        <f t="shared" si="50"/>
        <v>0.3129810159</v>
      </c>
      <c r="AS43" s="31">
        <f t="shared" si="50"/>
        <v>0.3129810159</v>
      </c>
      <c r="AT43" s="31">
        <f t="shared" si="50"/>
        <v>0.3129810159</v>
      </c>
      <c r="AU43" s="31">
        <f t="shared" si="50"/>
        <v>0.3129810159</v>
      </c>
      <c r="AV43" s="31">
        <f t="shared" si="50"/>
        <v>0.3129810159</v>
      </c>
      <c r="AW43" s="31">
        <f t="shared" si="50"/>
        <v>0.3129810159</v>
      </c>
      <c r="AX43" s="31">
        <f t="shared" si="50"/>
        <v>0.3129810159</v>
      </c>
      <c r="AY43" s="31">
        <f t="shared" si="50"/>
        <v>0.3129810159</v>
      </c>
      <c r="AZ43" s="31">
        <f t="shared" si="50"/>
        <v>0.3129810159</v>
      </c>
      <c r="BA43" s="31">
        <f t="shared" si="50"/>
        <v>0.3129810159</v>
      </c>
      <c r="BB43" s="31">
        <f t="shared" si="50"/>
        <v>0.3129810159</v>
      </c>
      <c r="BC43" s="31">
        <f t="shared" si="50"/>
        <v>0.3129810159</v>
      </c>
      <c r="BD43" s="31">
        <f t="shared" si="50"/>
        <v>0.3129810159</v>
      </c>
      <c r="BE43" s="31">
        <f t="shared" si="50"/>
        <v>0.3129810159</v>
      </c>
      <c r="BF43" s="31">
        <f t="shared" si="50"/>
        <v>0.3129810159</v>
      </c>
      <c r="BG43" s="31">
        <f t="shared" si="50"/>
        <v>0.3129810159</v>
      </c>
      <c r="BH43" s="31">
        <f t="shared" si="50"/>
        <v>0.3129810159</v>
      </c>
      <c r="BI43" s="31">
        <f t="shared" si="50"/>
        <v>0.3129810159</v>
      </c>
      <c r="BJ43" s="31">
        <f t="shared" si="50"/>
        <v>0.3129810159</v>
      </c>
      <c r="BK43" s="31">
        <f t="shared" si="50"/>
        <v>0.3129810159</v>
      </c>
      <c r="BL43" s="31">
        <f t="shared" si="50"/>
        <v>0.3129810159</v>
      </c>
      <c r="BM43" s="31">
        <f t="shared" si="50"/>
        <v>0.3129810159</v>
      </c>
      <c r="BN43" s="31">
        <f t="shared" si="50"/>
        <v>0.3129810159</v>
      </c>
      <c r="BO43" s="31">
        <f t="shared" si="50"/>
        <v>0.3129810159</v>
      </c>
      <c r="BP43" s="31">
        <f t="shared" si="50"/>
        <v>0.3129810159</v>
      </c>
      <c r="BQ43" s="31">
        <f t="shared" si="50"/>
        <v>0.3129810159</v>
      </c>
      <c r="BR43" s="31">
        <f t="shared" si="50"/>
        <v>0.3129810159</v>
      </c>
      <c r="BS43" s="31">
        <f t="shared" si="50"/>
        <v>0.3129810159</v>
      </c>
      <c r="BT43" s="31">
        <f t="shared" si="50"/>
        <v>0.3129810159</v>
      </c>
      <c r="BU43" s="31">
        <f t="shared" si="50"/>
        <v>0.3129810159</v>
      </c>
      <c r="BV43" s="31">
        <f t="shared" si="50"/>
        <v>0.3129810159</v>
      </c>
      <c r="BW43" s="31">
        <f t="shared" si="50"/>
        <v>0.3129810159</v>
      </c>
      <c r="BX43" s="6" t="s">
        <v>35</v>
      </c>
      <c r="BY43" s="18">
        <f t="shared" ref="BY43:CP43" si="51">-BY42/BY38</f>
        <v>0.459229981</v>
      </c>
      <c r="BZ43" s="18">
        <f t="shared" si="51"/>
        <v>0.1383067896</v>
      </c>
      <c r="CA43" s="18">
        <f t="shared" si="51"/>
        <v>-0.8537339056</v>
      </c>
      <c r="CB43" s="18">
        <f t="shared" si="51"/>
        <v>0.7221324717</v>
      </c>
      <c r="CC43" s="18">
        <f t="shared" si="51"/>
        <v>0.1038383089</v>
      </c>
      <c r="CD43" s="18">
        <f t="shared" si="51"/>
        <v>0.2286291281</v>
      </c>
      <c r="CE43" s="18">
        <f t="shared" si="51"/>
        <v>0.4086536194</v>
      </c>
      <c r="CF43" s="18">
        <f t="shared" si="51"/>
        <v>0.2886603145</v>
      </c>
      <c r="CG43" s="18">
        <f t="shared" si="51"/>
        <v>0.3129810159</v>
      </c>
      <c r="CH43" s="18">
        <f t="shared" si="51"/>
        <v>0.3129810159</v>
      </c>
      <c r="CI43" s="18">
        <f t="shared" si="51"/>
        <v>0.3129810159</v>
      </c>
      <c r="CJ43" s="18">
        <f t="shared" si="51"/>
        <v>0.3129810159</v>
      </c>
      <c r="CK43" s="18">
        <f t="shared" si="51"/>
        <v>0.3129810159</v>
      </c>
      <c r="CL43" s="18">
        <f t="shared" si="51"/>
        <v>0.3129810159</v>
      </c>
      <c r="CM43" s="18">
        <f t="shared" si="51"/>
        <v>0.3129810159</v>
      </c>
      <c r="CN43" s="18">
        <f t="shared" si="51"/>
        <v>0.3129810159</v>
      </c>
      <c r="CO43" s="18">
        <f t="shared" si="51"/>
        <v>0.3129810159</v>
      </c>
      <c r="CP43" s="18">
        <f t="shared" si="51"/>
        <v>0.3129810159</v>
      </c>
      <c r="CQ43" s="6" t="s">
        <v>35</v>
      </c>
    </row>
    <row r="44" ht="14.25" customHeight="1">
      <c r="A44" s="9"/>
      <c r="B44" s="10" t="s">
        <v>58</v>
      </c>
      <c r="C44" s="9" t="s">
        <v>39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BX44" s="6" t="s">
        <v>35</v>
      </c>
      <c r="CQ44" s="6" t="s">
        <v>35</v>
      </c>
    </row>
    <row r="45" ht="14.25" customHeight="1">
      <c r="A45" s="9"/>
      <c r="B45" s="10" t="s">
        <v>59</v>
      </c>
      <c r="C45" s="9" t="s">
        <v>39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BX45" s="6" t="s">
        <v>35</v>
      </c>
      <c r="CQ45" s="6" t="s">
        <v>35</v>
      </c>
    </row>
    <row r="46" ht="14.25" customHeight="1">
      <c r="A46" s="9"/>
      <c r="B46" s="10"/>
      <c r="C46" s="9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BX46" s="6" t="s">
        <v>35</v>
      </c>
      <c r="CQ46" s="6" t="s">
        <v>35</v>
      </c>
    </row>
    <row r="47" ht="14.25" customHeight="1">
      <c r="A47" s="9"/>
      <c r="B47" s="32" t="s">
        <v>60</v>
      </c>
      <c r="C47" s="33" t="s">
        <v>39</v>
      </c>
      <c r="D47" s="34">
        <f>Inputs!F162/1000</f>
        <v>2.272</v>
      </c>
      <c r="E47" s="34">
        <f>Inputs!G162/1000</f>
        <v>-1.353</v>
      </c>
      <c r="F47" s="34">
        <f>Inputs!H162/1000</f>
        <v>-4.063</v>
      </c>
      <c r="G47" s="34">
        <f>Inputs!I162/1000</f>
        <v>-4.244</v>
      </c>
      <c r="H47" s="34">
        <f>Inputs!J162/1000</f>
        <v>0.72</v>
      </c>
      <c r="I47" s="34">
        <f>Inputs!K162/1000</f>
        <v>0.158</v>
      </c>
      <c r="J47" s="34">
        <f>Inputs!L162/1000</f>
        <v>-1.192</v>
      </c>
      <c r="K47" s="34">
        <f>Inputs!M162/1000</f>
        <v>5.454</v>
      </c>
      <c r="L47" s="34">
        <f>Inputs!N162/1000</f>
        <v>-0.505</v>
      </c>
      <c r="M47" s="34">
        <f>Inputs!O162/1000</f>
        <v>-1.986</v>
      </c>
      <c r="N47" s="34">
        <f>Inputs!P162/1000</f>
        <v>-2.943</v>
      </c>
      <c r="O47" s="34">
        <f>Inputs!Q162/1000</f>
        <v>-5.364</v>
      </c>
      <c r="P47" s="34">
        <f>Inputs!R162/1000</f>
        <v>3.27</v>
      </c>
      <c r="Q47" s="34">
        <f>Inputs!S162/1000</f>
        <v>-18.152</v>
      </c>
      <c r="R47" s="34">
        <f>Inputs!T162/1000</f>
        <v>-4.93</v>
      </c>
      <c r="S47" s="34">
        <f>Inputs!U162/1000</f>
        <v>16.716</v>
      </c>
      <c r="T47" s="34">
        <f>Inputs!V162/1000</f>
        <v>-1.031</v>
      </c>
      <c r="U47" s="34">
        <f>Inputs!W162/1000</f>
        <v>6.204</v>
      </c>
      <c r="V47" s="34">
        <f>Inputs!X162/1000</f>
        <v>3.781</v>
      </c>
      <c r="W47" s="34">
        <f>Inputs!Y162/1000</f>
        <v>5.545</v>
      </c>
      <c r="X47" s="34">
        <f>Inputs!Z162/1000</f>
        <v>5.23</v>
      </c>
      <c r="Y47" s="34">
        <f>Inputs!AA162/1000</f>
        <v>10.946</v>
      </c>
      <c r="Z47" s="34">
        <f>Inputs!AB162/1000</f>
        <v>36.381</v>
      </c>
      <c r="AA47" s="34">
        <f>Inputs!AC162/1000</f>
        <v>12.377</v>
      </c>
      <c r="AB47" s="34">
        <f>Inputs!AD162/1000</f>
        <v>8.865</v>
      </c>
      <c r="AC47" s="34">
        <f>Inputs!AE162/1000</f>
        <v>8.949</v>
      </c>
      <c r="AD47" s="34">
        <f>Inputs!AF162/1000</f>
        <v>2.339</v>
      </c>
      <c r="AE47" s="34">
        <f>Inputs!AG162/1000</f>
        <v>4.926</v>
      </c>
      <c r="AF47" s="34">
        <f>Inputs!AH162/1000</f>
        <v>2.835</v>
      </c>
      <c r="AG47" s="34">
        <f>Inputs!AI162/1000</f>
        <v>-2.696</v>
      </c>
      <c r="AH47" s="34">
        <f>Inputs!AJ162/1000</f>
        <v>20.767</v>
      </c>
      <c r="AI47" s="34">
        <f>Inputs!AK162/1000</f>
        <v>21.349</v>
      </c>
      <c r="AJ47" s="34">
        <f>Inputs!AL162/1000</f>
        <v>4.017</v>
      </c>
      <c r="AK47" s="34">
        <f t="shared" ref="AK47:BW47" si="52">AK38+AK42</f>
        <v>2.954188375</v>
      </c>
      <c r="AL47" s="34">
        <f t="shared" si="52"/>
        <v>16.75104439</v>
      </c>
      <c r="AM47" s="34">
        <f t="shared" si="52"/>
        <v>17.17666409</v>
      </c>
      <c r="AN47" s="34">
        <f t="shared" si="52"/>
        <v>20.67489739</v>
      </c>
      <c r="AO47" s="34">
        <f t="shared" si="52"/>
        <v>18.26675802</v>
      </c>
      <c r="AP47" s="34">
        <f t="shared" si="52"/>
        <v>19.65496537</v>
      </c>
      <c r="AQ47" s="34">
        <f t="shared" si="52"/>
        <v>27.62929831</v>
      </c>
      <c r="AR47" s="34">
        <f t="shared" si="52"/>
        <v>27.0935015</v>
      </c>
      <c r="AS47" s="34">
        <f t="shared" si="52"/>
        <v>24.89078256</v>
      </c>
      <c r="AT47" s="34">
        <f t="shared" si="52"/>
        <v>26.53166436</v>
      </c>
      <c r="AU47" s="34">
        <f t="shared" si="52"/>
        <v>34.17446024</v>
      </c>
      <c r="AV47" s="34">
        <f t="shared" si="52"/>
        <v>32.97055759</v>
      </c>
      <c r="AW47" s="34">
        <f t="shared" si="52"/>
        <v>31.99788066</v>
      </c>
      <c r="AX47" s="34">
        <f t="shared" si="52"/>
        <v>33.98265264</v>
      </c>
      <c r="AY47" s="34">
        <f t="shared" si="52"/>
        <v>40.61759021</v>
      </c>
      <c r="AZ47" s="34">
        <f t="shared" si="52"/>
        <v>37.44853489</v>
      </c>
      <c r="BA47" s="34">
        <f t="shared" si="52"/>
        <v>36.91370848</v>
      </c>
      <c r="BB47" s="34">
        <f t="shared" si="52"/>
        <v>39.08853687</v>
      </c>
      <c r="BC47" s="34">
        <f t="shared" si="52"/>
        <v>45.74379205</v>
      </c>
      <c r="BD47" s="34">
        <f t="shared" si="52"/>
        <v>42.29404397</v>
      </c>
      <c r="BE47" s="34">
        <f t="shared" si="52"/>
        <v>41.71554273</v>
      </c>
      <c r="BF47" s="34">
        <f t="shared" si="52"/>
        <v>44.09859044</v>
      </c>
      <c r="BG47" s="34">
        <f t="shared" si="52"/>
        <v>51.37775767</v>
      </c>
      <c r="BH47" s="34">
        <f t="shared" si="52"/>
        <v>47.61619557</v>
      </c>
      <c r="BI47" s="34">
        <f t="shared" si="52"/>
        <v>46.9921964</v>
      </c>
      <c r="BJ47" s="34">
        <f t="shared" si="52"/>
        <v>49.60444904</v>
      </c>
      <c r="BK47" s="34">
        <f t="shared" si="52"/>
        <v>57.56676007</v>
      </c>
      <c r="BL47" s="34">
        <f t="shared" si="52"/>
        <v>53.46609243</v>
      </c>
      <c r="BM47" s="34">
        <f t="shared" si="52"/>
        <v>52.79409901</v>
      </c>
      <c r="BN47" s="34">
        <f t="shared" si="52"/>
        <v>55.65856039</v>
      </c>
      <c r="BO47" s="34">
        <f t="shared" si="52"/>
        <v>64.36905698</v>
      </c>
      <c r="BP47" s="34">
        <f t="shared" si="52"/>
        <v>59.89951652</v>
      </c>
      <c r="BQ47" s="34">
        <f t="shared" si="52"/>
        <v>59.17665827</v>
      </c>
      <c r="BR47" s="34">
        <f t="shared" si="52"/>
        <v>62.44270304</v>
      </c>
      <c r="BS47" s="34">
        <f t="shared" si="52"/>
        <v>72.09200627</v>
      </c>
      <c r="BT47" s="34">
        <f t="shared" si="52"/>
        <v>67.34311499</v>
      </c>
      <c r="BU47" s="34">
        <f t="shared" si="52"/>
        <v>66.7024077</v>
      </c>
      <c r="BV47" s="34">
        <f t="shared" si="52"/>
        <v>70.27224511</v>
      </c>
      <c r="BW47" s="34">
        <f t="shared" si="52"/>
        <v>80.81935122</v>
      </c>
      <c r="BX47" s="6" t="s">
        <v>35</v>
      </c>
      <c r="BY47" s="34">
        <f>SUM(D47:G47)</f>
        <v>-7.388</v>
      </c>
      <c r="BZ47" s="34">
        <f>SUM(H47:K47)</f>
        <v>5.14</v>
      </c>
      <c r="CA47" s="34">
        <f>SUM(L47:O47)</f>
        <v>-10.798</v>
      </c>
      <c r="CB47" s="34">
        <f>SUM(P47:S47)</f>
        <v>-3.096</v>
      </c>
      <c r="CC47" s="34">
        <f>SUM(T47:W47)</f>
        <v>14.499</v>
      </c>
      <c r="CD47" s="34">
        <f>SUM(X47:AA47)</f>
        <v>64.934</v>
      </c>
      <c r="CE47" s="34">
        <f>SUM(AB47:AE47)</f>
        <v>25.079</v>
      </c>
      <c r="CF47" s="34">
        <f>SUM(AF47:AI47)</f>
        <v>42.255</v>
      </c>
      <c r="CG47" s="34">
        <f>SUM(AJ47:AM47)</f>
        <v>40.89889685</v>
      </c>
      <c r="CH47" s="34">
        <f>SUM(AN47:AQ47)</f>
        <v>86.22591909</v>
      </c>
      <c r="CI47" s="34">
        <f>SUM(AR47:AU47)</f>
        <v>112.6904087</v>
      </c>
      <c r="CJ47" s="34">
        <f>SUM(AV47:AY47)</f>
        <v>139.5686811</v>
      </c>
      <c r="CK47" s="34">
        <f>SUM(AZ47:BC47)</f>
        <v>159.1945723</v>
      </c>
      <c r="CL47" s="34">
        <f>SUM(BD47:BG47)</f>
        <v>179.4859348</v>
      </c>
      <c r="CM47" s="34">
        <f>SUM(BH47:BK47)</f>
        <v>201.7796011</v>
      </c>
      <c r="CN47" s="34">
        <f>SUM(BL47:BO47)</f>
        <v>226.2878088</v>
      </c>
      <c r="CO47" s="34">
        <f>SUM(BP47:BS47)</f>
        <v>253.6108841</v>
      </c>
      <c r="CP47" s="34">
        <f>SUM(BT47:BW47)</f>
        <v>285.137119</v>
      </c>
      <c r="CQ47" s="6" t="s">
        <v>35</v>
      </c>
    </row>
    <row r="48" ht="14.25" customHeight="1">
      <c r="A48" s="9"/>
      <c r="B48" s="10" t="s">
        <v>40</v>
      </c>
      <c r="C48" s="9" t="s">
        <v>42</v>
      </c>
      <c r="D48" s="18"/>
      <c r="E48" s="18"/>
      <c r="F48" s="18"/>
      <c r="G48" s="18"/>
      <c r="H48" s="18">
        <f t="shared" ref="H48:BW48" si="53">H47/D47-1</f>
        <v>-0.6830985915</v>
      </c>
      <c r="I48" s="18">
        <f t="shared" si="53"/>
        <v>-1.116777531</v>
      </c>
      <c r="J48" s="18">
        <f t="shared" si="53"/>
        <v>-0.7066207236</v>
      </c>
      <c r="K48" s="18">
        <f t="shared" si="53"/>
        <v>-2.285108388</v>
      </c>
      <c r="L48" s="18">
        <f t="shared" si="53"/>
        <v>-1.701388889</v>
      </c>
      <c r="M48" s="18">
        <f t="shared" si="53"/>
        <v>-13.56962025</v>
      </c>
      <c r="N48" s="18">
        <f t="shared" si="53"/>
        <v>1.468959732</v>
      </c>
      <c r="O48" s="18">
        <f t="shared" si="53"/>
        <v>-1.98349835</v>
      </c>
      <c r="P48" s="18">
        <f t="shared" si="53"/>
        <v>-7.475247525</v>
      </c>
      <c r="Q48" s="18">
        <f t="shared" si="53"/>
        <v>8.139979859</v>
      </c>
      <c r="R48" s="18">
        <f t="shared" si="53"/>
        <v>0.6751613999</v>
      </c>
      <c r="S48" s="18">
        <f t="shared" si="53"/>
        <v>-4.116331096</v>
      </c>
      <c r="T48" s="18">
        <f t="shared" si="53"/>
        <v>-1.31529052</v>
      </c>
      <c r="U48" s="18">
        <f t="shared" si="53"/>
        <v>-1.34178052</v>
      </c>
      <c r="V48" s="18">
        <f t="shared" si="53"/>
        <v>-1.76693712</v>
      </c>
      <c r="W48" s="18">
        <f t="shared" si="53"/>
        <v>-0.6682818856</v>
      </c>
      <c r="X48" s="18">
        <f t="shared" si="53"/>
        <v>-6.072744908</v>
      </c>
      <c r="Y48" s="18">
        <f t="shared" si="53"/>
        <v>0.7643455835</v>
      </c>
      <c r="Z48" s="18">
        <f t="shared" si="53"/>
        <v>8.622057657</v>
      </c>
      <c r="AA48" s="18">
        <f t="shared" si="53"/>
        <v>1.232100992</v>
      </c>
      <c r="AB48" s="18">
        <f t="shared" si="53"/>
        <v>0.6950286807</v>
      </c>
      <c r="AC48" s="18">
        <f t="shared" si="53"/>
        <v>-0.1824410744</v>
      </c>
      <c r="AD48" s="18">
        <f t="shared" si="53"/>
        <v>-0.9357081993</v>
      </c>
      <c r="AE48" s="18">
        <f t="shared" si="53"/>
        <v>-0.6020037166</v>
      </c>
      <c r="AF48" s="18">
        <f t="shared" si="53"/>
        <v>-0.6802030457</v>
      </c>
      <c r="AG48" s="18">
        <f t="shared" si="53"/>
        <v>-1.301262711</v>
      </c>
      <c r="AH48" s="18">
        <f t="shared" si="53"/>
        <v>7.87858059</v>
      </c>
      <c r="AI48" s="18">
        <f t="shared" si="53"/>
        <v>3.333942347</v>
      </c>
      <c r="AJ48" s="18">
        <f t="shared" si="53"/>
        <v>0.4169312169</v>
      </c>
      <c r="AK48" s="18">
        <f t="shared" si="53"/>
        <v>-2.095767201</v>
      </c>
      <c r="AL48" s="18">
        <f t="shared" si="53"/>
        <v>-0.1933815963</v>
      </c>
      <c r="AM48" s="18">
        <f t="shared" si="53"/>
        <v>-0.1954347235</v>
      </c>
      <c r="AN48" s="18">
        <f t="shared" si="53"/>
        <v>4.146850234</v>
      </c>
      <c r="AO48" s="18">
        <f t="shared" si="53"/>
        <v>5.183342328</v>
      </c>
      <c r="AP48" s="18">
        <f t="shared" si="53"/>
        <v>0.1733576075</v>
      </c>
      <c r="AQ48" s="18">
        <f t="shared" si="53"/>
        <v>0.6085369179</v>
      </c>
      <c r="AR48" s="18">
        <f t="shared" si="53"/>
        <v>0.3104539766</v>
      </c>
      <c r="AS48" s="18">
        <f t="shared" si="53"/>
        <v>0.362627267</v>
      </c>
      <c r="AT48" s="18">
        <f t="shared" si="53"/>
        <v>0.3498708272</v>
      </c>
      <c r="AU48" s="18">
        <f t="shared" si="53"/>
        <v>0.2368920793</v>
      </c>
      <c r="AV48" s="18">
        <f t="shared" si="53"/>
        <v>0.2169175544</v>
      </c>
      <c r="AW48" s="18">
        <f t="shared" si="53"/>
        <v>0.285531324</v>
      </c>
      <c r="AX48" s="18">
        <f t="shared" si="53"/>
        <v>0.2808338059</v>
      </c>
      <c r="AY48" s="18">
        <f t="shared" si="53"/>
        <v>0.1885364077</v>
      </c>
      <c r="AZ48" s="18">
        <f t="shared" si="53"/>
        <v>0.1358174574</v>
      </c>
      <c r="BA48" s="18">
        <f t="shared" si="53"/>
        <v>0.1536297942</v>
      </c>
      <c r="BB48" s="18">
        <f t="shared" si="53"/>
        <v>0.1502497257</v>
      </c>
      <c r="BC48" s="18">
        <f t="shared" si="53"/>
        <v>0.1262064494</v>
      </c>
      <c r="BD48" s="18">
        <f t="shared" si="53"/>
        <v>0.1293911523</v>
      </c>
      <c r="BE48" s="18">
        <f t="shared" si="53"/>
        <v>0.1300826834</v>
      </c>
      <c r="BF48" s="18">
        <f t="shared" si="53"/>
        <v>0.1281719391</v>
      </c>
      <c r="BG48" s="18">
        <f t="shared" si="53"/>
        <v>0.1231635019</v>
      </c>
      <c r="BH48" s="18">
        <f t="shared" si="53"/>
        <v>0.125836905</v>
      </c>
      <c r="BI48" s="18">
        <f t="shared" si="53"/>
        <v>0.1264913105</v>
      </c>
      <c r="BJ48" s="18">
        <f t="shared" si="53"/>
        <v>0.124853392</v>
      </c>
      <c r="BK48" s="18">
        <f t="shared" si="53"/>
        <v>0.1204607338</v>
      </c>
      <c r="BL48" s="18">
        <f t="shared" si="53"/>
        <v>0.1228551924</v>
      </c>
      <c r="BM48" s="18">
        <f t="shared" si="53"/>
        <v>0.1234652359</v>
      </c>
      <c r="BN48" s="18">
        <f t="shared" si="53"/>
        <v>0.122047749</v>
      </c>
      <c r="BO48" s="18">
        <f t="shared" si="53"/>
        <v>0.1181636226</v>
      </c>
      <c r="BP48" s="18">
        <f t="shared" si="53"/>
        <v>0.1203271792</v>
      </c>
      <c r="BQ48" s="18">
        <f t="shared" si="53"/>
        <v>0.1208953156</v>
      </c>
      <c r="BR48" s="18">
        <f t="shared" si="53"/>
        <v>0.1218885759</v>
      </c>
      <c r="BS48" s="18">
        <f t="shared" si="53"/>
        <v>0.1199792207</v>
      </c>
      <c r="BT48" s="18">
        <f t="shared" si="53"/>
        <v>0.1242680894</v>
      </c>
      <c r="BU48" s="18">
        <f t="shared" si="53"/>
        <v>0.1271742888</v>
      </c>
      <c r="BV48" s="18">
        <f t="shared" si="53"/>
        <v>0.1253876223</v>
      </c>
      <c r="BW48" s="18">
        <f t="shared" si="53"/>
        <v>0.1210584279</v>
      </c>
      <c r="BX48" s="6" t="s">
        <v>35</v>
      </c>
      <c r="BZ48" s="18">
        <f t="shared" ref="BZ48:CP48" si="54">BZ47/BY47-1</f>
        <v>-1.695722794</v>
      </c>
      <c r="CA48" s="18">
        <f t="shared" si="54"/>
        <v>-3.10077821</v>
      </c>
      <c r="CB48" s="18">
        <f t="shared" si="54"/>
        <v>-0.7132802371</v>
      </c>
      <c r="CC48" s="18">
        <f t="shared" si="54"/>
        <v>-5.683139535</v>
      </c>
      <c r="CD48" s="18">
        <f t="shared" si="54"/>
        <v>3.47851576</v>
      </c>
      <c r="CE48" s="18">
        <f t="shared" si="54"/>
        <v>-0.6137770659</v>
      </c>
      <c r="CF48" s="18">
        <f t="shared" si="54"/>
        <v>0.6848757925</v>
      </c>
      <c r="CG48" s="18">
        <f t="shared" si="54"/>
        <v>-0.03209331792</v>
      </c>
      <c r="CH48" s="18">
        <f t="shared" si="54"/>
        <v>1.108270045</v>
      </c>
      <c r="CI48" s="18">
        <f t="shared" si="54"/>
        <v>0.3069203535</v>
      </c>
      <c r="CJ48" s="18">
        <f t="shared" si="54"/>
        <v>0.2385142866</v>
      </c>
      <c r="CK48" s="18">
        <f t="shared" si="54"/>
        <v>0.1406181605</v>
      </c>
      <c r="CL48" s="18">
        <f t="shared" si="54"/>
        <v>0.127462653</v>
      </c>
      <c r="CM48" s="18">
        <f t="shared" si="54"/>
        <v>0.1242084305</v>
      </c>
      <c r="CN48" s="18">
        <f t="shared" si="54"/>
        <v>0.1214602844</v>
      </c>
      <c r="CO48" s="18">
        <f t="shared" si="54"/>
        <v>0.1207447959</v>
      </c>
      <c r="CP48" s="18">
        <f t="shared" si="54"/>
        <v>0.1243094713</v>
      </c>
      <c r="CQ48" s="6" t="s">
        <v>35</v>
      </c>
    </row>
    <row r="49" ht="14.25" customHeight="1">
      <c r="A49" s="9"/>
      <c r="B49" s="10" t="s">
        <v>61</v>
      </c>
      <c r="C49" s="9" t="s">
        <v>42</v>
      </c>
      <c r="D49" s="18">
        <f t="shared" ref="D49:BW49" si="55">D47/D$11</f>
        <v>0.04344832862</v>
      </c>
      <c r="E49" s="18">
        <f t="shared" si="55"/>
        <v>-0.02504349758</v>
      </c>
      <c r="F49" s="18">
        <f t="shared" si="55"/>
        <v>-0.06617371618</v>
      </c>
      <c r="G49" s="18">
        <f t="shared" si="55"/>
        <v>-0.06169949844</v>
      </c>
      <c r="H49" s="18">
        <f t="shared" si="55"/>
        <v>0.009461732548</v>
      </c>
      <c r="I49" s="18">
        <f t="shared" si="55"/>
        <v>0.001873680715</v>
      </c>
      <c r="J49" s="18">
        <f t="shared" si="55"/>
        <v>-0.01492163637</v>
      </c>
      <c r="K49" s="18">
        <f t="shared" si="55"/>
        <v>0.06273941402</v>
      </c>
      <c r="L49" s="18">
        <f t="shared" si="55"/>
        <v>-0.006093146718</v>
      </c>
      <c r="M49" s="18">
        <f t="shared" si="55"/>
        <v>-0.02148048802</v>
      </c>
      <c r="N49" s="18">
        <f t="shared" si="55"/>
        <v>-0.03446620134</v>
      </c>
      <c r="O49" s="18">
        <f t="shared" si="55"/>
        <v>-0.06103222283</v>
      </c>
      <c r="P49" s="18">
        <f t="shared" si="55"/>
        <v>0.04597733472</v>
      </c>
      <c r="Q49" s="18">
        <f t="shared" si="55"/>
        <v>-0.3767069273</v>
      </c>
      <c r="R49" s="18">
        <f t="shared" si="55"/>
        <v>-0.08991920039</v>
      </c>
      <c r="S49" s="18">
        <f t="shared" si="55"/>
        <v>0.2455418784</v>
      </c>
      <c r="T49" s="18">
        <f t="shared" si="55"/>
        <v>-0.01314363662</v>
      </c>
      <c r="U49" s="18">
        <f t="shared" si="55"/>
        <v>0.05562928159</v>
      </c>
      <c r="V49" s="18">
        <f t="shared" si="55"/>
        <v>0.03059482291</v>
      </c>
      <c r="W49" s="18">
        <f t="shared" si="55"/>
        <v>0.04636558996</v>
      </c>
      <c r="X49" s="18">
        <f t="shared" si="55"/>
        <v>0.04045232349</v>
      </c>
      <c r="Y49" s="18">
        <f t="shared" si="55"/>
        <v>0.05950788836</v>
      </c>
      <c r="Z49" s="18">
        <f t="shared" si="55"/>
        <v>0.1429851556</v>
      </c>
      <c r="AA49" s="18">
        <f t="shared" si="55"/>
        <v>0.05034882538</v>
      </c>
      <c r="AB49" s="18">
        <f t="shared" si="55"/>
        <v>0.03674428629</v>
      </c>
      <c r="AC49" s="18">
        <f t="shared" si="55"/>
        <v>0.03524144069</v>
      </c>
      <c r="AD49" s="18">
        <f t="shared" si="55"/>
        <v>0.008696557442</v>
      </c>
      <c r="AE49" s="18">
        <f t="shared" si="55"/>
        <v>0.01745218011</v>
      </c>
      <c r="AF49" s="18">
        <f t="shared" si="55"/>
        <v>0.01309886292</v>
      </c>
      <c r="AG49" s="18">
        <f t="shared" si="55"/>
        <v>-0.01313456104</v>
      </c>
      <c r="AH49" s="18">
        <f t="shared" si="55"/>
        <v>0.05288583973</v>
      </c>
      <c r="AI49" s="18">
        <f t="shared" si="55"/>
        <v>0.05086813457</v>
      </c>
      <c r="AJ49" s="18">
        <f t="shared" si="55"/>
        <v>0.01089075357</v>
      </c>
      <c r="AK49" s="18">
        <f t="shared" si="55"/>
        <v>0.008332630646</v>
      </c>
      <c r="AL49" s="18">
        <f t="shared" si="55"/>
        <v>0.04663667236</v>
      </c>
      <c r="AM49" s="18">
        <f t="shared" si="55"/>
        <v>0.04195757232</v>
      </c>
      <c r="AN49" s="18">
        <f t="shared" si="55"/>
        <v>0.05370808413</v>
      </c>
      <c r="AO49" s="18">
        <f t="shared" si="55"/>
        <v>0.04741666566</v>
      </c>
      <c r="AP49" s="18">
        <f t="shared" si="55"/>
        <v>0.04886988529</v>
      </c>
      <c r="AQ49" s="18">
        <f t="shared" si="55"/>
        <v>0.06071093337</v>
      </c>
      <c r="AR49" s="18">
        <f t="shared" si="55"/>
        <v>0.06362556136</v>
      </c>
      <c r="AS49" s="18">
        <f t="shared" si="55"/>
        <v>0.05869795193</v>
      </c>
      <c r="AT49" s="18">
        <f t="shared" si="55"/>
        <v>0.0602272539</v>
      </c>
      <c r="AU49" s="18">
        <f t="shared" si="55"/>
        <v>0.06872645199</v>
      </c>
      <c r="AV49" s="18">
        <f t="shared" si="55"/>
        <v>0.07086274783</v>
      </c>
      <c r="AW49" s="18">
        <f t="shared" si="55"/>
        <v>0.06906067477</v>
      </c>
      <c r="AX49" s="18">
        <f t="shared" si="55"/>
        <v>0.07060103198</v>
      </c>
      <c r="AY49" s="18">
        <f t="shared" si="55"/>
        <v>0.07475867914</v>
      </c>
      <c r="AZ49" s="18">
        <f t="shared" si="55"/>
        <v>0.07366339557</v>
      </c>
      <c r="BA49" s="18">
        <f t="shared" si="55"/>
        <v>0.07291594137</v>
      </c>
      <c r="BB49" s="18">
        <f t="shared" si="55"/>
        <v>0.0743238834</v>
      </c>
      <c r="BC49" s="18">
        <f t="shared" si="55"/>
        <v>0.07705571159</v>
      </c>
      <c r="BD49" s="18">
        <f t="shared" si="55"/>
        <v>0.07614148121</v>
      </c>
      <c r="BE49" s="18">
        <f t="shared" si="55"/>
        <v>0.07541503084</v>
      </c>
      <c r="BF49" s="18">
        <f t="shared" si="55"/>
        <v>0.07674125417</v>
      </c>
      <c r="BG49" s="18">
        <f t="shared" si="55"/>
        <v>0.07920872516</v>
      </c>
      <c r="BH49" s="18">
        <f t="shared" si="55"/>
        <v>0.07845524945</v>
      </c>
      <c r="BI49" s="18">
        <f t="shared" si="55"/>
        <v>0.07775189181</v>
      </c>
      <c r="BJ49" s="18">
        <f t="shared" si="55"/>
        <v>0.07900417104</v>
      </c>
      <c r="BK49" s="18">
        <f t="shared" si="55"/>
        <v>0.08122596333</v>
      </c>
      <c r="BL49" s="18">
        <f t="shared" si="55"/>
        <v>0.08062522972</v>
      </c>
      <c r="BM49" s="18">
        <f t="shared" si="55"/>
        <v>0.07994582875</v>
      </c>
      <c r="BN49" s="18">
        <f t="shared" si="55"/>
        <v>0.08113095072</v>
      </c>
      <c r="BO49" s="18">
        <f t="shared" si="55"/>
        <v>0.08312380899</v>
      </c>
      <c r="BP49" s="18">
        <f t="shared" si="55"/>
        <v>0.08266868757</v>
      </c>
      <c r="BQ49" s="18">
        <f t="shared" si="55"/>
        <v>0.08201363647</v>
      </c>
      <c r="BR49" s="18">
        <f t="shared" si="55"/>
        <v>0.08330316393</v>
      </c>
      <c r="BS49" s="18">
        <f t="shared" si="55"/>
        <v>0.08520412222</v>
      </c>
      <c r="BT49" s="18">
        <f t="shared" si="55"/>
        <v>0.08506210636</v>
      </c>
      <c r="BU49" s="18">
        <f t="shared" si="55"/>
        <v>0.08460623095</v>
      </c>
      <c r="BV49" s="18">
        <f t="shared" si="55"/>
        <v>0.08580030598</v>
      </c>
      <c r="BW49" s="18">
        <f t="shared" si="55"/>
        <v>0.08742065587</v>
      </c>
      <c r="BX49" s="6" t="s">
        <v>35</v>
      </c>
      <c r="BZ49" s="18">
        <f t="shared" ref="BZ49:CP49" si="56">BZ47/BZ$11</f>
        <v>0.01570727027</v>
      </c>
      <c r="CA49" s="18">
        <f t="shared" si="56"/>
        <v>-0.03097426365</v>
      </c>
      <c r="CB49" s="18">
        <f t="shared" si="56"/>
        <v>-0.01278213804</v>
      </c>
      <c r="CC49" s="18">
        <f t="shared" si="56"/>
        <v>0.03347408811</v>
      </c>
      <c r="CD49" s="18">
        <f t="shared" si="56"/>
        <v>0.0798211173</v>
      </c>
      <c r="CE49" s="18">
        <f t="shared" si="56"/>
        <v>0.02396670521</v>
      </c>
      <c r="CF49" s="18">
        <f t="shared" si="56"/>
        <v>0.0342406366</v>
      </c>
      <c r="CG49" s="18">
        <f t="shared" si="56"/>
        <v>0.02741321232</v>
      </c>
      <c r="CH49" s="18">
        <f t="shared" si="56"/>
        <v>0.05298143261</v>
      </c>
      <c r="CI49" s="18">
        <f t="shared" si="56"/>
        <v>0.06303811413</v>
      </c>
      <c r="CJ49" s="18">
        <f t="shared" si="56"/>
        <v>0.07145447599</v>
      </c>
      <c r="CK49" s="18">
        <f t="shared" si="56"/>
        <v>0.07459245938</v>
      </c>
      <c r="CL49" s="18">
        <f t="shared" si="56"/>
        <v>0.07697014365</v>
      </c>
      <c r="CM49" s="18">
        <f t="shared" si="56"/>
        <v>0.0791943759</v>
      </c>
      <c r="CN49" s="18">
        <f t="shared" si="56"/>
        <v>0.08128369629</v>
      </c>
      <c r="CO49" s="18">
        <f t="shared" si="56"/>
        <v>0.0833749106</v>
      </c>
      <c r="CP49" s="18">
        <f t="shared" si="56"/>
        <v>0.08579193361</v>
      </c>
      <c r="CQ49" s="6" t="s">
        <v>35</v>
      </c>
    </row>
    <row r="50" ht="14.25" customHeight="1">
      <c r="A50" s="9"/>
      <c r="B50" s="20"/>
      <c r="C50" s="1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BX50" s="6" t="s">
        <v>35</v>
      </c>
      <c r="CQ50" s="6" t="s">
        <v>35</v>
      </c>
    </row>
    <row r="51" ht="14.25" customHeight="1">
      <c r="A51" s="9"/>
      <c r="B51" s="35" t="s">
        <v>62</v>
      </c>
      <c r="C51" s="36" t="s">
        <v>39</v>
      </c>
      <c r="D51" s="37">
        <f>(Inputs!F171/1000)+(Inputs!F178/1000)</f>
        <v>-2.305</v>
      </c>
      <c r="E51" s="37">
        <f>(Inputs!G171/1000)+(Inputs!G178/1000)</f>
        <v>-2.3554</v>
      </c>
      <c r="F51" s="37">
        <f>(Inputs!H171/1000)+(Inputs!H178/1000)</f>
        <v>-3.514</v>
      </c>
      <c r="G51" s="37">
        <f>(Inputs!I171/1000)+(Inputs!I178/1000)</f>
        <v>-4.0293</v>
      </c>
      <c r="H51" s="37">
        <f>(Inputs!J171/1000)+(Inputs!J178/1000)</f>
        <v>-4.091</v>
      </c>
      <c r="I51" s="37">
        <f>(Inputs!K171/1000)+(Inputs!K178/1000)</f>
        <v>-4.096</v>
      </c>
      <c r="J51" s="37">
        <f>(Inputs!L171/1000)+(Inputs!L178/1000)</f>
        <v>-4.05266169</v>
      </c>
      <c r="K51" s="37">
        <f>(Inputs!M171/1000)+(Inputs!M178/1000)</f>
        <v>-2.44133831</v>
      </c>
      <c r="L51" s="37">
        <f>(Inputs!N171/1000)+(Inputs!N178/1000)</f>
        <v>-4.69829017</v>
      </c>
      <c r="M51" s="37">
        <f>(Inputs!O171/1000)+(Inputs!O178/1000)</f>
        <v>-4.969</v>
      </c>
      <c r="N51" s="37">
        <f>(Inputs!P171/1000)+(Inputs!P178/1000)</f>
        <v>-5.027448586</v>
      </c>
      <c r="O51" s="37">
        <f>(Inputs!Q171/1000)+(Inputs!Q178/1000)</f>
        <v>-5.010261244</v>
      </c>
      <c r="P51" s="37">
        <f>(Inputs!R171/1000)+(Inputs!R178/1000)</f>
        <v>-5.119</v>
      </c>
      <c r="Q51" s="37">
        <f>(Inputs!S171/1000)+(Inputs!S178/1000)</f>
        <v>-5.26</v>
      </c>
      <c r="R51" s="37">
        <f>(Inputs!T171/1000)+(Inputs!T178/1000)</f>
        <v>-5.819</v>
      </c>
      <c r="S51" s="37">
        <f>(Inputs!U171/1000)+(Inputs!U178/1000)</f>
        <v>-5.445</v>
      </c>
      <c r="T51" s="37">
        <f>(Inputs!V171/1000)+(Inputs!V178/1000)</f>
        <v>-4.908</v>
      </c>
      <c r="U51" s="37">
        <f>(Inputs!W171/1000)+(Inputs!W178/1000)</f>
        <v>-5.442102</v>
      </c>
      <c r="V51" s="37">
        <f>(Inputs!X171/1000)+(Inputs!X178/1000)</f>
        <v>-5.65055722</v>
      </c>
      <c r="W51" s="37">
        <f>(Inputs!Y171/1000)+(Inputs!Y178/1000)</f>
        <v>-4.90959833</v>
      </c>
      <c r="X51" s="37">
        <f>(Inputs!Z171/1000)+(Inputs!Z178/1000)</f>
        <v>-5.94535473</v>
      </c>
      <c r="Y51" s="37">
        <f>(Inputs!AA171/1000)+(Inputs!AA178/1000)</f>
        <v>-6.443</v>
      </c>
      <c r="Z51" s="37">
        <f>(Inputs!AB171/1000)+(Inputs!AB178/1000)</f>
        <v>-6.943</v>
      </c>
      <c r="AA51" s="37">
        <f>(Inputs!AC171/1000)+(Inputs!AC178/1000)</f>
        <v>-6.96552699</v>
      </c>
      <c r="AB51" s="37">
        <f>(Inputs!AD171/1000)+(Inputs!AD178/1000)</f>
        <v>-8.72583693</v>
      </c>
      <c r="AC51" s="37">
        <f>(Inputs!AE171/1000)+(Inputs!AE178/1000)</f>
        <v>-9.35409883</v>
      </c>
      <c r="AD51" s="37">
        <f>(Inputs!AF171/1000)+(Inputs!AF178/1000)</f>
        <v>-8.999</v>
      </c>
      <c r="AE51" s="37">
        <f>(Inputs!AG171/1000)+(Inputs!AG178/1000)</f>
        <v>-11.982</v>
      </c>
      <c r="AF51" s="37">
        <f>(Inputs!AH171/1000)+(Inputs!AH178/1000)</f>
        <v>-10.818</v>
      </c>
      <c r="AG51" s="37">
        <f>(Inputs!AI171/1000)+(Inputs!AI178/1000)</f>
        <v>-11.104</v>
      </c>
      <c r="AH51" s="37">
        <f>(Inputs!AJ171/1000)+(Inputs!AJ178/1000)</f>
        <v>-13.078</v>
      </c>
      <c r="AI51" s="37">
        <f>(Inputs!AK171/1000)+(Inputs!AK178/1000)</f>
        <v>-14.13633251</v>
      </c>
      <c r="AJ51" s="37">
        <f>(Inputs!AL171/1000)+(Inputs!AL178/1000)</f>
        <v>-18.464</v>
      </c>
      <c r="AK51" s="37">
        <f t="shared" ref="AK51:BW51" si="57">-AK212</f>
        <v>-18.06306</v>
      </c>
      <c r="AL51" s="37">
        <f t="shared" si="57"/>
        <v>-18.3268482</v>
      </c>
      <c r="AM51" s="37">
        <f t="shared" si="57"/>
        <v>-18.39091562</v>
      </c>
      <c r="AN51" s="37">
        <f t="shared" si="57"/>
        <v>-18.6464884</v>
      </c>
      <c r="AO51" s="37">
        <f t="shared" si="57"/>
        <v>-18.75618647</v>
      </c>
      <c r="AP51" s="37">
        <f t="shared" si="57"/>
        <v>-18.69210675</v>
      </c>
      <c r="AQ51" s="37">
        <f t="shared" si="57"/>
        <v>-19.24453318</v>
      </c>
      <c r="AR51" s="37">
        <f t="shared" si="57"/>
        <v>-19.53554171</v>
      </c>
      <c r="AS51" s="37">
        <f t="shared" si="57"/>
        <v>-19.68665842</v>
      </c>
      <c r="AT51" s="37">
        <f t="shared" si="57"/>
        <v>-19.80818785</v>
      </c>
      <c r="AU51" s="37">
        <f t="shared" si="57"/>
        <v>-20.02744002</v>
      </c>
      <c r="AV51" s="37">
        <f t="shared" si="57"/>
        <v>-20.35960055</v>
      </c>
      <c r="AW51" s="37">
        <f t="shared" si="57"/>
        <v>-20.6223012</v>
      </c>
      <c r="AX51" s="37">
        <f t="shared" si="57"/>
        <v>-20.90661911</v>
      </c>
      <c r="AY51" s="37">
        <f t="shared" si="57"/>
        <v>-21.16639983</v>
      </c>
      <c r="AZ51" s="37">
        <f t="shared" si="57"/>
        <v>-21.53866428</v>
      </c>
      <c r="BA51" s="37">
        <f t="shared" si="57"/>
        <v>-21.8333967</v>
      </c>
      <c r="BB51" s="37">
        <f t="shared" si="57"/>
        <v>-22.12417571</v>
      </c>
      <c r="BC51" s="37">
        <f t="shared" si="57"/>
        <v>-22.44608772</v>
      </c>
      <c r="BD51" s="37">
        <f t="shared" si="57"/>
        <v>-22.89485146</v>
      </c>
      <c r="BE51" s="37">
        <f t="shared" si="57"/>
        <v>-23.25044239</v>
      </c>
      <c r="BF51" s="37">
        <f t="shared" si="57"/>
        <v>-23.58305622</v>
      </c>
      <c r="BG51" s="37">
        <f t="shared" si="57"/>
        <v>-23.94905269</v>
      </c>
      <c r="BH51" s="37">
        <f t="shared" si="57"/>
        <v>-24.45465673</v>
      </c>
      <c r="BI51" s="37">
        <f t="shared" si="57"/>
        <v>-24.85986692</v>
      </c>
      <c r="BJ51" s="37">
        <f t="shared" si="57"/>
        <v>-25.24605917</v>
      </c>
      <c r="BK51" s="37">
        <f t="shared" si="57"/>
        <v>-25.66643528</v>
      </c>
      <c r="BL51" s="37">
        <f t="shared" si="57"/>
        <v>-26.23605073</v>
      </c>
      <c r="BM51" s="37">
        <f t="shared" si="57"/>
        <v>-26.69347137</v>
      </c>
      <c r="BN51" s="37">
        <f t="shared" si="57"/>
        <v>-27.13025028</v>
      </c>
      <c r="BO51" s="37">
        <f t="shared" si="57"/>
        <v>-27.60464063</v>
      </c>
      <c r="BP51" s="37">
        <f t="shared" si="57"/>
        <v>-28.24222265</v>
      </c>
      <c r="BQ51" s="37">
        <f t="shared" si="57"/>
        <v>-28.51224455</v>
      </c>
      <c r="BR51" s="37">
        <f t="shared" si="57"/>
        <v>-28.76791234</v>
      </c>
      <c r="BS51" s="37">
        <f t="shared" si="57"/>
        <v>-29.06225378</v>
      </c>
      <c r="BT51" s="37">
        <f t="shared" si="57"/>
        <v>-29.50977438</v>
      </c>
      <c r="BU51" s="37">
        <f t="shared" si="57"/>
        <v>-29.8503006</v>
      </c>
      <c r="BV51" s="37">
        <f t="shared" si="57"/>
        <v>-30.1737621</v>
      </c>
      <c r="BW51" s="37">
        <f t="shared" si="57"/>
        <v>-30.53804529</v>
      </c>
      <c r="BX51" s="6" t="s">
        <v>35</v>
      </c>
      <c r="BY51" s="38">
        <f t="shared" ref="BY51:BY52" si="59">SUM(D51:G51)</f>
        <v>-12.2037</v>
      </c>
      <c r="BZ51" s="38">
        <f t="shared" ref="BZ51:BZ52" si="60">SUM(H51:K51)</f>
        <v>-14.681</v>
      </c>
      <c r="CA51" s="38">
        <f t="shared" ref="CA51:CA52" si="61">SUM(L51:O51)</f>
        <v>-19.705</v>
      </c>
      <c r="CB51" s="38">
        <f t="shared" ref="CB51:CB52" si="62">SUM(P51:S51)</f>
        <v>-21.643</v>
      </c>
      <c r="CC51" s="38">
        <f t="shared" ref="CC51:CC52" si="63">SUM(T51:W51)</f>
        <v>-20.91025755</v>
      </c>
      <c r="CD51" s="38">
        <f t="shared" ref="CD51:CD52" si="64">SUM(X51:AA51)</f>
        <v>-26.29688172</v>
      </c>
      <c r="CE51" s="38">
        <f t="shared" ref="CE51:CE52" si="65">SUM(AB51:AE51)</f>
        <v>-39.06093576</v>
      </c>
      <c r="CF51" s="38">
        <f t="shared" ref="CF51:CF52" si="66">SUM(AF51:AI51)</f>
        <v>-49.13633251</v>
      </c>
      <c r="CG51" s="38">
        <f t="shared" ref="CG51:CG52" si="67">SUM(AJ51:AM51)</f>
        <v>-73.24482382</v>
      </c>
      <c r="CH51" s="38">
        <f t="shared" ref="CH51:CH52" si="68">SUM(AN51:AQ51)</f>
        <v>-75.3393148</v>
      </c>
      <c r="CI51" s="38">
        <f t="shared" ref="CI51:CI52" si="69">SUM(AR51:AU51)</f>
        <v>-79.05782801</v>
      </c>
      <c r="CJ51" s="38">
        <f t="shared" ref="CJ51:CJ52" si="70">SUM(AV51:AY51)</f>
        <v>-83.05492069</v>
      </c>
      <c r="CK51" s="38">
        <f t="shared" ref="CK51:CK52" si="71">SUM(AZ51:BC51)</f>
        <v>-87.9423244</v>
      </c>
      <c r="CL51" s="38">
        <f t="shared" ref="CL51:CL52" si="72">SUM(BD51:BG51)</f>
        <v>-93.67740277</v>
      </c>
      <c r="CM51" s="38">
        <f t="shared" ref="CM51:CM52" si="73">SUM(BH51:BK51)</f>
        <v>-100.2270181</v>
      </c>
      <c r="CN51" s="38">
        <f t="shared" ref="CN51:CN52" si="74">SUM(BL51:BO51)</f>
        <v>-107.664413</v>
      </c>
      <c r="CO51" s="38">
        <f t="shared" ref="CO51:CO52" si="75">SUM(BP51:BS51)</f>
        <v>-114.5846333</v>
      </c>
      <c r="CP51" s="38">
        <f t="shared" ref="CP51:CP52" si="76">SUM(BT51:BW51)</f>
        <v>-120.0718824</v>
      </c>
      <c r="CQ51" s="6" t="s">
        <v>35</v>
      </c>
    </row>
    <row r="52" ht="14.25" customHeight="1">
      <c r="A52" s="9"/>
      <c r="B52" s="39" t="s">
        <v>63</v>
      </c>
      <c r="C52" s="9" t="s">
        <v>39</v>
      </c>
      <c r="D52" s="40">
        <f t="shared" ref="D52:BW52" si="58">D29-D51</f>
        <v>6.271</v>
      </c>
      <c r="E52" s="40">
        <f t="shared" si="58"/>
        <v>1.4474</v>
      </c>
      <c r="F52" s="40">
        <f t="shared" si="58"/>
        <v>-0.467</v>
      </c>
      <c r="G52" s="40">
        <f t="shared" si="58"/>
        <v>-2.5747</v>
      </c>
      <c r="H52" s="40">
        <f t="shared" si="58"/>
        <v>6.924</v>
      </c>
      <c r="I52" s="40">
        <f t="shared" si="58"/>
        <v>7.418</v>
      </c>
      <c r="J52" s="40">
        <f t="shared" si="58"/>
        <v>7.26066169</v>
      </c>
      <c r="K52" s="40">
        <f t="shared" si="58"/>
        <v>8.17433831</v>
      </c>
      <c r="L52" s="40">
        <f t="shared" si="58"/>
        <v>5.62529017</v>
      </c>
      <c r="M52" s="40">
        <f t="shared" si="58"/>
        <v>7.044</v>
      </c>
      <c r="N52" s="40">
        <f t="shared" si="58"/>
        <v>4.289448586</v>
      </c>
      <c r="O52" s="40">
        <f t="shared" si="58"/>
        <v>10.50626124</v>
      </c>
      <c r="P52" s="40">
        <f t="shared" si="58"/>
        <v>15.895</v>
      </c>
      <c r="Q52" s="40">
        <f t="shared" si="58"/>
        <v>-9.787</v>
      </c>
      <c r="R52" s="40">
        <f t="shared" si="58"/>
        <v>2.805</v>
      </c>
      <c r="S52" s="40">
        <f t="shared" si="58"/>
        <v>8.098</v>
      </c>
      <c r="T52" s="40">
        <f t="shared" si="58"/>
        <v>5.312</v>
      </c>
      <c r="U52" s="40">
        <f t="shared" si="58"/>
        <v>14.237102</v>
      </c>
      <c r="V52" s="40">
        <f t="shared" si="58"/>
        <v>12.76555722</v>
      </c>
      <c r="W52" s="40">
        <f t="shared" si="58"/>
        <v>9.08759833</v>
      </c>
      <c r="X52" s="40">
        <f t="shared" si="58"/>
        <v>16.49735473</v>
      </c>
      <c r="Y52" s="40">
        <f t="shared" si="58"/>
        <v>25.876</v>
      </c>
      <c r="Z52" s="40">
        <f t="shared" si="58"/>
        <v>57.437</v>
      </c>
      <c r="AA52" s="40">
        <f t="shared" si="58"/>
        <v>30.94452699</v>
      </c>
      <c r="AB52" s="40">
        <f t="shared" si="58"/>
        <v>32.78083693</v>
      </c>
      <c r="AC52" s="40">
        <f t="shared" si="58"/>
        <v>33.64309883</v>
      </c>
      <c r="AD52" s="40">
        <f t="shared" si="58"/>
        <v>29.615</v>
      </c>
      <c r="AE52" s="40">
        <f t="shared" si="58"/>
        <v>30.42</v>
      </c>
      <c r="AF52" s="40">
        <f t="shared" si="58"/>
        <v>24.805</v>
      </c>
      <c r="AG52" s="40">
        <f t="shared" si="58"/>
        <v>17.692</v>
      </c>
      <c r="AH52" s="40">
        <f t="shared" si="58"/>
        <v>58.135</v>
      </c>
      <c r="AI52" s="40">
        <f t="shared" si="58"/>
        <v>59.98633251</v>
      </c>
      <c r="AJ52" s="40">
        <f t="shared" si="58"/>
        <v>40.109</v>
      </c>
      <c r="AK52" s="40">
        <f t="shared" si="58"/>
        <v>42.22163581</v>
      </c>
      <c r="AL52" s="40">
        <f t="shared" si="58"/>
        <v>57.02834143</v>
      </c>
      <c r="AM52" s="40">
        <f t="shared" si="58"/>
        <v>54.58756974</v>
      </c>
      <c r="AN52" s="40">
        <f t="shared" si="58"/>
        <v>59.08466716</v>
      </c>
      <c r="AO52" s="40">
        <f t="shared" si="58"/>
        <v>59.07654844</v>
      </c>
      <c r="AP52" s="40">
        <f t="shared" si="58"/>
        <v>63.79254629</v>
      </c>
      <c r="AQ52" s="40">
        <f t="shared" si="58"/>
        <v>68.9479115</v>
      </c>
      <c r="AR52" s="40">
        <f t="shared" si="58"/>
        <v>67.38810071</v>
      </c>
      <c r="AS52" s="40">
        <f t="shared" si="58"/>
        <v>66.96411746</v>
      </c>
      <c r="AT52" s="40">
        <f t="shared" si="58"/>
        <v>72.21522152</v>
      </c>
      <c r="AU52" s="40">
        <f t="shared" si="58"/>
        <v>77.48141338</v>
      </c>
      <c r="AV52" s="40">
        <f t="shared" si="58"/>
        <v>74.97131099</v>
      </c>
      <c r="AW52" s="40">
        <f t="shared" si="58"/>
        <v>74.5959202</v>
      </c>
      <c r="AX52" s="40">
        <f t="shared" si="58"/>
        <v>80.57500524</v>
      </c>
      <c r="AY52" s="40">
        <f t="shared" si="58"/>
        <v>86.6591569</v>
      </c>
      <c r="AZ52" s="40">
        <f t="shared" si="58"/>
        <v>81.20928741</v>
      </c>
      <c r="BA52" s="40">
        <f t="shared" si="58"/>
        <v>80.80681928</v>
      </c>
      <c r="BB52" s="40">
        <f t="shared" si="58"/>
        <v>87.31989568</v>
      </c>
      <c r="BC52" s="40">
        <f t="shared" si="58"/>
        <v>94.00571463</v>
      </c>
      <c r="BD52" s="40">
        <f t="shared" si="58"/>
        <v>88.09301565</v>
      </c>
      <c r="BE52" s="40">
        <f t="shared" si="58"/>
        <v>87.68682142</v>
      </c>
      <c r="BF52" s="40">
        <f t="shared" si="58"/>
        <v>94.81813024</v>
      </c>
      <c r="BG52" s="40">
        <f t="shared" si="58"/>
        <v>102.1375491</v>
      </c>
      <c r="BH52" s="40">
        <f t="shared" si="58"/>
        <v>95.69240138</v>
      </c>
      <c r="BI52" s="40">
        <f t="shared" si="58"/>
        <v>95.26525905</v>
      </c>
      <c r="BJ52" s="40">
        <f t="shared" si="58"/>
        <v>103.079938</v>
      </c>
      <c r="BK52" s="40">
        <f t="shared" si="58"/>
        <v>111.0978614</v>
      </c>
      <c r="BL52" s="40">
        <f t="shared" si="58"/>
        <v>104.0728476</v>
      </c>
      <c r="BM52" s="40">
        <f t="shared" si="58"/>
        <v>103.6208114</v>
      </c>
      <c r="BN52" s="40">
        <f t="shared" si="58"/>
        <v>112.1742091</v>
      </c>
      <c r="BO52" s="40">
        <f t="shared" si="58"/>
        <v>120.9499394</v>
      </c>
      <c r="BP52" s="40">
        <f t="shared" si="58"/>
        <v>113.2893698</v>
      </c>
      <c r="BQ52" s="40">
        <f t="shared" si="58"/>
        <v>112.565688</v>
      </c>
      <c r="BR52" s="40">
        <f t="shared" si="58"/>
        <v>121.6898511</v>
      </c>
      <c r="BS52" s="40">
        <f t="shared" si="58"/>
        <v>131.0545206</v>
      </c>
      <c r="BT52" s="40">
        <f t="shared" si="58"/>
        <v>122.4351968</v>
      </c>
      <c r="BU52" s="40">
        <f t="shared" si="58"/>
        <v>121.6899684</v>
      </c>
      <c r="BV52" s="40">
        <f t="shared" si="58"/>
        <v>131.7034513</v>
      </c>
      <c r="BW52" s="40">
        <f t="shared" si="58"/>
        <v>141.9782853</v>
      </c>
      <c r="BX52" s="6" t="s">
        <v>35</v>
      </c>
      <c r="BY52" s="41">
        <f t="shared" si="59"/>
        <v>4.6767</v>
      </c>
      <c r="BZ52" s="41">
        <f t="shared" si="60"/>
        <v>29.777</v>
      </c>
      <c r="CA52" s="41">
        <f t="shared" si="61"/>
        <v>27.465</v>
      </c>
      <c r="CB52" s="41">
        <f t="shared" si="62"/>
        <v>17.011</v>
      </c>
      <c r="CC52" s="41">
        <f t="shared" si="63"/>
        <v>41.40225755</v>
      </c>
      <c r="CD52" s="41">
        <f t="shared" si="64"/>
        <v>130.7548817</v>
      </c>
      <c r="CE52" s="41">
        <f t="shared" si="65"/>
        <v>126.4589358</v>
      </c>
      <c r="CF52" s="41">
        <f t="shared" si="66"/>
        <v>160.6183325</v>
      </c>
      <c r="CG52" s="41">
        <f t="shared" si="67"/>
        <v>193.946547</v>
      </c>
      <c r="CH52" s="41">
        <f t="shared" si="68"/>
        <v>250.9016734</v>
      </c>
      <c r="CI52" s="41">
        <f t="shared" si="69"/>
        <v>284.0488531</v>
      </c>
      <c r="CJ52" s="41">
        <f t="shared" si="70"/>
        <v>316.8013933</v>
      </c>
      <c r="CK52" s="41">
        <f t="shared" si="71"/>
        <v>343.341717</v>
      </c>
      <c r="CL52" s="41">
        <f t="shared" si="72"/>
        <v>372.7355165</v>
      </c>
      <c r="CM52" s="41">
        <f t="shared" si="73"/>
        <v>405.1354598</v>
      </c>
      <c r="CN52" s="41">
        <f t="shared" si="74"/>
        <v>440.8178075</v>
      </c>
      <c r="CO52" s="41">
        <f t="shared" si="75"/>
        <v>478.5994295</v>
      </c>
      <c r="CP52" s="41">
        <f t="shared" si="76"/>
        <v>517.8069018</v>
      </c>
      <c r="CQ52" s="6" t="s">
        <v>35</v>
      </c>
    </row>
    <row r="53" ht="14.25" customHeight="1">
      <c r="A53" s="9"/>
      <c r="B53" s="42" t="s">
        <v>40</v>
      </c>
      <c r="C53" s="9" t="s">
        <v>42</v>
      </c>
      <c r="D53" s="18"/>
      <c r="E53" s="18"/>
      <c r="F53" s="18"/>
      <c r="G53" s="18"/>
      <c r="H53" s="18">
        <f t="shared" ref="H53:BW53" si="77">H52/D52-1</f>
        <v>0.1041301228</v>
      </c>
      <c r="I53" s="18">
        <f t="shared" si="77"/>
        <v>4.125051817</v>
      </c>
      <c r="J53" s="18">
        <f t="shared" si="77"/>
        <v>-16.54745544</v>
      </c>
      <c r="K53" s="18">
        <f t="shared" si="77"/>
        <v>-4.174870202</v>
      </c>
      <c r="L53" s="18">
        <f t="shared" si="77"/>
        <v>-0.187566411</v>
      </c>
      <c r="M53" s="18">
        <f t="shared" si="77"/>
        <v>-0.0504179024</v>
      </c>
      <c r="N53" s="18">
        <f t="shared" si="77"/>
        <v>-0.4092207062</v>
      </c>
      <c r="O53" s="18">
        <f t="shared" si="77"/>
        <v>0.285273602</v>
      </c>
      <c r="P53" s="18">
        <f t="shared" si="77"/>
        <v>1.825632015</v>
      </c>
      <c r="Q53" s="18">
        <f t="shared" si="77"/>
        <v>-2.389409426</v>
      </c>
      <c r="R53" s="18">
        <f t="shared" si="77"/>
        <v>-0.3460697934</v>
      </c>
      <c r="S53" s="18">
        <f t="shared" si="77"/>
        <v>-0.2292215269</v>
      </c>
      <c r="T53" s="18">
        <f t="shared" si="77"/>
        <v>-0.6658068575</v>
      </c>
      <c r="U53" s="18">
        <f t="shared" si="77"/>
        <v>-2.454695208</v>
      </c>
      <c r="V53" s="18">
        <f t="shared" si="77"/>
        <v>3.551000791</v>
      </c>
      <c r="W53" s="18">
        <f t="shared" si="77"/>
        <v>0.1222028069</v>
      </c>
      <c r="X53" s="18">
        <f t="shared" si="77"/>
        <v>2.105676719</v>
      </c>
      <c r="Y53" s="18">
        <f t="shared" si="77"/>
        <v>0.8175047141</v>
      </c>
      <c r="Z53" s="18">
        <f t="shared" si="77"/>
        <v>3.499372727</v>
      </c>
      <c r="AA53" s="18">
        <f t="shared" si="77"/>
        <v>2.405138065</v>
      </c>
      <c r="AB53" s="18">
        <f t="shared" si="77"/>
        <v>0.9870359501</v>
      </c>
      <c r="AC53" s="18">
        <f t="shared" si="77"/>
        <v>0.3001661319</v>
      </c>
      <c r="AD53" s="18">
        <f t="shared" si="77"/>
        <v>-0.4843915943</v>
      </c>
      <c r="AE53" s="18">
        <f t="shared" si="77"/>
        <v>-0.01695055769</v>
      </c>
      <c r="AF53" s="18">
        <f t="shared" si="77"/>
        <v>-0.2433079103</v>
      </c>
      <c r="AG53" s="18">
        <f t="shared" si="77"/>
        <v>-0.4741269201</v>
      </c>
      <c r="AH53" s="18">
        <f t="shared" si="77"/>
        <v>0.9630254938</v>
      </c>
      <c r="AI53" s="18">
        <f t="shared" si="77"/>
        <v>0.9719372949</v>
      </c>
      <c r="AJ53" s="18">
        <f t="shared" si="77"/>
        <v>0.6169723846</v>
      </c>
      <c r="AK53" s="18">
        <f t="shared" si="77"/>
        <v>1.386481789</v>
      </c>
      <c r="AL53" s="18">
        <f t="shared" si="77"/>
        <v>-0.01903601229</v>
      </c>
      <c r="AM53" s="18">
        <f t="shared" si="77"/>
        <v>-0.08999988071</v>
      </c>
      <c r="AN53" s="18">
        <f t="shared" si="77"/>
        <v>0.4731024747</v>
      </c>
      <c r="AO53" s="18">
        <f t="shared" si="77"/>
        <v>0.3992008434</v>
      </c>
      <c r="AP53" s="18">
        <f t="shared" si="77"/>
        <v>0.1186112851</v>
      </c>
      <c r="AQ53" s="18">
        <f t="shared" si="77"/>
        <v>0.263069813</v>
      </c>
      <c r="AR53" s="18">
        <f t="shared" si="77"/>
        <v>0.1405344898</v>
      </c>
      <c r="AS53" s="18">
        <f t="shared" si="77"/>
        <v>0.1335143848</v>
      </c>
      <c r="AT53" s="18">
        <f t="shared" si="77"/>
        <v>0.1320322784</v>
      </c>
      <c r="AU53" s="18">
        <f t="shared" si="77"/>
        <v>0.123767373</v>
      </c>
      <c r="AV53" s="18">
        <f t="shared" si="77"/>
        <v>0.1125304052</v>
      </c>
      <c r="AW53" s="18">
        <f t="shared" si="77"/>
        <v>0.1139685406</v>
      </c>
      <c r="AX53" s="18">
        <f t="shared" si="77"/>
        <v>0.1157620725</v>
      </c>
      <c r="AY53" s="18">
        <f t="shared" si="77"/>
        <v>0.1184509047</v>
      </c>
      <c r="AZ53" s="18">
        <f t="shared" si="77"/>
        <v>0.08320484636</v>
      </c>
      <c r="BA53" s="18">
        <f t="shared" si="77"/>
        <v>0.08326057326</v>
      </c>
      <c r="BB53" s="18">
        <f t="shared" si="77"/>
        <v>0.08370946326</v>
      </c>
      <c r="BC53" s="18">
        <f t="shared" si="77"/>
        <v>0.08477531975</v>
      </c>
      <c r="BD53" s="18">
        <f t="shared" si="77"/>
        <v>0.08476528315</v>
      </c>
      <c r="BE53" s="18">
        <f t="shared" si="77"/>
        <v>0.08514135561</v>
      </c>
      <c r="BF53" s="18">
        <f t="shared" si="77"/>
        <v>0.08587086029</v>
      </c>
      <c r="BG53" s="18">
        <f t="shared" si="77"/>
        <v>0.08650361896</v>
      </c>
      <c r="BH53" s="18">
        <f t="shared" si="77"/>
        <v>0.08626547379</v>
      </c>
      <c r="BI53" s="18">
        <f t="shared" si="77"/>
        <v>0.08642618706</v>
      </c>
      <c r="BJ53" s="18">
        <f t="shared" si="77"/>
        <v>0.08713320723</v>
      </c>
      <c r="BK53" s="18">
        <f t="shared" si="77"/>
        <v>0.08772789537</v>
      </c>
      <c r="BL53" s="18">
        <f t="shared" si="77"/>
        <v>0.08757692476</v>
      </c>
      <c r="BM53" s="18">
        <f t="shared" si="77"/>
        <v>0.08770828368</v>
      </c>
      <c r="BN53" s="18">
        <f t="shared" si="77"/>
        <v>0.08822542193</v>
      </c>
      <c r="BO53" s="18">
        <f t="shared" si="77"/>
        <v>0.08867927735</v>
      </c>
      <c r="BP53" s="18">
        <f t="shared" si="77"/>
        <v>0.08855837389</v>
      </c>
      <c r="BQ53" s="18">
        <f t="shared" si="77"/>
        <v>0.0863231668</v>
      </c>
      <c r="BR53" s="18">
        <f t="shared" si="77"/>
        <v>0.08482914315</v>
      </c>
      <c r="BS53" s="18">
        <f t="shared" si="77"/>
        <v>0.08354349952</v>
      </c>
      <c r="BT53" s="18">
        <f t="shared" si="77"/>
        <v>0.08072979025</v>
      </c>
      <c r="BU53" s="18">
        <f t="shared" si="77"/>
        <v>0.08105738598</v>
      </c>
      <c r="BV53" s="18">
        <f t="shared" si="77"/>
        <v>0.08228788274</v>
      </c>
      <c r="BW53" s="18">
        <f t="shared" si="77"/>
        <v>0.0833528258</v>
      </c>
      <c r="BX53" s="6" t="s">
        <v>35</v>
      </c>
      <c r="BY53" s="18"/>
      <c r="BZ53" s="18">
        <f t="shared" ref="BZ53:CP53" si="78">BZ52/BY52-1</f>
        <v>5.367096457</v>
      </c>
      <c r="CA53" s="18">
        <f t="shared" si="78"/>
        <v>-0.07764381905</v>
      </c>
      <c r="CB53" s="18">
        <f t="shared" si="78"/>
        <v>-0.3806298926</v>
      </c>
      <c r="CC53" s="18">
        <f t="shared" si="78"/>
        <v>1.433852069</v>
      </c>
      <c r="CD53" s="18">
        <f t="shared" si="78"/>
        <v>2.158158261</v>
      </c>
      <c r="CE53" s="18">
        <f t="shared" si="78"/>
        <v>-0.03285495657</v>
      </c>
      <c r="CF53" s="18">
        <f t="shared" si="78"/>
        <v>0.2701224437</v>
      </c>
      <c r="CG53" s="18">
        <f t="shared" si="78"/>
        <v>0.2074994426</v>
      </c>
      <c r="CH53" s="18">
        <f t="shared" si="78"/>
        <v>0.2936640394</v>
      </c>
      <c r="CI53" s="18">
        <f t="shared" si="78"/>
        <v>0.1321122304</v>
      </c>
      <c r="CJ53" s="18">
        <f t="shared" si="78"/>
        <v>0.1153060113</v>
      </c>
      <c r="CK53" s="18">
        <f t="shared" si="78"/>
        <v>0.08377590575</v>
      </c>
      <c r="CL53" s="18">
        <f t="shared" si="78"/>
        <v>0.08561091765</v>
      </c>
      <c r="CM53" s="18">
        <f t="shared" si="78"/>
        <v>0.08692475481</v>
      </c>
      <c r="CN53" s="18">
        <f t="shared" si="78"/>
        <v>0.08807510382</v>
      </c>
      <c r="CO53" s="18">
        <f t="shared" si="78"/>
        <v>0.08570802118</v>
      </c>
      <c r="CP53" s="18">
        <f t="shared" si="78"/>
        <v>0.08192126837</v>
      </c>
      <c r="CQ53" s="6" t="s">
        <v>35</v>
      </c>
    </row>
    <row r="54" ht="14.25" customHeight="1">
      <c r="A54" s="9"/>
      <c r="B54" s="43" t="s">
        <v>64</v>
      </c>
      <c r="C54" s="15" t="s">
        <v>42</v>
      </c>
      <c r="D54" s="44">
        <f t="shared" ref="D54:BW54" si="79">D52/D$11</f>
        <v>0.1199227415</v>
      </c>
      <c r="E54" s="44">
        <f t="shared" si="79"/>
        <v>0.02679080443</v>
      </c>
      <c r="F54" s="44">
        <f t="shared" si="79"/>
        <v>-0.007605987068</v>
      </c>
      <c r="G54" s="44">
        <f t="shared" si="79"/>
        <v>-0.03743112597</v>
      </c>
      <c r="H54" s="44">
        <f t="shared" si="79"/>
        <v>0.09099032801</v>
      </c>
      <c r="I54" s="44">
        <f t="shared" si="79"/>
        <v>0.08796812371</v>
      </c>
      <c r="J54" s="44">
        <f t="shared" si="79"/>
        <v>0.09089006171</v>
      </c>
      <c r="K54" s="44">
        <f t="shared" si="79"/>
        <v>0.0940324891</v>
      </c>
      <c r="L54" s="44">
        <f t="shared" si="79"/>
        <v>0.06787270958</v>
      </c>
      <c r="M54" s="44">
        <f t="shared" si="79"/>
        <v>0.07618759194</v>
      </c>
      <c r="N54" s="44">
        <f t="shared" si="79"/>
        <v>0.05023479395</v>
      </c>
      <c r="O54" s="44">
        <f t="shared" si="79"/>
        <v>0.119541476</v>
      </c>
      <c r="P54" s="44">
        <f t="shared" si="79"/>
        <v>0.2234892157</v>
      </c>
      <c r="Q54" s="44">
        <f t="shared" si="79"/>
        <v>-0.2031087868</v>
      </c>
      <c r="R54" s="44">
        <f t="shared" si="79"/>
        <v>0.05116092436</v>
      </c>
      <c r="S54" s="44">
        <f t="shared" si="79"/>
        <v>0.1189517906</v>
      </c>
      <c r="T54" s="44">
        <f t="shared" si="79"/>
        <v>0.06771968741</v>
      </c>
      <c r="U54" s="44">
        <f t="shared" si="79"/>
        <v>0.1276595352</v>
      </c>
      <c r="V54" s="44">
        <f t="shared" si="79"/>
        <v>0.1032954146</v>
      </c>
      <c r="W54" s="44">
        <f t="shared" si="79"/>
        <v>0.07598771107</v>
      </c>
      <c r="X54" s="44">
        <f t="shared" si="79"/>
        <v>0.1276015928</v>
      </c>
      <c r="Y54" s="44">
        <f t="shared" si="79"/>
        <v>0.1406747779</v>
      </c>
      <c r="Z54" s="44">
        <f t="shared" si="79"/>
        <v>0.2257397647</v>
      </c>
      <c r="AA54" s="44">
        <f t="shared" si="79"/>
        <v>0.1258803091</v>
      </c>
      <c r="AB54" s="44">
        <f t="shared" si="79"/>
        <v>0.1358723584</v>
      </c>
      <c r="AC54" s="44">
        <f t="shared" si="79"/>
        <v>0.1324875709</v>
      </c>
      <c r="AD54" s="44">
        <f t="shared" si="79"/>
        <v>0.1101105381</v>
      </c>
      <c r="AE54" s="44">
        <f t="shared" si="79"/>
        <v>0.1077741207</v>
      </c>
      <c r="AF54" s="44">
        <f t="shared" si="79"/>
        <v>0.114609275</v>
      </c>
      <c r="AG54" s="44">
        <f t="shared" si="79"/>
        <v>0.08619312092</v>
      </c>
      <c r="AH54" s="44">
        <f t="shared" si="79"/>
        <v>0.1480482637</v>
      </c>
      <c r="AI54" s="44">
        <f t="shared" si="79"/>
        <v>0.1429290756</v>
      </c>
      <c r="AJ54" s="44">
        <f t="shared" si="79"/>
        <v>0.1087421546</v>
      </c>
      <c r="AK54" s="44">
        <f t="shared" si="79"/>
        <v>0.1190910165</v>
      </c>
      <c r="AL54" s="44">
        <f t="shared" si="79"/>
        <v>0.1587729106</v>
      </c>
      <c r="AM54" s="44">
        <f t="shared" si="79"/>
        <v>0.1333414855</v>
      </c>
      <c r="AN54" s="44">
        <f t="shared" si="79"/>
        <v>0.153486821</v>
      </c>
      <c r="AO54" s="44">
        <f t="shared" si="79"/>
        <v>0.1533503067</v>
      </c>
      <c r="AP54" s="44">
        <f t="shared" si="79"/>
        <v>0.1586130711</v>
      </c>
      <c r="AQ54" s="44">
        <f t="shared" si="79"/>
        <v>0.1515019315</v>
      </c>
      <c r="AR54" s="44">
        <f t="shared" si="79"/>
        <v>0.1582521822</v>
      </c>
      <c r="AS54" s="44">
        <f t="shared" si="79"/>
        <v>0.1579161498</v>
      </c>
      <c r="AT54" s="44">
        <f t="shared" si="79"/>
        <v>0.1639295758</v>
      </c>
      <c r="AU54" s="44">
        <f t="shared" si="79"/>
        <v>0.1558187781</v>
      </c>
      <c r="AV54" s="44">
        <f t="shared" si="79"/>
        <v>0.1611338568</v>
      </c>
      <c r="AW54" s="44">
        <f t="shared" si="79"/>
        <v>0.1609995562</v>
      </c>
      <c r="AX54" s="44">
        <f t="shared" si="79"/>
        <v>0.1673994841</v>
      </c>
      <c r="AY54" s="44">
        <f t="shared" si="79"/>
        <v>0.1595004547</v>
      </c>
      <c r="AZ54" s="44">
        <f t="shared" si="79"/>
        <v>0.1597432818</v>
      </c>
      <c r="BA54" s="44">
        <f t="shared" si="79"/>
        <v>0.1596183515</v>
      </c>
      <c r="BB54" s="44">
        <f t="shared" si="79"/>
        <v>0.1660321481</v>
      </c>
      <c r="BC54" s="44">
        <f t="shared" si="79"/>
        <v>0.1583532302</v>
      </c>
      <c r="BD54" s="44">
        <f t="shared" si="79"/>
        <v>0.1585928435</v>
      </c>
      <c r="BE54" s="44">
        <f t="shared" si="79"/>
        <v>0.1585237518</v>
      </c>
      <c r="BF54" s="44">
        <f t="shared" si="79"/>
        <v>0.1650044176</v>
      </c>
      <c r="BG54" s="44">
        <f t="shared" si="79"/>
        <v>0.1574647362</v>
      </c>
      <c r="BH54" s="44">
        <f t="shared" si="79"/>
        <v>0.1576684389</v>
      </c>
      <c r="BI54" s="44">
        <f t="shared" si="79"/>
        <v>0.1576230669</v>
      </c>
      <c r="BJ54" s="44">
        <f t="shared" si="79"/>
        <v>0.1641736823</v>
      </c>
      <c r="BK54" s="44">
        <f t="shared" si="79"/>
        <v>0.1567576637</v>
      </c>
      <c r="BL54" s="44">
        <f t="shared" si="79"/>
        <v>0.1569386664</v>
      </c>
      <c r="BM54" s="44">
        <f t="shared" si="79"/>
        <v>0.1569124542</v>
      </c>
      <c r="BN54" s="44">
        <f t="shared" si="79"/>
        <v>0.16351124</v>
      </c>
      <c r="BO54" s="44">
        <f t="shared" si="79"/>
        <v>0.1561902587</v>
      </c>
      <c r="BP54" s="44">
        <f t="shared" si="79"/>
        <v>0.1563532405</v>
      </c>
      <c r="BQ54" s="44">
        <f t="shared" si="79"/>
        <v>0.1560061295</v>
      </c>
      <c r="BR54" s="44">
        <f t="shared" si="79"/>
        <v>0.1623432222</v>
      </c>
      <c r="BS54" s="44">
        <f t="shared" si="79"/>
        <v>0.1548907566</v>
      </c>
      <c r="BT54" s="44">
        <f t="shared" si="79"/>
        <v>0.1546497476</v>
      </c>
      <c r="BU54" s="44">
        <f t="shared" si="79"/>
        <v>0.1543531925</v>
      </c>
      <c r="BV54" s="44">
        <f t="shared" si="79"/>
        <v>0.1608059683</v>
      </c>
      <c r="BW54" s="44">
        <f t="shared" si="79"/>
        <v>0.1535750366</v>
      </c>
      <c r="BX54" s="6" t="s">
        <v>35</v>
      </c>
      <c r="BY54" s="44">
        <f t="shared" ref="BY54:CP54" si="80">BY52/BY$11</f>
        <v>0.0197744628</v>
      </c>
      <c r="BZ54" s="44">
        <f t="shared" si="80"/>
        <v>0.09099521142</v>
      </c>
      <c r="CA54" s="44">
        <f t="shared" si="80"/>
        <v>0.07878386286</v>
      </c>
      <c r="CB54" s="44">
        <f t="shared" si="80"/>
        <v>0.07023157304</v>
      </c>
      <c r="CC54" s="44">
        <f t="shared" si="80"/>
        <v>0.09558609679</v>
      </c>
      <c r="CD54" s="44">
        <f t="shared" si="80"/>
        <v>0.1607324476</v>
      </c>
      <c r="CE54" s="44">
        <f t="shared" si="80"/>
        <v>0.1208502745</v>
      </c>
      <c r="CF54" s="44">
        <f t="shared" si="80"/>
        <v>0.1301543949</v>
      </c>
      <c r="CG54" s="44">
        <f t="shared" si="80"/>
        <v>0.1299961192</v>
      </c>
      <c r="CH54" s="44">
        <f t="shared" si="80"/>
        <v>0.1541662906</v>
      </c>
      <c r="CI54" s="44">
        <f t="shared" si="80"/>
        <v>0.1588946587</v>
      </c>
      <c r="CJ54" s="44">
        <f t="shared" si="80"/>
        <v>0.1621916706</v>
      </c>
      <c r="CK54" s="44">
        <f t="shared" si="80"/>
        <v>0.1608767354</v>
      </c>
      <c r="CL54" s="44">
        <f t="shared" si="80"/>
        <v>0.1598426432</v>
      </c>
      <c r="CM54" s="44">
        <f t="shared" si="80"/>
        <v>0.1590074008</v>
      </c>
      <c r="CN54" s="44">
        <f t="shared" si="80"/>
        <v>0.1583439292</v>
      </c>
      <c r="CO54" s="44">
        <f t="shared" si="80"/>
        <v>0.1573401898</v>
      </c>
      <c r="CP54" s="44">
        <f t="shared" si="80"/>
        <v>0.1557975177</v>
      </c>
      <c r="CQ54" s="6" t="s">
        <v>35</v>
      </c>
    </row>
    <row r="55" ht="14.25" customHeight="1">
      <c r="A55" s="9"/>
      <c r="B55" s="10"/>
      <c r="C55" s="9"/>
      <c r="AF55" s="45"/>
      <c r="AG55" s="46"/>
      <c r="BX55" s="6" t="s">
        <v>35</v>
      </c>
      <c r="CQ55" s="6" t="s">
        <v>35</v>
      </c>
    </row>
    <row r="56" ht="14.25" customHeight="1">
      <c r="A56" s="11" t="s">
        <v>36</v>
      </c>
      <c r="B56" s="2" t="s">
        <v>65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6" t="s">
        <v>35</v>
      </c>
      <c r="CG56" s="47"/>
      <c r="CQ56" s="6" t="s">
        <v>35</v>
      </c>
    </row>
    <row r="57" ht="14.25" customHeight="1">
      <c r="AH57" s="48"/>
      <c r="AI57" s="48"/>
      <c r="AJ57" s="48"/>
      <c r="AK57" s="48"/>
      <c r="BX57" s="6" t="s">
        <v>35</v>
      </c>
      <c r="CQ57" s="6" t="s">
        <v>35</v>
      </c>
    </row>
    <row r="58" ht="14.25" customHeight="1">
      <c r="B58" s="49" t="s">
        <v>66</v>
      </c>
      <c r="C58" s="33" t="s">
        <v>39</v>
      </c>
      <c r="D58" s="50">
        <f t="shared" ref="D58:BW58" si="81">+D60+D67</f>
        <v>117.04</v>
      </c>
      <c r="E58" s="50">
        <f t="shared" si="81"/>
        <v>140.695</v>
      </c>
      <c r="F58" s="50">
        <f t="shared" si="81"/>
        <v>173.054</v>
      </c>
      <c r="G58" s="50">
        <f t="shared" si="81"/>
        <v>182.406</v>
      </c>
      <c r="H58" s="50">
        <f t="shared" si="81"/>
        <v>192.752</v>
      </c>
      <c r="I58" s="50">
        <f t="shared" si="81"/>
        <v>200.024</v>
      </c>
      <c r="J58" s="50">
        <f t="shared" si="81"/>
        <v>198.706</v>
      </c>
      <c r="K58" s="50">
        <f t="shared" si="81"/>
        <v>207.986</v>
      </c>
      <c r="L58" s="50">
        <f t="shared" si="81"/>
        <v>224.864</v>
      </c>
      <c r="M58" s="50">
        <f t="shared" si="81"/>
        <v>242.316</v>
      </c>
      <c r="N58" s="50">
        <f t="shared" si="81"/>
        <v>239.903</v>
      </c>
      <c r="O58" s="50">
        <f t="shared" si="81"/>
        <v>239.541</v>
      </c>
      <c r="P58" s="50">
        <f t="shared" si="81"/>
        <v>366.641</v>
      </c>
      <c r="Q58" s="50">
        <f t="shared" si="81"/>
        <v>345.657</v>
      </c>
      <c r="R58" s="50">
        <f t="shared" si="81"/>
        <v>328.5</v>
      </c>
      <c r="S58" s="50">
        <f t="shared" si="81"/>
        <v>336.63</v>
      </c>
      <c r="T58" s="50">
        <f t="shared" si="81"/>
        <v>337.385</v>
      </c>
      <c r="U58" s="50">
        <f t="shared" si="81"/>
        <v>351.897</v>
      </c>
      <c r="V58" s="50">
        <f t="shared" si="81"/>
        <v>358.453</v>
      </c>
      <c r="W58" s="50">
        <f t="shared" si="81"/>
        <v>374.377</v>
      </c>
      <c r="X58" s="50">
        <f t="shared" si="81"/>
        <v>410.44</v>
      </c>
      <c r="Y58" s="50">
        <f t="shared" si="81"/>
        <v>475.0586197</v>
      </c>
      <c r="Z58" s="50">
        <f t="shared" si="81"/>
        <v>598.258</v>
      </c>
      <c r="AA58" s="50">
        <f t="shared" si="81"/>
        <v>619.9391883</v>
      </c>
      <c r="AB58" s="50">
        <f t="shared" si="81"/>
        <v>762.751</v>
      </c>
      <c r="AC58" s="50">
        <f t="shared" si="81"/>
        <v>726.263</v>
      </c>
      <c r="AD58" s="50">
        <f t="shared" si="81"/>
        <v>724.061</v>
      </c>
      <c r="AE58" s="50">
        <f t="shared" si="81"/>
        <v>837.004</v>
      </c>
      <c r="AF58" s="50">
        <f t="shared" si="81"/>
        <v>872.2006894</v>
      </c>
      <c r="AG58" s="50">
        <f t="shared" si="81"/>
        <v>914.999</v>
      </c>
      <c r="AH58" s="50">
        <f t="shared" si="81"/>
        <v>1207.376</v>
      </c>
      <c r="AI58" s="50">
        <f t="shared" si="81"/>
        <v>1243.6</v>
      </c>
      <c r="AJ58" s="50">
        <f t="shared" si="81"/>
        <v>1413.379</v>
      </c>
      <c r="AK58" s="50">
        <f t="shared" si="81"/>
        <v>1456.464983</v>
      </c>
      <c r="AL58" s="50">
        <f t="shared" si="81"/>
        <v>1470.261796</v>
      </c>
      <c r="AM58" s="50">
        <f t="shared" si="81"/>
        <v>1457.896857</v>
      </c>
      <c r="AN58" s="50">
        <f t="shared" si="81"/>
        <v>1460.810207</v>
      </c>
      <c r="AO58" s="50">
        <f t="shared" si="81"/>
        <v>1528.103908</v>
      </c>
      <c r="AP58" s="50">
        <f t="shared" si="81"/>
        <v>1551.002573</v>
      </c>
      <c r="AQ58" s="50">
        <f t="shared" si="81"/>
        <v>1541.949795</v>
      </c>
      <c r="AR58" s="50">
        <f t="shared" si="81"/>
        <v>1547.652078</v>
      </c>
      <c r="AS58" s="50">
        <f t="shared" si="81"/>
        <v>1624.39398</v>
      </c>
      <c r="AT58" s="50">
        <f t="shared" si="81"/>
        <v>1652.009931</v>
      </c>
      <c r="AU58" s="50">
        <f t="shared" si="81"/>
        <v>1644.671001</v>
      </c>
      <c r="AV58" s="50">
        <f t="shared" si="81"/>
        <v>1653.765684</v>
      </c>
      <c r="AW58" s="50">
        <f t="shared" si="81"/>
        <v>1741.217532</v>
      </c>
      <c r="AX58" s="50">
        <f t="shared" si="81"/>
        <v>1775.136601</v>
      </c>
      <c r="AY58" s="50">
        <f t="shared" si="81"/>
        <v>1769.57589</v>
      </c>
      <c r="AZ58" s="50">
        <f t="shared" si="81"/>
        <v>1780.580884</v>
      </c>
      <c r="BA58" s="50">
        <f t="shared" si="81"/>
        <v>1877.597562</v>
      </c>
      <c r="BB58" s="50">
        <f t="shared" si="81"/>
        <v>1916.127143</v>
      </c>
      <c r="BC58" s="50">
        <f t="shared" si="81"/>
        <v>1911.074037</v>
      </c>
      <c r="BD58" s="50">
        <f t="shared" si="81"/>
        <v>1924.13084</v>
      </c>
      <c r="BE58" s="50">
        <f t="shared" si="81"/>
        <v>2031.171353</v>
      </c>
      <c r="BF58" s="50">
        <f t="shared" si="81"/>
        <v>2074.31193</v>
      </c>
      <c r="BG58" s="50">
        <f t="shared" si="81"/>
        <v>2069.838127</v>
      </c>
      <c r="BH58" s="50">
        <f t="shared" si="81"/>
        <v>2085.157645</v>
      </c>
      <c r="BI58" s="50">
        <f t="shared" si="81"/>
        <v>2203.173046</v>
      </c>
      <c r="BJ58" s="50">
        <f t="shared" si="81"/>
        <v>2251.375531</v>
      </c>
      <c r="BK58" s="50">
        <f t="shared" si="81"/>
        <v>2247.55955</v>
      </c>
      <c r="BL58" s="50">
        <f t="shared" si="81"/>
        <v>2265.377435</v>
      </c>
      <c r="BM58" s="50">
        <f t="shared" si="81"/>
        <v>2395.411714</v>
      </c>
      <c r="BN58" s="50">
        <f t="shared" si="81"/>
        <v>2449.17368</v>
      </c>
      <c r="BO58" s="50">
        <f t="shared" si="81"/>
        <v>2446.106442</v>
      </c>
      <c r="BP58" s="50">
        <f t="shared" si="81"/>
        <v>2466.685349</v>
      </c>
      <c r="BQ58" s="50">
        <f t="shared" si="81"/>
        <v>2609.884265</v>
      </c>
      <c r="BR58" s="50">
        <f t="shared" si="81"/>
        <v>2669.84762</v>
      </c>
      <c r="BS58" s="50">
        <f t="shared" si="81"/>
        <v>2667.816381</v>
      </c>
      <c r="BT58" s="50">
        <f t="shared" si="81"/>
        <v>2691.722739</v>
      </c>
      <c r="BU58" s="50">
        <f t="shared" si="81"/>
        <v>2849.719748</v>
      </c>
      <c r="BV58" s="50">
        <f t="shared" si="81"/>
        <v>2916.77167</v>
      </c>
      <c r="BW58" s="50">
        <f t="shared" si="81"/>
        <v>2916.089138</v>
      </c>
      <c r="BX58" s="6" t="s">
        <v>35</v>
      </c>
      <c r="BY58" s="50">
        <f>G58</f>
        <v>182.406</v>
      </c>
      <c r="BZ58" s="50">
        <f>K58</f>
        <v>207.986</v>
      </c>
      <c r="CA58" s="50">
        <f>O58</f>
        <v>239.541</v>
      </c>
      <c r="CB58" s="50">
        <f>S58</f>
        <v>336.63</v>
      </c>
      <c r="CC58" s="50">
        <f>W58</f>
        <v>374.377</v>
      </c>
      <c r="CD58" s="50">
        <f>AA58</f>
        <v>619.9391883</v>
      </c>
      <c r="CE58" s="50">
        <f>AE58</f>
        <v>837.004</v>
      </c>
      <c r="CF58" s="50">
        <f>AI58</f>
        <v>1243.6</v>
      </c>
      <c r="CG58" s="50">
        <f>AM58</f>
        <v>1457.896857</v>
      </c>
      <c r="CH58" s="50">
        <f>AQ58</f>
        <v>1541.949795</v>
      </c>
      <c r="CI58" s="50">
        <f>AU58</f>
        <v>1644.671001</v>
      </c>
      <c r="CJ58" s="50">
        <f>AY58</f>
        <v>1769.57589</v>
      </c>
      <c r="CK58" s="50">
        <f>BC58</f>
        <v>1911.074037</v>
      </c>
      <c r="CL58" s="50">
        <f>BG58</f>
        <v>2069.838127</v>
      </c>
      <c r="CM58" s="50">
        <f>BK58</f>
        <v>2247.55955</v>
      </c>
      <c r="CN58" s="50">
        <f>BO58</f>
        <v>2446.106442</v>
      </c>
      <c r="CO58" s="50">
        <f>BS58</f>
        <v>2667.816381</v>
      </c>
      <c r="CP58" s="50">
        <f>BW58</f>
        <v>2916.089138</v>
      </c>
      <c r="CQ58" s="6" t="s">
        <v>35</v>
      </c>
      <c r="CR58" s="48"/>
    </row>
    <row r="59" ht="14.25" customHeight="1">
      <c r="AK59" s="48"/>
      <c r="AL59" s="48"/>
      <c r="AM59" s="48"/>
      <c r="AN59" s="48"/>
      <c r="BX59" s="6" t="s">
        <v>35</v>
      </c>
      <c r="CQ59" s="6" t="s">
        <v>35</v>
      </c>
    </row>
    <row r="60" ht="14.25" customHeight="1">
      <c r="B60" s="51" t="s">
        <v>67</v>
      </c>
      <c r="C60" s="15" t="s">
        <v>39</v>
      </c>
      <c r="D60" s="52">
        <f t="shared" ref="D60:BW60" si="82">+D61+D62+D63+D64+D65</f>
        <v>65.748</v>
      </c>
      <c r="E60" s="52">
        <f t="shared" si="82"/>
        <v>89.061</v>
      </c>
      <c r="F60" s="52">
        <f t="shared" si="82"/>
        <v>82.881</v>
      </c>
      <c r="G60" s="52">
        <f t="shared" si="82"/>
        <v>90.691</v>
      </c>
      <c r="H60" s="52">
        <f t="shared" si="82"/>
        <v>99.198</v>
      </c>
      <c r="I60" s="52">
        <f t="shared" si="82"/>
        <v>98.335</v>
      </c>
      <c r="J60" s="52">
        <f t="shared" si="82"/>
        <v>99.755</v>
      </c>
      <c r="K60" s="52">
        <f t="shared" si="82"/>
        <v>105.316</v>
      </c>
      <c r="L60" s="52">
        <f t="shared" si="82"/>
        <v>109.486</v>
      </c>
      <c r="M60" s="52">
        <f t="shared" si="82"/>
        <v>124.944</v>
      </c>
      <c r="N60" s="52">
        <f t="shared" si="82"/>
        <v>119.048</v>
      </c>
      <c r="O60" s="52">
        <f t="shared" si="82"/>
        <v>127.862</v>
      </c>
      <c r="P60" s="52">
        <f t="shared" si="82"/>
        <v>262.314</v>
      </c>
      <c r="Q60" s="52">
        <f t="shared" si="82"/>
        <v>246.837</v>
      </c>
      <c r="R60" s="52">
        <f t="shared" si="82"/>
        <v>222.451</v>
      </c>
      <c r="S60" s="52">
        <f t="shared" si="82"/>
        <v>204.847</v>
      </c>
      <c r="T60" s="52">
        <f t="shared" si="82"/>
        <v>188.441</v>
      </c>
      <c r="U60" s="52">
        <f t="shared" si="82"/>
        <v>203.175</v>
      </c>
      <c r="V60" s="52">
        <f t="shared" si="82"/>
        <v>202.167</v>
      </c>
      <c r="W60" s="52">
        <f t="shared" si="82"/>
        <v>212.104</v>
      </c>
      <c r="X60" s="52">
        <f t="shared" si="82"/>
        <v>212.805</v>
      </c>
      <c r="Y60" s="52">
        <f t="shared" si="82"/>
        <v>258.358</v>
      </c>
      <c r="Z60" s="52">
        <f t="shared" si="82"/>
        <v>353.857</v>
      </c>
      <c r="AA60" s="52">
        <f t="shared" si="82"/>
        <v>353.888</v>
      </c>
      <c r="AB60" s="52">
        <f t="shared" si="82"/>
        <v>453.844</v>
      </c>
      <c r="AC60" s="52">
        <f t="shared" si="82"/>
        <v>393.916</v>
      </c>
      <c r="AD60" s="52">
        <f t="shared" si="82"/>
        <v>367.81</v>
      </c>
      <c r="AE60" s="52">
        <f t="shared" si="82"/>
        <v>445.227</v>
      </c>
      <c r="AF60" s="52">
        <f t="shared" si="82"/>
        <v>461.958</v>
      </c>
      <c r="AG60" s="52">
        <f t="shared" si="82"/>
        <v>463.501</v>
      </c>
      <c r="AH60" s="52">
        <f t="shared" si="82"/>
        <v>617.973</v>
      </c>
      <c r="AI60" s="52">
        <f t="shared" si="82"/>
        <v>609.764</v>
      </c>
      <c r="AJ60" s="52">
        <f t="shared" si="82"/>
        <v>795.229</v>
      </c>
      <c r="AK60" s="52">
        <f t="shared" si="82"/>
        <v>832.892023</v>
      </c>
      <c r="AL60" s="52">
        <f t="shared" si="82"/>
        <v>829.9655928</v>
      </c>
      <c r="AM60" s="52">
        <f t="shared" si="82"/>
        <v>808.8720587</v>
      </c>
      <c r="AN60" s="52">
        <f t="shared" si="82"/>
        <v>807.3349307</v>
      </c>
      <c r="AO60" s="52">
        <f t="shared" si="82"/>
        <v>870.2704664</v>
      </c>
      <c r="AP60" s="52">
        <f t="shared" si="82"/>
        <v>887.7298551</v>
      </c>
      <c r="AQ60" s="52">
        <f t="shared" si="82"/>
        <v>870.6158543</v>
      </c>
      <c r="AR60" s="52">
        <f t="shared" si="82"/>
        <v>870.3040406</v>
      </c>
      <c r="AS60" s="52">
        <f t="shared" si="82"/>
        <v>941.2896873</v>
      </c>
      <c r="AT60" s="52">
        <f t="shared" si="82"/>
        <v>962.2822725</v>
      </c>
      <c r="AU60" s="52">
        <f t="shared" si="82"/>
        <v>945.1355802</v>
      </c>
      <c r="AV60" s="52">
        <f t="shared" si="82"/>
        <v>946.6734553</v>
      </c>
      <c r="AW60" s="52">
        <f t="shared" si="82"/>
        <v>1026.947806</v>
      </c>
      <c r="AX60" s="52">
        <f t="shared" si="82"/>
        <v>1052.893475</v>
      </c>
      <c r="AY60" s="52">
        <f t="shared" si="82"/>
        <v>1035.9002</v>
      </c>
      <c r="AZ60" s="52">
        <f t="shared" si="82"/>
        <v>1037.941435</v>
      </c>
      <c r="BA60" s="52">
        <f t="shared" si="82"/>
        <v>1126.416499</v>
      </c>
      <c r="BB60" s="52">
        <f t="shared" si="82"/>
        <v>1155.514958</v>
      </c>
      <c r="BC60" s="52">
        <f t="shared" si="82"/>
        <v>1137.289198</v>
      </c>
      <c r="BD60" s="52">
        <f t="shared" si="82"/>
        <v>1139.912861</v>
      </c>
      <c r="BE60" s="52">
        <f t="shared" si="82"/>
        <v>1237.015041</v>
      </c>
      <c r="BF60" s="52">
        <f t="shared" si="82"/>
        <v>1269.260276</v>
      </c>
      <c r="BG60" s="52">
        <f t="shared" si="82"/>
        <v>1249.817271</v>
      </c>
      <c r="BH60" s="52">
        <f t="shared" si="82"/>
        <v>1253.176141</v>
      </c>
      <c r="BI60" s="52">
        <f t="shared" si="82"/>
        <v>1359.788218</v>
      </c>
      <c r="BJ60" s="52">
        <f t="shared" si="82"/>
        <v>1395.564486</v>
      </c>
      <c r="BK60" s="52">
        <f t="shared" si="82"/>
        <v>1374.891522</v>
      </c>
      <c r="BL60" s="52">
        <f t="shared" si="82"/>
        <v>1379.156851</v>
      </c>
      <c r="BM60" s="52">
        <f t="shared" si="82"/>
        <v>1496.262197</v>
      </c>
      <c r="BN60" s="52">
        <f t="shared" si="82"/>
        <v>1535.992395</v>
      </c>
      <c r="BO60" s="52">
        <f t="shared" si="82"/>
        <v>1514.067257</v>
      </c>
      <c r="BP60" s="52">
        <f t="shared" si="82"/>
        <v>1526.659726</v>
      </c>
      <c r="BQ60" s="52">
        <f t="shared" si="82"/>
        <v>1662.293558</v>
      </c>
      <c r="BR60" s="52">
        <f t="shared" si="82"/>
        <v>1713.545634</v>
      </c>
      <c r="BS60" s="52">
        <f t="shared" si="82"/>
        <v>1698.271181</v>
      </c>
      <c r="BT60" s="52">
        <f t="shared" si="82"/>
        <v>1712.102639</v>
      </c>
      <c r="BU60" s="52">
        <f t="shared" si="82"/>
        <v>1860.530625</v>
      </c>
      <c r="BV60" s="52">
        <f t="shared" si="82"/>
        <v>1916.805264</v>
      </c>
      <c r="BW60" s="52">
        <f t="shared" si="82"/>
        <v>1900.436374</v>
      </c>
      <c r="BX60" s="6" t="s">
        <v>35</v>
      </c>
      <c r="BY60" s="52">
        <f t="shared" ref="BY60:BY65" si="85">G60</f>
        <v>90.691</v>
      </c>
      <c r="BZ60" s="52">
        <f t="shared" ref="BZ60:BZ65" si="86">K60</f>
        <v>105.316</v>
      </c>
      <c r="CA60" s="52">
        <f t="shared" ref="CA60:CA65" si="87">O60</f>
        <v>127.862</v>
      </c>
      <c r="CB60" s="52">
        <f t="shared" ref="CB60:CB65" si="88">S60</f>
        <v>204.847</v>
      </c>
      <c r="CC60" s="52">
        <f t="shared" ref="CC60:CC65" si="89">W60</f>
        <v>212.104</v>
      </c>
      <c r="CD60" s="52">
        <f t="shared" ref="CD60:CD65" si="90">AA60</f>
        <v>353.888</v>
      </c>
      <c r="CE60" s="52">
        <f t="shared" ref="CE60:CE65" si="91">AE60</f>
        <v>445.227</v>
      </c>
      <c r="CF60" s="52">
        <f t="shared" ref="CF60:CF65" si="92">AI60</f>
        <v>609.764</v>
      </c>
      <c r="CG60" s="52">
        <f t="shared" ref="CG60:CG65" si="93">AM60</f>
        <v>808.8720587</v>
      </c>
      <c r="CH60" s="52">
        <f t="shared" ref="CH60:CH65" si="94">AQ60</f>
        <v>870.6158543</v>
      </c>
      <c r="CI60" s="52">
        <f t="shared" ref="CI60:CI65" si="95">AU60</f>
        <v>945.1355802</v>
      </c>
      <c r="CJ60" s="52">
        <f t="shared" ref="CJ60:CJ65" si="96">AY60</f>
        <v>1035.9002</v>
      </c>
      <c r="CK60" s="52">
        <f t="shared" ref="CK60:CK65" si="97">BC60</f>
        <v>1137.289198</v>
      </c>
      <c r="CL60" s="52">
        <f t="shared" ref="CL60:CL65" si="98">BG60</f>
        <v>1249.817271</v>
      </c>
      <c r="CM60" s="52">
        <f t="shared" ref="CM60:CM65" si="99">BK60</f>
        <v>1374.891522</v>
      </c>
      <c r="CN60" s="52">
        <f t="shared" ref="CN60:CN65" si="100">BO60</f>
        <v>1514.067257</v>
      </c>
      <c r="CO60" s="52">
        <f t="shared" ref="CO60:CO65" si="101">BS60</f>
        <v>1698.271181</v>
      </c>
      <c r="CP60" s="52">
        <f t="shared" ref="CP60:CP65" si="102">BW60</f>
        <v>1900.436374</v>
      </c>
      <c r="CQ60" s="6" t="s">
        <v>35</v>
      </c>
      <c r="CR60" s="48"/>
      <c r="CW60" s="46"/>
      <c r="CX60" s="46">
        <f t="shared" ref="CX60:CY60" si="83">AH60-AG60</f>
        <v>154.472</v>
      </c>
      <c r="CY60" s="46">
        <f t="shared" si="83"/>
        <v>-8.209</v>
      </c>
      <c r="DA60" s="46"/>
    </row>
    <row r="61" ht="14.25" customHeight="1">
      <c r="B61" s="53" t="str">
        <f>Inputs!B6</f>
        <v>Caixa e equivalentes de caixa</v>
      </c>
      <c r="D61" s="54">
        <v>9.843</v>
      </c>
      <c r="E61" s="54">
        <v>36.073</v>
      </c>
      <c r="F61" s="54">
        <v>4.845</v>
      </c>
      <c r="G61" s="54">
        <v>2.508</v>
      </c>
      <c r="H61" s="54">
        <v>2.408</v>
      </c>
      <c r="I61" s="54">
        <f>(Inputs!K6+Inputs!K7+Inputs!K8)/1000</f>
        <v>5.296</v>
      </c>
      <c r="J61" s="54">
        <f>(Inputs!L6+Inputs!L7+Inputs!L8)/1000</f>
        <v>5.107</v>
      </c>
      <c r="K61" s="54">
        <f>-(Inputs!M6+Inputs!M7+Inputs!M8)/1000</f>
        <v>3.428</v>
      </c>
      <c r="L61" s="54">
        <f>(Inputs!N6+Inputs!N7+Inputs!N8)/1000</f>
        <v>5.104</v>
      </c>
      <c r="M61" s="54">
        <f>(Inputs!O6+Inputs!O7+Inputs!O8)/1000</f>
        <v>26.91</v>
      </c>
      <c r="N61" s="54">
        <f>(Inputs!P6+Inputs!P7+Inputs!P8)/1000</f>
        <v>26.669</v>
      </c>
      <c r="O61" s="54">
        <f>(Inputs!Q6+Inputs!Q7+Inputs!Q8)/1000</f>
        <v>44.528</v>
      </c>
      <c r="P61" s="54">
        <f>(Inputs!R6+Inputs!R7+Inputs!R8)/1000</f>
        <v>147.452</v>
      </c>
      <c r="Q61" s="54">
        <f>(Inputs!S6+Inputs!S7+Inputs!S8)/1000</f>
        <v>149.107</v>
      </c>
      <c r="R61" s="54">
        <f>(Inputs!T6+Inputs!T7+Inputs!T8)/1000</f>
        <v>135.441</v>
      </c>
      <c r="S61" s="54">
        <f>(Inputs!U6+Inputs!U7+Inputs!U8)/1000</f>
        <v>110.422</v>
      </c>
      <c r="T61" s="54">
        <f>(Inputs!V6+Inputs!V7+Inputs!V8)/1000</f>
        <v>78.564</v>
      </c>
      <c r="U61" s="54">
        <f>(Inputs!W6+Inputs!W7+Inputs!W8)/1000</f>
        <v>70.557</v>
      </c>
      <c r="V61" s="54">
        <f>(Inputs!X6+Inputs!X7+Inputs!X8)/1000</f>
        <v>71.11</v>
      </c>
      <c r="W61" s="54">
        <f>(Inputs!Y6+Inputs!Y7+Inputs!Y8)/1000</f>
        <v>76.649</v>
      </c>
      <c r="X61" s="54">
        <f>(Inputs!Z6+Inputs!Z7+Inputs!Z8)/1000</f>
        <v>66.407</v>
      </c>
      <c r="Y61" s="54">
        <f>(Inputs!AA6+Inputs!AA7+Inputs!AA8)/1000</f>
        <v>57.448</v>
      </c>
      <c r="Z61" s="54">
        <f>(Inputs!AB6+Inputs!AB7+Inputs!AB8)/1000</f>
        <v>104.02</v>
      </c>
      <c r="AA61" s="54">
        <f>(Inputs!AC6+Inputs!AC7+Inputs!AC8)/1000</f>
        <v>115.887</v>
      </c>
      <c r="AB61" s="54">
        <f>(Inputs!AD6+Inputs!AD7+Inputs!AD8)/1000</f>
        <v>191.237</v>
      </c>
      <c r="AC61" s="54">
        <f>(Inputs!AE6+Inputs!AE7+Inputs!AE8)/1000</f>
        <v>78.864</v>
      </c>
      <c r="AD61" s="54">
        <f>(Inputs!AF6+Inputs!AF7+Inputs!AF8)/1000</f>
        <v>93.009</v>
      </c>
      <c r="AE61" s="54">
        <f>(Inputs!AG6+Inputs!AG7+Inputs!AG8)/1000</f>
        <v>136.902</v>
      </c>
      <c r="AF61" s="54">
        <f>(Inputs!AH6+Inputs!AH7+Inputs!AH8)/1000</f>
        <v>185.841</v>
      </c>
      <c r="AG61" s="54">
        <f>(Inputs!AI6+Inputs!AI7+Inputs!AI8)/1000</f>
        <v>191.546</v>
      </c>
      <c r="AH61" s="54">
        <f>(Inputs!AJ6+Inputs!AJ7+Inputs!AJ8)/1000</f>
        <v>193.115</v>
      </c>
      <c r="AI61" s="54">
        <f>(Inputs!AK6+Inputs!AK7+Inputs!AK8)/1000</f>
        <v>243.739</v>
      </c>
      <c r="AJ61" s="54">
        <f>(Inputs!AL6+Inputs!AL7+Inputs!AL8)/1000</f>
        <v>360.461</v>
      </c>
      <c r="AK61" s="54">
        <f t="shared" ref="AK61:BW61" si="84">AK158</f>
        <v>443.7771534</v>
      </c>
      <c r="AL61" s="54">
        <f t="shared" si="84"/>
        <v>466.4538818</v>
      </c>
      <c r="AM61" s="54">
        <f t="shared" si="84"/>
        <v>451.3483753</v>
      </c>
      <c r="AN61" s="54">
        <f t="shared" si="84"/>
        <v>363.045875</v>
      </c>
      <c r="AO61" s="54">
        <f t="shared" si="84"/>
        <v>457.7082591</v>
      </c>
      <c r="AP61" s="54">
        <f t="shared" si="84"/>
        <v>491.9781107</v>
      </c>
      <c r="AQ61" s="54">
        <f t="shared" si="84"/>
        <v>485.4559179</v>
      </c>
      <c r="AR61" s="54">
        <f t="shared" si="84"/>
        <v>381.0305312</v>
      </c>
      <c r="AS61" s="54">
        <f t="shared" si="84"/>
        <v>489.2525403</v>
      </c>
      <c r="AT61" s="54">
        <f t="shared" si="84"/>
        <v>530.7727589</v>
      </c>
      <c r="AU61" s="54">
        <f t="shared" si="84"/>
        <v>526.2033191</v>
      </c>
      <c r="AV61" s="54">
        <f t="shared" si="84"/>
        <v>413.9711281</v>
      </c>
      <c r="AW61" s="54">
        <f t="shared" si="84"/>
        <v>534.9312023</v>
      </c>
      <c r="AX61" s="54">
        <f t="shared" si="84"/>
        <v>583.3060654</v>
      </c>
      <c r="AY61" s="54">
        <f t="shared" si="84"/>
        <v>580.0551272</v>
      </c>
      <c r="AZ61" s="54">
        <f t="shared" si="84"/>
        <v>457.7872958</v>
      </c>
      <c r="BA61" s="54">
        <f t="shared" si="84"/>
        <v>590.716973</v>
      </c>
      <c r="BB61" s="54">
        <f t="shared" si="84"/>
        <v>644.3223378</v>
      </c>
      <c r="BC61" s="54">
        <f t="shared" si="84"/>
        <v>641.1119243</v>
      </c>
      <c r="BD61" s="54">
        <f t="shared" si="84"/>
        <v>507.9112491</v>
      </c>
      <c r="BE61" s="54">
        <f t="shared" si="84"/>
        <v>653.5860597</v>
      </c>
      <c r="BF61" s="54">
        <f t="shared" si="84"/>
        <v>712.6083785</v>
      </c>
      <c r="BG61" s="54">
        <f t="shared" si="84"/>
        <v>709.5716544</v>
      </c>
      <c r="BH61" s="54">
        <f t="shared" si="84"/>
        <v>564.5242057</v>
      </c>
      <c r="BI61" s="54">
        <f t="shared" si="84"/>
        <v>724.2084011</v>
      </c>
      <c r="BJ61" s="54">
        <f t="shared" si="84"/>
        <v>789.2422262</v>
      </c>
      <c r="BK61" s="54">
        <f t="shared" si="84"/>
        <v>786.4953269</v>
      </c>
      <c r="BL61" s="54">
        <f t="shared" si="84"/>
        <v>628.6068346</v>
      </c>
      <c r="BM61" s="54">
        <f t="shared" si="84"/>
        <v>803.7005929</v>
      </c>
      <c r="BN61" s="54">
        <f t="shared" si="84"/>
        <v>875.3985992</v>
      </c>
      <c r="BO61" s="54">
        <f t="shared" si="84"/>
        <v>873.0600926</v>
      </c>
      <c r="BP61" s="54">
        <f t="shared" si="84"/>
        <v>708.4777488</v>
      </c>
      <c r="BQ61" s="54">
        <f t="shared" si="84"/>
        <v>907.471704</v>
      </c>
      <c r="BR61" s="54">
        <f t="shared" si="84"/>
        <v>993.6529013</v>
      </c>
      <c r="BS61" s="54">
        <f t="shared" si="84"/>
        <v>999.7794711</v>
      </c>
      <c r="BT61" s="54">
        <f t="shared" si="84"/>
        <v>820.0236682</v>
      </c>
      <c r="BU61" s="54">
        <f t="shared" si="84"/>
        <v>1037.681093</v>
      </c>
      <c r="BV61" s="54">
        <f t="shared" si="84"/>
        <v>1132.120483</v>
      </c>
      <c r="BW61" s="54">
        <f t="shared" si="84"/>
        <v>1139.135084</v>
      </c>
      <c r="BX61" s="6" t="s">
        <v>35</v>
      </c>
      <c r="BY61" s="54">
        <f t="shared" si="85"/>
        <v>2.508</v>
      </c>
      <c r="BZ61" s="54">
        <f t="shared" si="86"/>
        <v>3.428</v>
      </c>
      <c r="CA61" s="54">
        <f t="shared" si="87"/>
        <v>44.528</v>
      </c>
      <c r="CB61" s="54">
        <f t="shared" si="88"/>
        <v>110.422</v>
      </c>
      <c r="CC61" s="54">
        <f t="shared" si="89"/>
        <v>76.649</v>
      </c>
      <c r="CD61" s="54">
        <f t="shared" si="90"/>
        <v>115.887</v>
      </c>
      <c r="CE61" s="54">
        <f t="shared" si="91"/>
        <v>136.902</v>
      </c>
      <c r="CF61" s="54">
        <f t="shared" si="92"/>
        <v>243.739</v>
      </c>
      <c r="CG61" s="54">
        <f t="shared" si="93"/>
        <v>451.3483753</v>
      </c>
      <c r="CH61" s="54">
        <f t="shared" si="94"/>
        <v>485.4559179</v>
      </c>
      <c r="CI61" s="54">
        <f t="shared" si="95"/>
        <v>526.2033191</v>
      </c>
      <c r="CJ61" s="54">
        <f t="shared" si="96"/>
        <v>580.0551272</v>
      </c>
      <c r="CK61" s="54">
        <f t="shared" si="97"/>
        <v>641.1119243</v>
      </c>
      <c r="CL61" s="54">
        <f t="shared" si="98"/>
        <v>709.5716544</v>
      </c>
      <c r="CM61" s="54">
        <f t="shared" si="99"/>
        <v>786.4953269</v>
      </c>
      <c r="CN61" s="54">
        <f t="shared" si="100"/>
        <v>873.0600926</v>
      </c>
      <c r="CO61" s="54">
        <f t="shared" si="101"/>
        <v>999.7794711</v>
      </c>
      <c r="CP61" s="54">
        <f t="shared" si="102"/>
        <v>1139.135084</v>
      </c>
      <c r="CQ61" s="6" t="s">
        <v>35</v>
      </c>
      <c r="CR61" s="48"/>
      <c r="CW61" s="46"/>
      <c r="CX61" s="46">
        <f t="shared" ref="CX61:CY61" si="103">AH61-AG61</f>
        <v>1.569</v>
      </c>
      <c r="CY61" s="46">
        <f t="shared" si="103"/>
        <v>50.624</v>
      </c>
      <c r="DA61" s="46"/>
    </row>
    <row r="62" ht="14.25" customHeight="1">
      <c r="B62" s="53" t="str">
        <f>Inputs!B9</f>
        <v>Contas a receber</v>
      </c>
      <c r="D62" s="54">
        <v>49.519</v>
      </c>
      <c r="E62" s="54">
        <v>44.691</v>
      </c>
      <c r="F62" s="54">
        <v>58.978</v>
      </c>
      <c r="G62" s="54">
        <v>67.184</v>
      </c>
      <c r="H62" s="54">
        <v>76.973</v>
      </c>
      <c r="I62" s="54">
        <f>(Inputs!K9+Inputs!K10+Inputs!K11)/1000</f>
        <v>70.422</v>
      </c>
      <c r="J62" s="54">
        <f>(Inputs!L9+Inputs!L10+Inputs!L11)/1000</f>
        <v>66.556</v>
      </c>
      <c r="K62" s="54">
        <f>-(Inputs!M9+Inputs!M10+Inputs!M11)/1000</f>
        <v>69.815</v>
      </c>
      <c r="L62" s="54">
        <f>(Inputs!N9+Inputs!N10+Inputs!N11)/1000</f>
        <v>71.528</v>
      </c>
      <c r="M62" s="54">
        <f>(Inputs!O9+Inputs!O10+Inputs!O11)/1000</f>
        <v>65.509</v>
      </c>
      <c r="N62" s="54">
        <f>(Inputs!P9+Inputs!P10+Inputs!P11)/1000</f>
        <v>60.125</v>
      </c>
      <c r="O62" s="54">
        <f>(Inputs!Q9+Inputs!Q10+Inputs!Q11)/1000</f>
        <v>52.607</v>
      </c>
      <c r="P62" s="54">
        <f>(Inputs!R9+Inputs!R10+Inputs!R11)/1000</f>
        <v>69.492</v>
      </c>
      <c r="Q62" s="54">
        <f>(Inputs!S9+Inputs!S10+Inputs!S11)/1000</f>
        <v>51.624</v>
      </c>
      <c r="R62" s="54">
        <f>(Inputs!T9+Inputs!T10+Inputs!T11)/1000</f>
        <v>54.726</v>
      </c>
      <c r="S62" s="54">
        <f>(Inputs!U9+Inputs!U10+Inputs!U11)/1000</f>
        <v>63.078</v>
      </c>
      <c r="T62" s="54">
        <f>(Inputs!V9+Inputs!V10+Inputs!V11)/1000</f>
        <v>79.141</v>
      </c>
      <c r="U62" s="54">
        <f>(Inputs!W9+Inputs!W10+Inputs!W11)/1000</f>
        <v>103.303</v>
      </c>
      <c r="V62" s="54">
        <f>(Inputs!X9+Inputs!X10+Inputs!X11)/1000</f>
        <v>105.848</v>
      </c>
      <c r="W62" s="54">
        <f>(Inputs!Y9+Inputs!Y10+Inputs!Y11)/1000</f>
        <v>108.811</v>
      </c>
      <c r="X62" s="54">
        <f>(Inputs!Z9+Inputs!Z10+Inputs!Z11)/1000</f>
        <v>122.12</v>
      </c>
      <c r="Y62" s="54">
        <f>(Inputs!AA9+Inputs!AA10+Inputs!AA11)/1000</f>
        <v>159.082</v>
      </c>
      <c r="Z62" s="54">
        <f>(Inputs!AB9+Inputs!AB10+Inputs!AB11)/1000</f>
        <v>205.139</v>
      </c>
      <c r="AA62" s="54">
        <f>(Inputs!AC9+Inputs!AC10+Inputs!AC11)/1000</f>
        <v>205.273</v>
      </c>
      <c r="AB62" s="54">
        <f>(Inputs!AD9+Inputs!AD10+Inputs!AD11)/1000</f>
        <v>226.922</v>
      </c>
      <c r="AC62" s="54">
        <f>(Inputs!AE9+Inputs!AE10+Inputs!AE11)/1000</f>
        <v>271.795</v>
      </c>
      <c r="AD62" s="54">
        <f>(Inputs!AF9+Inputs!AF10+Inputs!AF11)/1000</f>
        <v>232.718</v>
      </c>
      <c r="AE62" s="54">
        <f>(Inputs!AG9+Inputs!AG10+Inputs!AG11)/1000</f>
        <v>276.728</v>
      </c>
      <c r="AF62" s="54">
        <f>(Inputs!AH9+Inputs!AH10+Inputs!AH11)/1000</f>
        <v>239.246</v>
      </c>
      <c r="AG62" s="54">
        <f>(Inputs!AI9+Inputs!AI10+Inputs!AI11)/1000</f>
        <v>223.53</v>
      </c>
      <c r="AH62" s="54">
        <f>(Inputs!AJ9+Inputs!AJ10+Inputs!AJ11)/1000</f>
        <v>356.208</v>
      </c>
      <c r="AI62" s="54">
        <f>(Inputs!AK9+Inputs!AK10+Inputs!AK11)/1000</f>
        <v>319.533</v>
      </c>
      <c r="AJ62" s="54">
        <f>(Inputs!AL9+Inputs!AL10+Inputs!AL11)/1000</f>
        <v>380.24</v>
      </c>
      <c r="AK62" s="54">
        <f t="shared" ref="AK62:BW62" si="104">AK170</f>
        <v>312.2686394</v>
      </c>
      <c r="AL62" s="54">
        <f t="shared" si="104"/>
        <v>314.0157137</v>
      </c>
      <c r="AM62" s="54">
        <f t="shared" si="104"/>
        <v>311.682531</v>
      </c>
      <c r="AN62" s="54">
        <f t="shared" si="104"/>
        <v>388.4047274</v>
      </c>
      <c r="AO62" s="54">
        <f t="shared" si="104"/>
        <v>330.8711853</v>
      </c>
      <c r="AP62" s="54">
        <f t="shared" si="104"/>
        <v>342.8003816</v>
      </c>
      <c r="AQ62" s="54">
        <f t="shared" si="104"/>
        <v>336.5122885</v>
      </c>
      <c r="AR62" s="54">
        <f t="shared" si="104"/>
        <v>429.649503</v>
      </c>
      <c r="AS62" s="54">
        <f t="shared" si="104"/>
        <v>364.2034751</v>
      </c>
      <c r="AT62" s="54">
        <f t="shared" si="104"/>
        <v>375.4756401</v>
      </c>
      <c r="AU62" s="54">
        <f t="shared" si="104"/>
        <v>367.6848387</v>
      </c>
      <c r="AV62" s="54">
        <f t="shared" si="104"/>
        <v>469.4497455</v>
      </c>
      <c r="AW62" s="54">
        <f t="shared" si="104"/>
        <v>397.9411765</v>
      </c>
      <c r="AX62" s="54">
        <f t="shared" si="104"/>
        <v>410.2575295</v>
      </c>
      <c r="AY62" s="54">
        <f t="shared" si="104"/>
        <v>401.7450334</v>
      </c>
      <c r="AZ62" s="54">
        <f t="shared" si="104"/>
        <v>512.936852</v>
      </c>
      <c r="BA62" s="54">
        <f t="shared" si="104"/>
        <v>434.8041432</v>
      </c>
      <c r="BB62" s="54">
        <f t="shared" si="104"/>
        <v>448.2614119</v>
      </c>
      <c r="BC62" s="54">
        <f t="shared" si="104"/>
        <v>438.9603674</v>
      </c>
      <c r="BD62" s="54">
        <f t="shared" si="104"/>
        <v>560.4523523</v>
      </c>
      <c r="BE62" s="54">
        <f t="shared" si="104"/>
        <v>475.0818817</v>
      </c>
      <c r="BF62" s="54">
        <f t="shared" si="104"/>
        <v>489.7857539</v>
      </c>
      <c r="BG62" s="54">
        <f t="shared" si="104"/>
        <v>479.6231145</v>
      </c>
      <c r="BH62" s="54">
        <f t="shared" si="104"/>
        <v>612.3694135</v>
      </c>
      <c r="BI62" s="54">
        <f t="shared" si="104"/>
        <v>519.0907168</v>
      </c>
      <c r="BJ62" s="54">
        <f t="shared" si="104"/>
        <v>535.1566705</v>
      </c>
      <c r="BK62" s="54">
        <f t="shared" si="104"/>
        <v>524.0526231</v>
      </c>
      <c r="BL62" s="54">
        <f t="shared" si="104"/>
        <v>669.0957706</v>
      </c>
      <c r="BM62" s="54">
        <f t="shared" si="104"/>
        <v>567.1762755</v>
      </c>
      <c r="BN62" s="54">
        <f t="shared" si="104"/>
        <v>584.7304862</v>
      </c>
      <c r="BO62" s="54">
        <f t="shared" si="104"/>
        <v>572.5978241</v>
      </c>
      <c r="BP62" s="54">
        <f t="shared" si="104"/>
        <v>731.0769291</v>
      </c>
      <c r="BQ62" s="54">
        <f t="shared" si="104"/>
        <v>619.716202</v>
      </c>
      <c r="BR62" s="54">
        <f t="shared" si="104"/>
        <v>638.8965331</v>
      </c>
      <c r="BS62" s="54">
        <f t="shared" si="104"/>
        <v>625.6399714</v>
      </c>
      <c r="BT62" s="54">
        <f t="shared" si="104"/>
        <v>798.7996633</v>
      </c>
      <c r="BU62" s="54">
        <f t="shared" si="104"/>
        <v>677.1231231</v>
      </c>
      <c r="BV62" s="54">
        <f t="shared" si="104"/>
        <v>698.080209</v>
      </c>
      <c r="BW62" s="54">
        <f t="shared" si="104"/>
        <v>683.5956362</v>
      </c>
      <c r="BX62" s="6" t="s">
        <v>35</v>
      </c>
      <c r="BY62" s="54">
        <f t="shared" si="85"/>
        <v>67.184</v>
      </c>
      <c r="BZ62" s="54">
        <f t="shared" si="86"/>
        <v>69.815</v>
      </c>
      <c r="CA62" s="54">
        <f t="shared" si="87"/>
        <v>52.607</v>
      </c>
      <c r="CB62" s="54">
        <f t="shared" si="88"/>
        <v>63.078</v>
      </c>
      <c r="CC62" s="54">
        <f t="shared" si="89"/>
        <v>108.811</v>
      </c>
      <c r="CD62" s="54">
        <f t="shared" si="90"/>
        <v>205.273</v>
      </c>
      <c r="CE62" s="54">
        <f t="shared" si="91"/>
        <v>276.728</v>
      </c>
      <c r="CF62" s="54">
        <f t="shared" si="92"/>
        <v>319.533</v>
      </c>
      <c r="CG62" s="54">
        <f t="shared" si="93"/>
        <v>311.682531</v>
      </c>
      <c r="CH62" s="54">
        <f t="shared" si="94"/>
        <v>336.5122885</v>
      </c>
      <c r="CI62" s="54">
        <f t="shared" si="95"/>
        <v>367.6848387</v>
      </c>
      <c r="CJ62" s="54">
        <f t="shared" si="96"/>
        <v>401.7450334</v>
      </c>
      <c r="CK62" s="54">
        <f t="shared" si="97"/>
        <v>438.9603674</v>
      </c>
      <c r="CL62" s="54">
        <f t="shared" si="98"/>
        <v>479.6231145</v>
      </c>
      <c r="CM62" s="54">
        <f t="shared" si="99"/>
        <v>524.0526231</v>
      </c>
      <c r="CN62" s="54">
        <f t="shared" si="100"/>
        <v>572.5978241</v>
      </c>
      <c r="CO62" s="54">
        <f t="shared" si="101"/>
        <v>625.6399714</v>
      </c>
      <c r="CP62" s="54">
        <f t="shared" si="102"/>
        <v>683.5956362</v>
      </c>
      <c r="CQ62" s="6" t="s">
        <v>35</v>
      </c>
      <c r="CR62" s="48"/>
      <c r="CW62" s="46"/>
      <c r="CX62" s="46">
        <f t="shared" ref="CX62:CY62" si="105">AH62-AG62</f>
        <v>132.678</v>
      </c>
      <c r="CY62" s="46">
        <f t="shared" si="105"/>
        <v>-36.675</v>
      </c>
      <c r="DA62" s="46"/>
    </row>
    <row r="63" ht="14.25" customHeight="1">
      <c r="B63" s="53" t="str">
        <f>Inputs!B12</f>
        <v>Estoques</v>
      </c>
      <c r="D63" s="54">
        <v>0.027</v>
      </c>
      <c r="E63" s="54">
        <v>0.017</v>
      </c>
      <c r="F63" s="54">
        <v>0.313</v>
      </c>
      <c r="G63" s="54">
        <v>1.662</v>
      </c>
      <c r="H63" s="54">
        <v>0.067</v>
      </c>
      <c r="I63" s="54">
        <f>Inputs!K12/1000</f>
        <v>1.469</v>
      </c>
      <c r="J63" s="54">
        <f>Inputs!L12/1000</f>
        <v>1.529</v>
      </c>
      <c r="K63" s="54">
        <f>-Inputs!M12/1000</f>
        <v>1.052</v>
      </c>
      <c r="L63" s="54">
        <f>Inputs!N12/1000</f>
        <v>1.336</v>
      </c>
      <c r="M63" s="54">
        <f>Inputs!O12/1000</f>
        <v>0.684</v>
      </c>
      <c r="N63" s="54">
        <f>Inputs!P12/1000</f>
        <v>1.442</v>
      </c>
      <c r="O63" s="54">
        <f>Inputs!Q12/1000</f>
        <v>0.692</v>
      </c>
      <c r="P63" s="54">
        <f>Inputs!R12/1000</f>
        <v>0.924</v>
      </c>
      <c r="Q63" s="54">
        <f>Inputs!S12/1000</f>
        <v>0.639</v>
      </c>
      <c r="R63" s="54">
        <f>Inputs!T12/1000</f>
        <v>1.172</v>
      </c>
      <c r="S63" s="54">
        <f>Inputs!U12/1000</f>
        <v>1.282</v>
      </c>
      <c r="T63" s="54">
        <f>Inputs!V12/1000</f>
        <v>2.619</v>
      </c>
      <c r="U63" s="54">
        <f>Inputs!W12/1000</f>
        <v>2.954</v>
      </c>
      <c r="V63" s="54">
        <f>Inputs!X12/1000</f>
        <v>3.483</v>
      </c>
      <c r="W63" s="54">
        <f>Inputs!Y12/1000</f>
        <v>3.628</v>
      </c>
      <c r="X63" s="54">
        <f>Inputs!Z12/1000</f>
        <v>3.529</v>
      </c>
      <c r="Y63" s="54">
        <f>Inputs!AA12/1000</f>
        <v>4.308</v>
      </c>
      <c r="Z63" s="54">
        <f>Inputs!AB12/1000</f>
        <v>5.66</v>
      </c>
      <c r="AA63" s="54">
        <f>Inputs!AC12/1000</f>
        <v>5.361</v>
      </c>
      <c r="AB63" s="54">
        <f>Inputs!AD12/1000</f>
        <v>4.729</v>
      </c>
      <c r="AC63" s="54">
        <f>Inputs!AE12/1000</f>
        <v>4.796</v>
      </c>
      <c r="AD63" s="54">
        <f>Inputs!AF12/1000</f>
        <v>5.988</v>
      </c>
      <c r="AE63" s="54">
        <f>Inputs!AG12/1000</f>
        <v>4.609</v>
      </c>
      <c r="AF63" s="54">
        <f>Inputs!AH12/1000</f>
        <v>4.431</v>
      </c>
      <c r="AG63" s="54">
        <f>Inputs!AI12/1000</f>
        <v>5.692</v>
      </c>
      <c r="AH63" s="54">
        <f>Inputs!AJ12/1000</f>
        <v>5.732</v>
      </c>
      <c r="AI63" s="54">
        <f>Inputs!AK12/1000</f>
        <v>5.778</v>
      </c>
      <c r="AJ63" s="54">
        <f>Inputs!AL12/1000</f>
        <v>6.781</v>
      </c>
      <c r="AK63" s="54">
        <f t="shared" ref="AK63:BW63" si="106">AK174</f>
        <v>9.567857104</v>
      </c>
      <c r="AL63" s="54">
        <f t="shared" si="106"/>
        <v>5.290911371</v>
      </c>
      <c r="AM63" s="54">
        <f t="shared" si="106"/>
        <v>5.843432796</v>
      </c>
      <c r="AN63" s="54">
        <f t="shared" si="106"/>
        <v>6.945622209</v>
      </c>
      <c r="AO63" s="54">
        <f t="shared" si="106"/>
        <v>10.35701971</v>
      </c>
      <c r="AP63" s="54">
        <f t="shared" si="106"/>
        <v>5.902236753</v>
      </c>
      <c r="AQ63" s="54">
        <f t="shared" si="106"/>
        <v>6.467440097</v>
      </c>
      <c r="AR63" s="54">
        <f t="shared" si="106"/>
        <v>7.660397619</v>
      </c>
      <c r="AS63" s="54">
        <f t="shared" si="106"/>
        <v>11.37386732</v>
      </c>
      <c r="AT63" s="54">
        <f t="shared" si="106"/>
        <v>6.449641568</v>
      </c>
      <c r="AU63" s="54">
        <f t="shared" si="106"/>
        <v>7.054531837</v>
      </c>
      <c r="AV63" s="54">
        <f t="shared" si="106"/>
        <v>8.370012505</v>
      </c>
      <c r="AW63" s="54">
        <f t="shared" si="106"/>
        <v>12.42747654</v>
      </c>
      <c r="AX63" s="54">
        <f t="shared" si="106"/>
        <v>7.047099023</v>
      </c>
      <c r="AY63" s="54">
        <f t="shared" si="106"/>
        <v>7.708022824</v>
      </c>
      <c r="AZ63" s="54">
        <f t="shared" si="106"/>
        <v>9.145362005</v>
      </c>
      <c r="BA63" s="54">
        <f t="shared" si="106"/>
        <v>13.57868602</v>
      </c>
      <c r="BB63" s="54">
        <f t="shared" si="106"/>
        <v>7.699901477</v>
      </c>
      <c r="BC63" s="54">
        <f t="shared" si="106"/>
        <v>8.422049433</v>
      </c>
      <c r="BD63" s="54">
        <f t="shared" si="106"/>
        <v>9.992535394</v>
      </c>
      <c r="BE63" s="54">
        <f t="shared" si="106"/>
        <v>14.83653688</v>
      </c>
      <c r="BF63" s="54">
        <f t="shared" si="106"/>
        <v>8.413175771</v>
      </c>
      <c r="BG63" s="54">
        <f t="shared" si="106"/>
        <v>9.202219333</v>
      </c>
      <c r="BH63" s="54">
        <f t="shared" si="106"/>
        <v>10.91818602</v>
      </c>
      <c r="BI63" s="54">
        <f t="shared" si="106"/>
        <v>16.21090776</v>
      </c>
      <c r="BJ63" s="54">
        <f t="shared" si="106"/>
        <v>9.192523667</v>
      </c>
      <c r="BK63" s="54">
        <f t="shared" si="106"/>
        <v>10.05465966</v>
      </c>
      <c r="BL63" s="54">
        <f t="shared" si="106"/>
        <v>11.92958356</v>
      </c>
      <c r="BM63" s="54">
        <f t="shared" si="106"/>
        <v>17.7125924</v>
      </c>
      <c r="BN63" s="54">
        <f t="shared" si="106"/>
        <v>10.04406584</v>
      </c>
      <c r="BO63" s="54">
        <f t="shared" si="106"/>
        <v>10.98606511</v>
      </c>
      <c r="BP63" s="54">
        <f t="shared" si="106"/>
        <v>13.03467112</v>
      </c>
      <c r="BQ63" s="54">
        <f t="shared" si="106"/>
        <v>19.35338442</v>
      </c>
      <c r="BR63" s="54">
        <f t="shared" si="106"/>
        <v>10.97448995</v>
      </c>
      <c r="BS63" s="54">
        <f t="shared" si="106"/>
        <v>12.00375058</v>
      </c>
      <c r="BT63" s="54">
        <f t="shared" si="106"/>
        <v>14.24212759</v>
      </c>
      <c r="BU63" s="54">
        <f t="shared" si="106"/>
        <v>21.1461699</v>
      </c>
      <c r="BV63" s="54">
        <f t="shared" si="106"/>
        <v>11.99110316</v>
      </c>
      <c r="BW63" s="54">
        <f t="shared" si="106"/>
        <v>13.11570854</v>
      </c>
      <c r="BX63" s="6" t="s">
        <v>35</v>
      </c>
      <c r="BY63" s="54">
        <f t="shared" si="85"/>
        <v>1.662</v>
      </c>
      <c r="BZ63" s="54">
        <f t="shared" si="86"/>
        <v>1.052</v>
      </c>
      <c r="CA63" s="54">
        <f t="shared" si="87"/>
        <v>0.692</v>
      </c>
      <c r="CB63" s="54">
        <f t="shared" si="88"/>
        <v>1.282</v>
      </c>
      <c r="CC63" s="54">
        <f t="shared" si="89"/>
        <v>3.628</v>
      </c>
      <c r="CD63" s="54">
        <f t="shared" si="90"/>
        <v>5.361</v>
      </c>
      <c r="CE63" s="54">
        <f t="shared" si="91"/>
        <v>4.609</v>
      </c>
      <c r="CF63" s="54">
        <f t="shared" si="92"/>
        <v>5.778</v>
      </c>
      <c r="CG63" s="54">
        <f t="shared" si="93"/>
        <v>5.843432796</v>
      </c>
      <c r="CH63" s="54">
        <f t="shared" si="94"/>
        <v>6.467440097</v>
      </c>
      <c r="CI63" s="54">
        <f t="shared" si="95"/>
        <v>7.054531837</v>
      </c>
      <c r="CJ63" s="54">
        <f t="shared" si="96"/>
        <v>7.708022824</v>
      </c>
      <c r="CK63" s="54">
        <f t="shared" si="97"/>
        <v>8.422049433</v>
      </c>
      <c r="CL63" s="54">
        <f t="shared" si="98"/>
        <v>9.202219333</v>
      </c>
      <c r="CM63" s="54">
        <f t="shared" si="99"/>
        <v>10.05465966</v>
      </c>
      <c r="CN63" s="54">
        <f t="shared" si="100"/>
        <v>10.98606511</v>
      </c>
      <c r="CO63" s="54">
        <f t="shared" si="101"/>
        <v>12.00375058</v>
      </c>
      <c r="CP63" s="54">
        <f t="shared" si="102"/>
        <v>13.11570854</v>
      </c>
      <c r="CQ63" s="6" t="s">
        <v>35</v>
      </c>
      <c r="CR63" s="48"/>
      <c r="CW63" s="46"/>
      <c r="CX63" s="46">
        <f t="shared" ref="CX63:CY63" si="107">AH63-AG63</f>
        <v>0.04</v>
      </c>
      <c r="CY63" s="46">
        <f t="shared" si="107"/>
        <v>0.046</v>
      </c>
      <c r="DA63" s="46"/>
    </row>
    <row r="64" ht="14.25" customHeight="1">
      <c r="B64" s="53" t="str">
        <f>Inputs!B14</f>
        <v>Tributos a recuperar</v>
      </c>
      <c r="D64" s="54">
        <v>5.349</v>
      </c>
      <c r="E64" s="54">
        <v>6.882</v>
      </c>
      <c r="F64" s="54">
        <v>10.926</v>
      </c>
      <c r="G64" s="54">
        <v>11.873</v>
      </c>
      <c r="H64" s="54">
        <v>12.686</v>
      </c>
      <c r="I64" s="54">
        <f>Inputs!K14/1000</f>
        <v>14.387</v>
      </c>
      <c r="J64" s="54">
        <f>Inputs!L14/1000</f>
        <v>18.521</v>
      </c>
      <c r="K64" s="54">
        <f>-Inputs!M14/1000</f>
        <v>23.011</v>
      </c>
      <c r="L64" s="54">
        <f>Inputs!N14/1000</f>
        <v>24.61</v>
      </c>
      <c r="M64" s="54">
        <f>Inputs!O14/1000</f>
        <v>25.535</v>
      </c>
      <c r="N64" s="54">
        <f>Inputs!P14/1000</f>
        <v>25.518</v>
      </c>
      <c r="O64" s="54">
        <f>Inputs!Q14/1000</f>
        <v>25.022</v>
      </c>
      <c r="P64" s="54">
        <f>Inputs!R14/1000</f>
        <v>25.696</v>
      </c>
      <c r="Q64" s="54">
        <f>Inputs!S14/1000</f>
        <v>27.577</v>
      </c>
      <c r="R64" s="54">
        <f>Inputs!T14/1000</f>
        <v>27.586</v>
      </c>
      <c r="S64" s="54">
        <f>Inputs!U14/1000</f>
        <v>22.788</v>
      </c>
      <c r="T64" s="54">
        <f>Inputs!V14/1000</f>
        <v>20.244</v>
      </c>
      <c r="U64" s="54">
        <f>Inputs!W14/1000</f>
        <v>18.391</v>
      </c>
      <c r="V64" s="54">
        <f>Inputs!X14/1000</f>
        <v>13.698</v>
      </c>
      <c r="W64" s="54">
        <f>Inputs!Y14/1000</f>
        <v>12.693</v>
      </c>
      <c r="X64" s="54">
        <f>Inputs!Z14/1000</f>
        <v>12.075</v>
      </c>
      <c r="Y64" s="54">
        <f>Inputs!AA14/1000</f>
        <v>14.482</v>
      </c>
      <c r="Z64" s="54">
        <f>Inputs!AB14/1000</f>
        <v>16.359</v>
      </c>
      <c r="AA64" s="54">
        <f>Inputs!AC14/1000</f>
        <v>12.392</v>
      </c>
      <c r="AB64" s="54">
        <f>Inputs!AD14/1000</f>
        <v>13.637</v>
      </c>
      <c r="AC64" s="54">
        <f>Inputs!AE14/1000</f>
        <v>17.981</v>
      </c>
      <c r="AD64" s="54">
        <f>Inputs!AF14/1000</f>
        <v>19.928</v>
      </c>
      <c r="AE64" s="54">
        <f>Inputs!AG14/1000</f>
        <v>15.428</v>
      </c>
      <c r="AF64" s="54">
        <f>Inputs!AH14/1000</f>
        <v>21.558</v>
      </c>
      <c r="AG64" s="54">
        <f>Inputs!AI14/1000</f>
        <v>27.11</v>
      </c>
      <c r="AH64" s="54">
        <f>Inputs!AJ14/1000</f>
        <v>25.967</v>
      </c>
      <c r="AI64" s="54">
        <f>Inputs!AK14/1000</f>
        <v>20.037</v>
      </c>
      <c r="AJ64" s="54">
        <f>Inputs!AL14/1000</f>
        <v>27.294</v>
      </c>
      <c r="AK64" s="54">
        <f t="shared" ref="AK64:BW64" si="108">AK178</f>
        <v>46.82537306</v>
      </c>
      <c r="AL64" s="54">
        <f t="shared" si="108"/>
        <v>23.75208584</v>
      </c>
      <c r="AM64" s="54">
        <f t="shared" si="108"/>
        <v>19.54471956</v>
      </c>
      <c r="AN64" s="54">
        <f t="shared" si="108"/>
        <v>28.48570608</v>
      </c>
      <c r="AO64" s="54">
        <f t="shared" si="108"/>
        <v>50.88100227</v>
      </c>
      <c r="AP64" s="54">
        <f t="shared" si="108"/>
        <v>26.59612606</v>
      </c>
      <c r="AQ64" s="54">
        <f t="shared" si="108"/>
        <v>21.72720781</v>
      </c>
      <c r="AR64" s="54">
        <f t="shared" si="108"/>
        <v>31.5106089</v>
      </c>
      <c r="AS64" s="54">
        <f t="shared" si="108"/>
        <v>56.00680466</v>
      </c>
      <c r="AT64" s="54">
        <f t="shared" si="108"/>
        <v>29.13123203</v>
      </c>
      <c r="AU64" s="54">
        <f t="shared" si="108"/>
        <v>23.73989055</v>
      </c>
      <c r="AV64" s="54">
        <f t="shared" si="108"/>
        <v>34.42956928</v>
      </c>
      <c r="AW64" s="54">
        <f t="shared" si="108"/>
        <v>61.19495079</v>
      </c>
      <c r="AX64" s="54">
        <f t="shared" si="108"/>
        <v>31.82978071</v>
      </c>
      <c r="AY64" s="54">
        <f t="shared" si="108"/>
        <v>25.93901657</v>
      </c>
      <c r="AZ64" s="54">
        <f t="shared" si="108"/>
        <v>37.61892525</v>
      </c>
      <c r="BA64" s="54">
        <f t="shared" si="108"/>
        <v>66.86369674</v>
      </c>
      <c r="BB64" s="54">
        <f t="shared" si="108"/>
        <v>34.77830732</v>
      </c>
      <c r="BC64" s="54">
        <f t="shared" si="108"/>
        <v>28.34185689</v>
      </c>
      <c r="BD64" s="54">
        <f t="shared" si="108"/>
        <v>41.10372469</v>
      </c>
      <c r="BE64" s="54">
        <f t="shared" si="108"/>
        <v>73.0575625</v>
      </c>
      <c r="BF64" s="54">
        <f t="shared" si="108"/>
        <v>37.99996836</v>
      </c>
      <c r="BG64" s="54">
        <f t="shared" si="108"/>
        <v>30.96728243</v>
      </c>
      <c r="BH64" s="54">
        <f t="shared" si="108"/>
        <v>44.91133577</v>
      </c>
      <c r="BI64" s="54">
        <f t="shared" si="108"/>
        <v>79.82519213</v>
      </c>
      <c r="BJ64" s="54">
        <f t="shared" si="108"/>
        <v>41.52006543</v>
      </c>
      <c r="BK64" s="54">
        <f t="shared" si="108"/>
        <v>33.83591219</v>
      </c>
      <c r="BL64" s="54">
        <f t="shared" si="108"/>
        <v>49.07166191</v>
      </c>
      <c r="BM64" s="54">
        <f t="shared" si="108"/>
        <v>87.21973578</v>
      </c>
      <c r="BN64" s="54">
        <f t="shared" si="108"/>
        <v>45.36624391</v>
      </c>
      <c r="BO64" s="54">
        <f t="shared" si="108"/>
        <v>36.9702752</v>
      </c>
      <c r="BP64" s="54">
        <f t="shared" si="108"/>
        <v>53.61737656</v>
      </c>
      <c r="BQ64" s="54">
        <f t="shared" si="108"/>
        <v>95.29926714</v>
      </c>
      <c r="BR64" s="54">
        <f t="shared" si="108"/>
        <v>49.5687101</v>
      </c>
      <c r="BS64" s="54">
        <f t="shared" si="108"/>
        <v>40.39498745</v>
      </c>
      <c r="BT64" s="54">
        <f t="shared" si="108"/>
        <v>58.58417991</v>
      </c>
      <c r="BU64" s="54">
        <f t="shared" si="108"/>
        <v>104.1272395</v>
      </c>
      <c r="BV64" s="54">
        <f t="shared" si="108"/>
        <v>54.16046842</v>
      </c>
      <c r="BW64" s="54">
        <f t="shared" si="108"/>
        <v>44.13694523</v>
      </c>
      <c r="BX64" s="6" t="s">
        <v>35</v>
      </c>
      <c r="BY64" s="54">
        <f t="shared" si="85"/>
        <v>11.873</v>
      </c>
      <c r="BZ64" s="54">
        <f t="shared" si="86"/>
        <v>23.011</v>
      </c>
      <c r="CA64" s="54">
        <f t="shared" si="87"/>
        <v>25.022</v>
      </c>
      <c r="CB64" s="54">
        <f t="shared" si="88"/>
        <v>22.788</v>
      </c>
      <c r="CC64" s="54">
        <f t="shared" si="89"/>
        <v>12.693</v>
      </c>
      <c r="CD64" s="54">
        <f t="shared" si="90"/>
        <v>12.392</v>
      </c>
      <c r="CE64" s="54">
        <f t="shared" si="91"/>
        <v>15.428</v>
      </c>
      <c r="CF64" s="54">
        <f t="shared" si="92"/>
        <v>20.037</v>
      </c>
      <c r="CG64" s="54">
        <f t="shared" si="93"/>
        <v>19.54471956</v>
      </c>
      <c r="CH64" s="54">
        <f t="shared" si="94"/>
        <v>21.72720781</v>
      </c>
      <c r="CI64" s="54">
        <f t="shared" si="95"/>
        <v>23.73989055</v>
      </c>
      <c r="CJ64" s="54">
        <f t="shared" si="96"/>
        <v>25.93901657</v>
      </c>
      <c r="CK64" s="54">
        <f t="shared" si="97"/>
        <v>28.34185689</v>
      </c>
      <c r="CL64" s="54">
        <f t="shared" si="98"/>
        <v>30.96728243</v>
      </c>
      <c r="CM64" s="54">
        <f t="shared" si="99"/>
        <v>33.83591219</v>
      </c>
      <c r="CN64" s="54">
        <f t="shared" si="100"/>
        <v>36.9702752</v>
      </c>
      <c r="CO64" s="54">
        <f t="shared" si="101"/>
        <v>40.39498745</v>
      </c>
      <c r="CP64" s="54">
        <f t="shared" si="102"/>
        <v>44.13694523</v>
      </c>
      <c r="CQ64" s="6" t="s">
        <v>35</v>
      </c>
      <c r="CR64" s="48"/>
      <c r="CW64" s="46"/>
      <c r="CX64" s="46">
        <f t="shared" ref="CX64:CY64" si="109">AH64-AG64</f>
        <v>-1.143</v>
      </c>
      <c r="CY64" s="46">
        <f t="shared" si="109"/>
        <v>-5.93</v>
      </c>
      <c r="DA64" s="46"/>
    </row>
    <row r="65" ht="14.25" customHeight="1">
      <c r="B65" s="53" t="str">
        <f>Inputs!B21</f>
        <v>Outros ativos circulantes</v>
      </c>
      <c r="D65" s="54">
        <v>1.0100000000000051</v>
      </c>
      <c r="E65" s="54">
        <v>1.3979999999999961</v>
      </c>
      <c r="F65" s="54">
        <v>7.819000000000003</v>
      </c>
      <c r="G65" s="54">
        <v>7.463999999999999</v>
      </c>
      <c r="H65" s="54">
        <v>7.064000000000007</v>
      </c>
      <c r="I65" s="54">
        <f>(Inputs!K22/1000)-SUM(Modelo!I61:I64)</f>
        <v>6.761</v>
      </c>
      <c r="J65" s="54">
        <f>(Inputs!L22/1000)-SUM(Modelo!J61:J64)</f>
        <v>8.042</v>
      </c>
      <c r="K65" s="54">
        <f>-(Inputs!M22/1000)-SUM(Modelo!K61:K64)</f>
        <v>8.01</v>
      </c>
      <c r="L65" s="54">
        <f>(Inputs!N22/1000)-SUM(Modelo!L61:L64)</f>
        <v>6.908</v>
      </c>
      <c r="M65" s="54">
        <f>(Inputs!O22/1000)-SUM(Modelo!M61:M64)</f>
        <v>6.306</v>
      </c>
      <c r="N65" s="54">
        <f>(Inputs!P22/1000)-SUM(Modelo!N61:N64)</f>
        <v>5.294</v>
      </c>
      <c r="O65" s="54">
        <f>(Inputs!Q22/1000)-SUM(Modelo!O61:O64)</f>
        <v>5.013</v>
      </c>
      <c r="P65" s="54">
        <f>(Inputs!R22/1000)-SUM(Modelo!P61:P64)</f>
        <v>18.75</v>
      </c>
      <c r="Q65" s="54">
        <f>(Inputs!S22/1000)-SUM(Modelo!Q61:Q64)</f>
        <v>17.89</v>
      </c>
      <c r="R65" s="54">
        <f>(Inputs!T22/1000)-SUM(Modelo!R61:R64)</f>
        <v>3.526</v>
      </c>
      <c r="S65" s="54">
        <f>(Inputs!U22/1000)-SUM(Modelo!S61:S64)</f>
        <v>7.277</v>
      </c>
      <c r="T65" s="54">
        <f>(Inputs!V22/1000)-SUM(Modelo!T61:T64)</f>
        <v>7.873</v>
      </c>
      <c r="U65" s="54">
        <f>(Inputs!W22/1000)-SUM(Modelo!U61:U64)</f>
        <v>7.97</v>
      </c>
      <c r="V65" s="54">
        <f>(Inputs!X22/1000)-SUM(Modelo!V61:V64)</f>
        <v>8.028</v>
      </c>
      <c r="W65" s="54">
        <f>(Inputs!Y22/1000)-SUM(Modelo!W61:W64)</f>
        <v>10.323</v>
      </c>
      <c r="X65" s="54">
        <f>(Inputs!Z22/1000)-SUM(Modelo!X61:X64)</f>
        <v>8.674</v>
      </c>
      <c r="Y65" s="54">
        <f>(Inputs!AA22/1000)-SUM(Modelo!Y61:Y64)</f>
        <v>23.038</v>
      </c>
      <c r="Z65" s="54">
        <f>(Inputs!AB22/1000)-SUM(Modelo!Z61:Z64)</f>
        <v>22.679</v>
      </c>
      <c r="AA65" s="54">
        <f>(Inputs!AC22/1000)-SUM(Modelo!AA61:AA64)</f>
        <v>14.975</v>
      </c>
      <c r="AB65" s="54">
        <f>(Inputs!AD22/1000)-SUM(Modelo!AB61:AB64)</f>
        <v>17.319</v>
      </c>
      <c r="AC65" s="54">
        <f>(Inputs!AE22/1000)-SUM(Modelo!AC61:AC64)</f>
        <v>20.48</v>
      </c>
      <c r="AD65" s="54">
        <f>(Inputs!AF22/1000)-SUM(Modelo!AD61:AD64)</f>
        <v>16.167</v>
      </c>
      <c r="AE65" s="54">
        <f>(Inputs!AG22/1000)-SUM(Modelo!AE61:AE64)</f>
        <v>11.56</v>
      </c>
      <c r="AF65" s="54">
        <f>(Inputs!AH22/1000)-SUM(Modelo!AF61:AF64)</f>
        <v>10.882</v>
      </c>
      <c r="AG65" s="54">
        <f>(Inputs!AI22/1000)-SUM(Modelo!AG61:AG64)</f>
        <v>15.623</v>
      </c>
      <c r="AH65" s="54">
        <f>(Inputs!AJ22/1000)-SUM(Modelo!AH61:AH64)</f>
        <v>36.951</v>
      </c>
      <c r="AI65" s="54">
        <f>(Inputs!AK22/1000)-SUM(Modelo!AI61:AI64)</f>
        <v>20.677</v>
      </c>
      <c r="AJ65" s="54">
        <f>(Inputs!AL22/1000)-SUM(Modelo!AJ61:AJ64)</f>
        <v>20.453</v>
      </c>
      <c r="AK65" s="55">
        <f t="shared" ref="AK65:BW65" si="110">AJ65</f>
        <v>20.453</v>
      </c>
      <c r="AL65" s="55">
        <f t="shared" si="110"/>
        <v>20.453</v>
      </c>
      <c r="AM65" s="55">
        <f t="shared" si="110"/>
        <v>20.453</v>
      </c>
      <c r="AN65" s="55">
        <f t="shared" si="110"/>
        <v>20.453</v>
      </c>
      <c r="AO65" s="55">
        <f t="shared" si="110"/>
        <v>20.453</v>
      </c>
      <c r="AP65" s="55">
        <f t="shared" si="110"/>
        <v>20.453</v>
      </c>
      <c r="AQ65" s="55">
        <f t="shared" si="110"/>
        <v>20.453</v>
      </c>
      <c r="AR65" s="55">
        <f t="shared" si="110"/>
        <v>20.453</v>
      </c>
      <c r="AS65" s="55">
        <f t="shared" si="110"/>
        <v>20.453</v>
      </c>
      <c r="AT65" s="55">
        <f t="shared" si="110"/>
        <v>20.453</v>
      </c>
      <c r="AU65" s="55">
        <f t="shared" si="110"/>
        <v>20.453</v>
      </c>
      <c r="AV65" s="55">
        <f t="shared" si="110"/>
        <v>20.453</v>
      </c>
      <c r="AW65" s="55">
        <f t="shared" si="110"/>
        <v>20.453</v>
      </c>
      <c r="AX65" s="55">
        <f t="shared" si="110"/>
        <v>20.453</v>
      </c>
      <c r="AY65" s="55">
        <f t="shared" si="110"/>
        <v>20.453</v>
      </c>
      <c r="AZ65" s="55">
        <f t="shared" si="110"/>
        <v>20.453</v>
      </c>
      <c r="BA65" s="55">
        <f t="shared" si="110"/>
        <v>20.453</v>
      </c>
      <c r="BB65" s="55">
        <f t="shared" si="110"/>
        <v>20.453</v>
      </c>
      <c r="BC65" s="55">
        <f t="shared" si="110"/>
        <v>20.453</v>
      </c>
      <c r="BD65" s="55">
        <f t="shared" si="110"/>
        <v>20.453</v>
      </c>
      <c r="BE65" s="55">
        <f t="shared" si="110"/>
        <v>20.453</v>
      </c>
      <c r="BF65" s="55">
        <f t="shared" si="110"/>
        <v>20.453</v>
      </c>
      <c r="BG65" s="55">
        <f t="shared" si="110"/>
        <v>20.453</v>
      </c>
      <c r="BH65" s="55">
        <f t="shared" si="110"/>
        <v>20.453</v>
      </c>
      <c r="BI65" s="55">
        <f t="shared" si="110"/>
        <v>20.453</v>
      </c>
      <c r="BJ65" s="55">
        <f t="shared" si="110"/>
        <v>20.453</v>
      </c>
      <c r="BK65" s="55">
        <f t="shared" si="110"/>
        <v>20.453</v>
      </c>
      <c r="BL65" s="55">
        <f t="shared" si="110"/>
        <v>20.453</v>
      </c>
      <c r="BM65" s="55">
        <f t="shared" si="110"/>
        <v>20.453</v>
      </c>
      <c r="BN65" s="55">
        <f t="shared" si="110"/>
        <v>20.453</v>
      </c>
      <c r="BO65" s="55">
        <f t="shared" si="110"/>
        <v>20.453</v>
      </c>
      <c r="BP65" s="55">
        <f t="shared" si="110"/>
        <v>20.453</v>
      </c>
      <c r="BQ65" s="55">
        <f t="shared" si="110"/>
        <v>20.453</v>
      </c>
      <c r="BR65" s="55">
        <f t="shared" si="110"/>
        <v>20.453</v>
      </c>
      <c r="BS65" s="55">
        <f t="shared" si="110"/>
        <v>20.453</v>
      </c>
      <c r="BT65" s="55">
        <f t="shared" si="110"/>
        <v>20.453</v>
      </c>
      <c r="BU65" s="55">
        <f t="shared" si="110"/>
        <v>20.453</v>
      </c>
      <c r="BV65" s="55">
        <f t="shared" si="110"/>
        <v>20.453</v>
      </c>
      <c r="BW65" s="55">
        <f t="shared" si="110"/>
        <v>20.453</v>
      </c>
      <c r="BX65" s="6" t="s">
        <v>35</v>
      </c>
      <c r="BY65" s="54">
        <f t="shared" si="85"/>
        <v>7.464</v>
      </c>
      <c r="BZ65" s="54">
        <f t="shared" si="86"/>
        <v>8.01</v>
      </c>
      <c r="CA65" s="54">
        <f t="shared" si="87"/>
        <v>5.013</v>
      </c>
      <c r="CB65" s="54">
        <f t="shared" si="88"/>
        <v>7.277</v>
      </c>
      <c r="CC65" s="54">
        <f t="shared" si="89"/>
        <v>10.323</v>
      </c>
      <c r="CD65" s="54">
        <f t="shared" si="90"/>
        <v>14.975</v>
      </c>
      <c r="CE65" s="54">
        <f t="shared" si="91"/>
        <v>11.56</v>
      </c>
      <c r="CF65" s="54">
        <f t="shared" si="92"/>
        <v>20.677</v>
      </c>
      <c r="CG65" s="54">
        <f t="shared" si="93"/>
        <v>20.453</v>
      </c>
      <c r="CH65" s="54">
        <f t="shared" si="94"/>
        <v>20.453</v>
      </c>
      <c r="CI65" s="54">
        <f t="shared" si="95"/>
        <v>20.453</v>
      </c>
      <c r="CJ65" s="54">
        <f t="shared" si="96"/>
        <v>20.453</v>
      </c>
      <c r="CK65" s="54">
        <f t="shared" si="97"/>
        <v>20.453</v>
      </c>
      <c r="CL65" s="54">
        <f t="shared" si="98"/>
        <v>20.453</v>
      </c>
      <c r="CM65" s="54">
        <f t="shared" si="99"/>
        <v>20.453</v>
      </c>
      <c r="CN65" s="54">
        <f t="shared" si="100"/>
        <v>20.453</v>
      </c>
      <c r="CO65" s="54">
        <f t="shared" si="101"/>
        <v>20.453</v>
      </c>
      <c r="CP65" s="54">
        <f t="shared" si="102"/>
        <v>20.453</v>
      </c>
      <c r="CQ65" s="6" t="s">
        <v>35</v>
      </c>
      <c r="CR65" s="48"/>
      <c r="CW65" s="46"/>
      <c r="CX65" s="46">
        <f t="shared" ref="CX65:CY65" si="111">AH65-AG65</f>
        <v>21.328</v>
      </c>
      <c r="CY65" s="46">
        <f t="shared" si="111"/>
        <v>-16.274</v>
      </c>
      <c r="DA65" s="46"/>
    </row>
    <row r="66" ht="14.25" customHeight="1">
      <c r="B66" s="53"/>
      <c r="BX66" s="6" t="s">
        <v>35</v>
      </c>
      <c r="CQ66" s="6" t="s">
        <v>35</v>
      </c>
      <c r="DA66" s="46"/>
    </row>
    <row r="67" ht="14.25" customHeight="1">
      <c r="B67" s="51" t="s">
        <v>68</v>
      </c>
      <c r="C67" s="15" t="s">
        <v>39</v>
      </c>
      <c r="D67" s="52">
        <f t="shared" ref="D67:BW67" si="112">+D68+D69+D70+D71+D72</f>
        <v>51.292</v>
      </c>
      <c r="E67" s="52">
        <f t="shared" si="112"/>
        <v>51.634</v>
      </c>
      <c r="F67" s="52">
        <f t="shared" si="112"/>
        <v>90.173</v>
      </c>
      <c r="G67" s="52">
        <f t="shared" si="112"/>
        <v>91.715</v>
      </c>
      <c r="H67" s="52">
        <f t="shared" si="112"/>
        <v>93.554</v>
      </c>
      <c r="I67" s="52">
        <f t="shared" si="112"/>
        <v>101.689</v>
      </c>
      <c r="J67" s="52">
        <f t="shared" si="112"/>
        <v>98.951</v>
      </c>
      <c r="K67" s="52">
        <f t="shared" si="112"/>
        <v>102.67</v>
      </c>
      <c r="L67" s="52">
        <f t="shared" si="112"/>
        <v>115.378</v>
      </c>
      <c r="M67" s="52">
        <f t="shared" si="112"/>
        <v>117.372</v>
      </c>
      <c r="N67" s="52">
        <f t="shared" si="112"/>
        <v>120.855</v>
      </c>
      <c r="O67" s="52">
        <f t="shared" si="112"/>
        <v>111.679</v>
      </c>
      <c r="P67" s="52">
        <f t="shared" si="112"/>
        <v>104.327</v>
      </c>
      <c r="Q67" s="52">
        <f t="shared" si="112"/>
        <v>98.82</v>
      </c>
      <c r="R67" s="52">
        <f t="shared" si="112"/>
        <v>106.049</v>
      </c>
      <c r="S67" s="52">
        <f t="shared" si="112"/>
        <v>131.783</v>
      </c>
      <c r="T67" s="52">
        <f t="shared" si="112"/>
        <v>148.944</v>
      </c>
      <c r="U67" s="52">
        <f t="shared" si="112"/>
        <v>148.722</v>
      </c>
      <c r="V67" s="52">
        <f t="shared" si="112"/>
        <v>156.286</v>
      </c>
      <c r="W67" s="52">
        <f t="shared" si="112"/>
        <v>162.273</v>
      </c>
      <c r="X67" s="52">
        <f t="shared" si="112"/>
        <v>197.635</v>
      </c>
      <c r="Y67" s="52">
        <f t="shared" si="112"/>
        <v>216.7006197</v>
      </c>
      <c r="Z67" s="52">
        <f t="shared" si="112"/>
        <v>244.401</v>
      </c>
      <c r="AA67" s="52">
        <f t="shared" si="112"/>
        <v>266.0511883</v>
      </c>
      <c r="AB67" s="52">
        <f t="shared" si="112"/>
        <v>308.907</v>
      </c>
      <c r="AC67" s="52">
        <f t="shared" si="112"/>
        <v>332.347</v>
      </c>
      <c r="AD67" s="52">
        <f t="shared" si="112"/>
        <v>356.251</v>
      </c>
      <c r="AE67" s="52">
        <f t="shared" si="112"/>
        <v>391.777</v>
      </c>
      <c r="AF67" s="52">
        <f t="shared" si="112"/>
        <v>410.2426894</v>
      </c>
      <c r="AG67" s="52">
        <f t="shared" si="112"/>
        <v>451.498</v>
      </c>
      <c r="AH67" s="52">
        <f t="shared" si="112"/>
        <v>589.403</v>
      </c>
      <c r="AI67" s="52">
        <f t="shared" si="112"/>
        <v>633.836</v>
      </c>
      <c r="AJ67" s="52">
        <f t="shared" si="112"/>
        <v>618.15</v>
      </c>
      <c r="AK67" s="52">
        <f t="shared" si="112"/>
        <v>623.57296</v>
      </c>
      <c r="AL67" s="52">
        <f t="shared" si="112"/>
        <v>640.2962033</v>
      </c>
      <c r="AM67" s="52">
        <f t="shared" si="112"/>
        <v>649.0247981</v>
      </c>
      <c r="AN67" s="52">
        <f t="shared" si="112"/>
        <v>653.4752766</v>
      </c>
      <c r="AO67" s="52">
        <f t="shared" si="112"/>
        <v>657.8334417</v>
      </c>
      <c r="AP67" s="52">
        <f t="shared" si="112"/>
        <v>663.272718</v>
      </c>
      <c r="AQ67" s="52">
        <f t="shared" si="112"/>
        <v>671.3339403</v>
      </c>
      <c r="AR67" s="52">
        <f t="shared" si="112"/>
        <v>677.348037</v>
      </c>
      <c r="AS67" s="52">
        <f t="shared" si="112"/>
        <v>683.1042928</v>
      </c>
      <c r="AT67" s="52">
        <f t="shared" si="112"/>
        <v>689.7276581</v>
      </c>
      <c r="AU67" s="52">
        <f t="shared" si="112"/>
        <v>699.5354206</v>
      </c>
      <c r="AV67" s="52">
        <f t="shared" si="112"/>
        <v>707.0922291</v>
      </c>
      <c r="AW67" s="52">
        <f t="shared" si="112"/>
        <v>714.2697263</v>
      </c>
      <c r="AX67" s="52">
        <f t="shared" si="112"/>
        <v>722.2431264</v>
      </c>
      <c r="AY67" s="52">
        <f t="shared" si="112"/>
        <v>733.6756895</v>
      </c>
      <c r="AZ67" s="52">
        <f t="shared" si="112"/>
        <v>742.6394488</v>
      </c>
      <c r="BA67" s="52">
        <f t="shared" si="112"/>
        <v>751.181063</v>
      </c>
      <c r="BB67" s="52">
        <f t="shared" si="112"/>
        <v>760.6121842</v>
      </c>
      <c r="BC67" s="52">
        <f t="shared" si="112"/>
        <v>773.7848387</v>
      </c>
      <c r="BD67" s="52">
        <f t="shared" si="112"/>
        <v>784.2179787</v>
      </c>
      <c r="BE67" s="52">
        <f t="shared" si="112"/>
        <v>794.1563123</v>
      </c>
      <c r="BF67" s="52">
        <f t="shared" si="112"/>
        <v>805.0516531</v>
      </c>
      <c r="BG67" s="52">
        <f t="shared" si="112"/>
        <v>820.0208566</v>
      </c>
      <c r="BH67" s="52">
        <f t="shared" si="112"/>
        <v>831.9815035</v>
      </c>
      <c r="BI67" s="52">
        <f t="shared" si="112"/>
        <v>843.3848287</v>
      </c>
      <c r="BJ67" s="52">
        <f t="shared" si="112"/>
        <v>855.8110456</v>
      </c>
      <c r="BK67" s="52">
        <f t="shared" si="112"/>
        <v>872.6680284</v>
      </c>
      <c r="BL67" s="52">
        <f t="shared" si="112"/>
        <v>886.2205843</v>
      </c>
      <c r="BM67" s="52">
        <f t="shared" si="112"/>
        <v>899.1495171</v>
      </c>
      <c r="BN67" s="52">
        <f t="shared" si="112"/>
        <v>913.1812845</v>
      </c>
      <c r="BO67" s="52">
        <f t="shared" si="112"/>
        <v>932.0391853</v>
      </c>
      <c r="BP67" s="52">
        <f t="shared" si="112"/>
        <v>940.0256232</v>
      </c>
      <c r="BQ67" s="52">
        <f t="shared" si="112"/>
        <v>947.5907073</v>
      </c>
      <c r="BR67" s="52">
        <f t="shared" si="112"/>
        <v>956.3019855</v>
      </c>
      <c r="BS67" s="52">
        <f t="shared" si="112"/>
        <v>969.5452002</v>
      </c>
      <c r="BT67" s="52">
        <f t="shared" si="112"/>
        <v>979.6200999</v>
      </c>
      <c r="BU67" s="52">
        <f t="shared" si="112"/>
        <v>989.1891227</v>
      </c>
      <c r="BV67" s="52">
        <f t="shared" si="112"/>
        <v>999.9664064</v>
      </c>
      <c r="BW67" s="52">
        <f t="shared" si="112"/>
        <v>1015.652763</v>
      </c>
      <c r="BX67" s="6" t="s">
        <v>35</v>
      </c>
      <c r="BY67" s="52">
        <f t="shared" ref="BY67:BY72" si="115">G67</f>
        <v>91.715</v>
      </c>
      <c r="BZ67" s="52">
        <f t="shared" ref="BZ67:BZ72" si="116">K67</f>
        <v>102.67</v>
      </c>
      <c r="CA67" s="52">
        <f t="shared" ref="CA67:CA72" si="117">O67</f>
        <v>111.679</v>
      </c>
      <c r="CB67" s="52">
        <f t="shared" ref="CB67:CB72" si="118">S67</f>
        <v>131.783</v>
      </c>
      <c r="CC67" s="52">
        <f t="shared" ref="CC67:CC72" si="119">W67</f>
        <v>162.273</v>
      </c>
      <c r="CD67" s="52">
        <f t="shared" ref="CD67:CD72" si="120">AA67</f>
        <v>266.0511883</v>
      </c>
      <c r="CE67" s="52">
        <f t="shared" ref="CE67:CE72" si="121">AE67</f>
        <v>391.777</v>
      </c>
      <c r="CF67" s="52">
        <f t="shared" ref="CF67:CF72" si="122">AI67</f>
        <v>633.836</v>
      </c>
      <c r="CG67" s="52">
        <f t="shared" ref="CG67:CG72" si="123">AM67</f>
        <v>649.0247981</v>
      </c>
      <c r="CH67" s="52">
        <f t="shared" ref="CH67:CH72" si="124">AQ67</f>
        <v>671.3339403</v>
      </c>
      <c r="CI67" s="52">
        <f t="shared" ref="CI67:CI72" si="125">AU67</f>
        <v>699.5354206</v>
      </c>
      <c r="CJ67" s="52">
        <f t="shared" ref="CJ67:CJ72" si="126">AY67</f>
        <v>733.6756895</v>
      </c>
      <c r="CK67" s="52">
        <f t="shared" ref="CK67:CK72" si="127">BC67</f>
        <v>773.7848387</v>
      </c>
      <c r="CL67" s="52">
        <f t="shared" ref="CL67:CL72" si="128">BG67</f>
        <v>820.0208566</v>
      </c>
      <c r="CM67" s="52">
        <f t="shared" ref="CM67:CM72" si="129">BK67</f>
        <v>872.6680284</v>
      </c>
      <c r="CN67" s="52">
        <f t="shared" ref="CN67:CN72" si="130">BO67</f>
        <v>932.0391853</v>
      </c>
      <c r="CO67" s="52">
        <f t="shared" ref="CO67:CO72" si="131">BS67</f>
        <v>969.5452002</v>
      </c>
      <c r="CP67" s="52">
        <f t="shared" ref="CP67:CP72" si="132">BW67</f>
        <v>1015.652763</v>
      </c>
      <c r="CQ67" s="6" t="s">
        <v>35</v>
      </c>
      <c r="CR67" s="48"/>
      <c r="CW67" s="46"/>
      <c r="CX67" s="46">
        <f t="shared" ref="CX67:CY67" si="113">AH67-AG67</f>
        <v>137.905</v>
      </c>
      <c r="CY67" s="46">
        <f t="shared" si="113"/>
        <v>44.433</v>
      </c>
      <c r="DA67" s="46"/>
    </row>
    <row r="68" ht="14.25" customHeight="1">
      <c r="B68" s="53" t="s">
        <v>69</v>
      </c>
      <c r="D68" s="54">
        <v>0.0</v>
      </c>
      <c r="E68" s="54">
        <v>0.0</v>
      </c>
      <c r="F68" s="54">
        <v>0.0</v>
      </c>
      <c r="G68" s="54">
        <v>0.0</v>
      </c>
      <c r="H68" s="54">
        <v>0.334</v>
      </c>
      <c r="I68" s="54">
        <f>(Inputs!K24+Inputs!K25)/1000</f>
        <v>0.177</v>
      </c>
      <c r="J68" s="54">
        <f>(Inputs!L24+Inputs!L25)/1000</f>
        <v>0</v>
      </c>
      <c r="K68" s="54">
        <f>-(Inputs!M24+Inputs!M25)/1000</f>
        <v>0</v>
      </c>
      <c r="L68" s="54">
        <f>(Inputs!N24+Inputs!N25)/1000</f>
        <v>0</v>
      </c>
      <c r="M68" s="54">
        <f>(Inputs!O24+Inputs!O25)/1000</f>
        <v>0</v>
      </c>
      <c r="N68" s="54">
        <f>(Inputs!P24+Inputs!P25)/1000</f>
        <v>0.997</v>
      </c>
      <c r="O68" s="54">
        <f>(Inputs!Q24+Inputs!Q25)/1000</f>
        <v>0.997</v>
      </c>
      <c r="P68" s="54">
        <f>(Inputs!R24+Inputs!R25)/1000</f>
        <v>4.251</v>
      </c>
      <c r="Q68" s="54">
        <f>(Inputs!S24+Inputs!S25)/1000</f>
        <v>4.251</v>
      </c>
      <c r="R68" s="54">
        <f>(Inputs!T24+Inputs!T25)/1000</f>
        <v>4.251</v>
      </c>
      <c r="S68" s="54">
        <f>(Inputs!U24+Inputs!U25)/1000</f>
        <v>4.251</v>
      </c>
      <c r="T68" s="54">
        <f>(Inputs!V24+Inputs!V25)/1000</f>
        <v>4.251</v>
      </c>
      <c r="U68" s="54">
        <f>(Inputs!W24+Inputs!W25)/1000</f>
        <v>4.251</v>
      </c>
      <c r="V68" s="54">
        <f>(Inputs!X24+Inputs!X25)/1000</f>
        <v>4.251</v>
      </c>
      <c r="W68" s="54">
        <f>(Inputs!Y24+Inputs!Y25)/1000</f>
        <v>4.251</v>
      </c>
      <c r="X68" s="54">
        <f>(Inputs!Z24+Inputs!Z25)/1000</f>
        <v>4.251</v>
      </c>
      <c r="Y68" s="54">
        <f>(Inputs!AA24+Inputs!AA25)/1000</f>
        <v>4.251</v>
      </c>
      <c r="Z68" s="54">
        <f>(Inputs!AB24+Inputs!AB25)/1000</f>
        <v>4.251</v>
      </c>
      <c r="AA68" s="54">
        <f>(Inputs!AC24+Inputs!AC25)/1000</f>
        <v>4.25118835</v>
      </c>
      <c r="AB68" s="54">
        <f>(Inputs!AD24+Inputs!AD25)/1000</f>
        <v>4.251</v>
      </c>
      <c r="AC68" s="54">
        <f>(Inputs!AE24+Inputs!AE25)/1000</f>
        <v>4.805</v>
      </c>
      <c r="AD68" s="54">
        <f>(Inputs!AF24+Inputs!AF25)/1000</f>
        <v>4.805</v>
      </c>
      <c r="AE68" s="54">
        <f>(Inputs!AG24+Inputs!AG25)/1000</f>
        <v>4.805</v>
      </c>
      <c r="AF68" s="54">
        <f>(Inputs!AH24+Inputs!AH25)/1000</f>
        <v>4.80468943</v>
      </c>
      <c r="AG68" s="54">
        <f>(Inputs!AI24+Inputs!AI25)/1000</f>
        <v>4.805</v>
      </c>
      <c r="AH68" s="54">
        <f>(Inputs!AJ24+Inputs!AJ25)/1000</f>
        <v>5.452</v>
      </c>
      <c r="AI68" s="54">
        <f>(Inputs!AK24+Inputs!AK25)/1000</f>
        <v>5.1</v>
      </c>
      <c r="AJ68" s="54">
        <f>(Inputs!AL24+Inputs!AL25)/1000</f>
        <v>5.123</v>
      </c>
      <c r="AK68" s="55">
        <f t="shared" ref="AK68:BW68" si="114">AJ68</f>
        <v>5.123</v>
      </c>
      <c r="AL68" s="55">
        <f t="shared" si="114"/>
        <v>5.123</v>
      </c>
      <c r="AM68" s="55">
        <f t="shared" si="114"/>
        <v>5.123</v>
      </c>
      <c r="AN68" s="55">
        <f t="shared" si="114"/>
        <v>5.123</v>
      </c>
      <c r="AO68" s="55">
        <f t="shared" si="114"/>
        <v>5.123</v>
      </c>
      <c r="AP68" s="55">
        <f t="shared" si="114"/>
        <v>5.123</v>
      </c>
      <c r="AQ68" s="55">
        <f t="shared" si="114"/>
        <v>5.123</v>
      </c>
      <c r="AR68" s="55">
        <f t="shared" si="114"/>
        <v>5.123</v>
      </c>
      <c r="AS68" s="55">
        <f t="shared" si="114"/>
        <v>5.123</v>
      </c>
      <c r="AT68" s="55">
        <f t="shared" si="114"/>
        <v>5.123</v>
      </c>
      <c r="AU68" s="55">
        <f t="shared" si="114"/>
        <v>5.123</v>
      </c>
      <c r="AV68" s="55">
        <f t="shared" si="114"/>
        <v>5.123</v>
      </c>
      <c r="AW68" s="55">
        <f t="shared" si="114"/>
        <v>5.123</v>
      </c>
      <c r="AX68" s="55">
        <f t="shared" si="114"/>
        <v>5.123</v>
      </c>
      <c r="AY68" s="55">
        <f t="shared" si="114"/>
        <v>5.123</v>
      </c>
      <c r="AZ68" s="55">
        <f t="shared" si="114"/>
        <v>5.123</v>
      </c>
      <c r="BA68" s="55">
        <f t="shared" si="114"/>
        <v>5.123</v>
      </c>
      <c r="BB68" s="55">
        <f t="shared" si="114"/>
        <v>5.123</v>
      </c>
      <c r="BC68" s="55">
        <f t="shared" si="114"/>
        <v>5.123</v>
      </c>
      <c r="BD68" s="55">
        <f t="shared" si="114"/>
        <v>5.123</v>
      </c>
      <c r="BE68" s="55">
        <f t="shared" si="114"/>
        <v>5.123</v>
      </c>
      <c r="BF68" s="55">
        <f t="shared" si="114"/>
        <v>5.123</v>
      </c>
      <c r="BG68" s="55">
        <f t="shared" si="114"/>
        <v>5.123</v>
      </c>
      <c r="BH68" s="55">
        <f t="shared" si="114"/>
        <v>5.123</v>
      </c>
      <c r="BI68" s="55">
        <f t="shared" si="114"/>
        <v>5.123</v>
      </c>
      <c r="BJ68" s="55">
        <f t="shared" si="114"/>
        <v>5.123</v>
      </c>
      <c r="BK68" s="55">
        <f t="shared" si="114"/>
        <v>5.123</v>
      </c>
      <c r="BL68" s="55">
        <f t="shared" si="114"/>
        <v>5.123</v>
      </c>
      <c r="BM68" s="55">
        <f t="shared" si="114"/>
        <v>5.123</v>
      </c>
      <c r="BN68" s="55">
        <f t="shared" si="114"/>
        <v>5.123</v>
      </c>
      <c r="BO68" s="55">
        <f t="shared" si="114"/>
        <v>5.123</v>
      </c>
      <c r="BP68" s="55">
        <f t="shared" si="114"/>
        <v>5.123</v>
      </c>
      <c r="BQ68" s="55">
        <f t="shared" si="114"/>
        <v>5.123</v>
      </c>
      <c r="BR68" s="55">
        <f t="shared" si="114"/>
        <v>5.123</v>
      </c>
      <c r="BS68" s="55">
        <f t="shared" si="114"/>
        <v>5.123</v>
      </c>
      <c r="BT68" s="55">
        <f t="shared" si="114"/>
        <v>5.123</v>
      </c>
      <c r="BU68" s="55">
        <f t="shared" si="114"/>
        <v>5.123</v>
      </c>
      <c r="BV68" s="55">
        <f t="shared" si="114"/>
        <v>5.123</v>
      </c>
      <c r="BW68" s="55">
        <f t="shared" si="114"/>
        <v>5.123</v>
      </c>
      <c r="BX68" s="6" t="s">
        <v>35</v>
      </c>
      <c r="BY68" s="54">
        <f t="shared" si="115"/>
        <v>0</v>
      </c>
      <c r="BZ68" s="54">
        <f t="shared" si="116"/>
        <v>0</v>
      </c>
      <c r="CA68" s="54">
        <f t="shared" si="117"/>
        <v>0.997</v>
      </c>
      <c r="CB68" s="54">
        <f t="shared" si="118"/>
        <v>4.251</v>
      </c>
      <c r="CC68" s="54">
        <f t="shared" si="119"/>
        <v>4.251</v>
      </c>
      <c r="CD68" s="54">
        <f t="shared" si="120"/>
        <v>4.25118835</v>
      </c>
      <c r="CE68" s="54">
        <f t="shared" si="121"/>
        <v>4.805</v>
      </c>
      <c r="CF68" s="54">
        <f t="shared" si="122"/>
        <v>5.1</v>
      </c>
      <c r="CG68" s="54">
        <f t="shared" si="123"/>
        <v>5.123</v>
      </c>
      <c r="CH68" s="54">
        <f t="shared" si="124"/>
        <v>5.123</v>
      </c>
      <c r="CI68" s="54">
        <f t="shared" si="125"/>
        <v>5.123</v>
      </c>
      <c r="CJ68" s="54">
        <f t="shared" si="126"/>
        <v>5.123</v>
      </c>
      <c r="CK68" s="54">
        <f t="shared" si="127"/>
        <v>5.123</v>
      </c>
      <c r="CL68" s="54">
        <f t="shared" si="128"/>
        <v>5.123</v>
      </c>
      <c r="CM68" s="54">
        <f t="shared" si="129"/>
        <v>5.123</v>
      </c>
      <c r="CN68" s="54">
        <f t="shared" si="130"/>
        <v>5.123</v>
      </c>
      <c r="CO68" s="54">
        <f t="shared" si="131"/>
        <v>5.123</v>
      </c>
      <c r="CP68" s="54">
        <f t="shared" si="132"/>
        <v>5.123</v>
      </c>
      <c r="CQ68" s="6" t="s">
        <v>35</v>
      </c>
      <c r="CR68" s="48"/>
      <c r="CW68" s="46"/>
      <c r="CX68" s="46">
        <f t="shared" ref="CX68:CY68" si="133">AH68-AG68</f>
        <v>0.647</v>
      </c>
      <c r="CY68" s="46">
        <f t="shared" si="133"/>
        <v>-0.352</v>
      </c>
      <c r="CZ68" s="56"/>
      <c r="DA68" s="46"/>
    </row>
    <row r="69" ht="14.25" customHeight="1">
      <c r="B69" s="53" t="str">
        <f>Inputs!B34</f>
        <v>Tributos diferidos</v>
      </c>
      <c r="D69" s="54">
        <v>5.9</v>
      </c>
      <c r="E69" s="54">
        <v>7.906</v>
      </c>
      <c r="F69" s="54">
        <v>9.433</v>
      </c>
      <c r="G69" s="54">
        <v>12.622</v>
      </c>
      <c r="H69" s="54">
        <v>12.783</v>
      </c>
      <c r="I69" s="54">
        <f>Inputs!K34/1000</f>
        <v>14.839</v>
      </c>
      <c r="J69" s="54">
        <f>Inputs!L34/1000</f>
        <v>13.511</v>
      </c>
      <c r="K69" s="54">
        <f>-Inputs!M34/1000</f>
        <v>16.813</v>
      </c>
      <c r="L69" s="54">
        <f>Inputs!N34/1000</f>
        <v>19.263</v>
      </c>
      <c r="M69" s="54">
        <f>Inputs!O34/1000</f>
        <v>20.598</v>
      </c>
      <c r="N69" s="54">
        <f>Inputs!P34/1000</f>
        <v>23.668</v>
      </c>
      <c r="O69" s="54">
        <f>Inputs!Q34/1000</f>
        <v>18.047</v>
      </c>
      <c r="P69" s="54">
        <f>Inputs!R34/1000</f>
        <v>14.699</v>
      </c>
      <c r="Q69" s="54">
        <f>Inputs!S34/1000</f>
        <v>13.739</v>
      </c>
      <c r="R69" s="54">
        <f>Inputs!T34/1000</f>
        <v>18.187</v>
      </c>
      <c r="S69" s="54">
        <f>Inputs!U34/1000</f>
        <v>34.592</v>
      </c>
      <c r="T69" s="54">
        <f>Inputs!V34/1000</f>
        <v>35.603</v>
      </c>
      <c r="U69" s="54">
        <f>Inputs!W34/1000</f>
        <v>36.604</v>
      </c>
      <c r="V69" s="54">
        <f>Inputs!X34/1000</f>
        <v>37.741</v>
      </c>
      <c r="W69" s="54">
        <f>Inputs!Y34/1000</f>
        <v>41.378</v>
      </c>
      <c r="X69" s="54">
        <f>Inputs!Z34/1000</f>
        <v>41.597</v>
      </c>
      <c r="Y69" s="54">
        <f>Inputs!AA34/1000</f>
        <v>41.914</v>
      </c>
      <c r="Z69" s="54">
        <f>Inputs!AB34/1000</f>
        <v>42.898</v>
      </c>
      <c r="AA69" s="54">
        <f>Inputs!AC34/1000</f>
        <v>48.007</v>
      </c>
      <c r="AB69" s="54">
        <f>Inputs!AD34/1000</f>
        <v>49.97</v>
      </c>
      <c r="AC69" s="54">
        <f>Inputs!AE34/1000</f>
        <v>51.621</v>
      </c>
      <c r="AD69" s="54">
        <f>Inputs!AF34/1000</f>
        <v>53.745</v>
      </c>
      <c r="AE69" s="54">
        <f>Inputs!AG34/1000</f>
        <v>64.509</v>
      </c>
      <c r="AF69" s="54">
        <f>Inputs!AH34/1000</f>
        <v>71.481</v>
      </c>
      <c r="AG69" s="54">
        <f>Inputs!AI34/1000</f>
        <v>77.689</v>
      </c>
      <c r="AH69" s="54">
        <f>Inputs!AJ34/1000</f>
        <v>82.182</v>
      </c>
      <c r="AI69" s="54">
        <f>Inputs!AK34/1000</f>
        <v>71.891</v>
      </c>
      <c r="AJ69" s="54">
        <f>Inputs!AL34/1000</f>
        <v>81.2</v>
      </c>
      <c r="AK69" s="55">
        <f t="shared" ref="AK69:BW69" si="134">AJ69</f>
        <v>81.2</v>
      </c>
      <c r="AL69" s="55">
        <f t="shared" si="134"/>
        <v>81.2</v>
      </c>
      <c r="AM69" s="55">
        <f t="shared" si="134"/>
        <v>81.2</v>
      </c>
      <c r="AN69" s="55">
        <f t="shared" si="134"/>
        <v>81.2</v>
      </c>
      <c r="AO69" s="55">
        <f t="shared" si="134"/>
        <v>81.2</v>
      </c>
      <c r="AP69" s="55">
        <f t="shared" si="134"/>
        <v>81.2</v>
      </c>
      <c r="AQ69" s="55">
        <f t="shared" si="134"/>
        <v>81.2</v>
      </c>
      <c r="AR69" s="55">
        <f t="shared" si="134"/>
        <v>81.2</v>
      </c>
      <c r="AS69" s="55">
        <f t="shared" si="134"/>
        <v>81.2</v>
      </c>
      <c r="AT69" s="55">
        <f t="shared" si="134"/>
        <v>81.2</v>
      </c>
      <c r="AU69" s="55">
        <f t="shared" si="134"/>
        <v>81.2</v>
      </c>
      <c r="AV69" s="55">
        <f t="shared" si="134"/>
        <v>81.2</v>
      </c>
      <c r="AW69" s="55">
        <f t="shared" si="134"/>
        <v>81.2</v>
      </c>
      <c r="AX69" s="55">
        <f t="shared" si="134"/>
        <v>81.2</v>
      </c>
      <c r="AY69" s="55">
        <f t="shared" si="134"/>
        <v>81.2</v>
      </c>
      <c r="AZ69" s="55">
        <f t="shared" si="134"/>
        <v>81.2</v>
      </c>
      <c r="BA69" s="55">
        <f t="shared" si="134"/>
        <v>81.2</v>
      </c>
      <c r="BB69" s="55">
        <f t="shared" si="134"/>
        <v>81.2</v>
      </c>
      <c r="BC69" s="55">
        <f t="shared" si="134"/>
        <v>81.2</v>
      </c>
      <c r="BD69" s="55">
        <f t="shared" si="134"/>
        <v>81.2</v>
      </c>
      <c r="BE69" s="55">
        <f t="shared" si="134"/>
        <v>81.2</v>
      </c>
      <c r="BF69" s="55">
        <f t="shared" si="134"/>
        <v>81.2</v>
      </c>
      <c r="BG69" s="55">
        <f t="shared" si="134"/>
        <v>81.2</v>
      </c>
      <c r="BH69" s="55">
        <f t="shared" si="134"/>
        <v>81.2</v>
      </c>
      <c r="BI69" s="55">
        <f t="shared" si="134"/>
        <v>81.2</v>
      </c>
      <c r="BJ69" s="55">
        <f t="shared" si="134"/>
        <v>81.2</v>
      </c>
      <c r="BK69" s="55">
        <f t="shared" si="134"/>
        <v>81.2</v>
      </c>
      <c r="BL69" s="55">
        <f t="shared" si="134"/>
        <v>81.2</v>
      </c>
      <c r="BM69" s="55">
        <f t="shared" si="134"/>
        <v>81.2</v>
      </c>
      <c r="BN69" s="55">
        <f t="shared" si="134"/>
        <v>81.2</v>
      </c>
      <c r="BO69" s="55">
        <f t="shared" si="134"/>
        <v>81.2</v>
      </c>
      <c r="BP69" s="55">
        <f t="shared" si="134"/>
        <v>81.2</v>
      </c>
      <c r="BQ69" s="55">
        <f t="shared" si="134"/>
        <v>81.2</v>
      </c>
      <c r="BR69" s="55">
        <f t="shared" si="134"/>
        <v>81.2</v>
      </c>
      <c r="BS69" s="55">
        <f t="shared" si="134"/>
        <v>81.2</v>
      </c>
      <c r="BT69" s="55">
        <f t="shared" si="134"/>
        <v>81.2</v>
      </c>
      <c r="BU69" s="55">
        <f t="shared" si="134"/>
        <v>81.2</v>
      </c>
      <c r="BV69" s="55">
        <f t="shared" si="134"/>
        <v>81.2</v>
      </c>
      <c r="BW69" s="55">
        <f t="shared" si="134"/>
        <v>81.2</v>
      </c>
      <c r="BX69" s="6" t="s">
        <v>35</v>
      </c>
      <c r="BY69" s="54">
        <f t="shared" si="115"/>
        <v>12.622</v>
      </c>
      <c r="BZ69" s="54">
        <f t="shared" si="116"/>
        <v>16.813</v>
      </c>
      <c r="CA69" s="54">
        <f t="shared" si="117"/>
        <v>18.047</v>
      </c>
      <c r="CB69" s="54">
        <f t="shared" si="118"/>
        <v>34.592</v>
      </c>
      <c r="CC69" s="54">
        <f t="shared" si="119"/>
        <v>41.378</v>
      </c>
      <c r="CD69" s="54">
        <f t="shared" si="120"/>
        <v>48.007</v>
      </c>
      <c r="CE69" s="54">
        <f t="shared" si="121"/>
        <v>64.509</v>
      </c>
      <c r="CF69" s="54">
        <f t="shared" si="122"/>
        <v>71.891</v>
      </c>
      <c r="CG69" s="54">
        <f t="shared" si="123"/>
        <v>81.2</v>
      </c>
      <c r="CH69" s="54">
        <f t="shared" si="124"/>
        <v>81.2</v>
      </c>
      <c r="CI69" s="54">
        <f t="shared" si="125"/>
        <v>81.2</v>
      </c>
      <c r="CJ69" s="54">
        <f t="shared" si="126"/>
        <v>81.2</v>
      </c>
      <c r="CK69" s="54">
        <f t="shared" si="127"/>
        <v>81.2</v>
      </c>
      <c r="CL69" s="54">
        <f t="shared" si="128"/>
        <v>81.2</v>
      </c>
      <c r="CM69" s="54">
        <f t="shared" si="129"/>
        <v>81.2</v>
      </c>
      <c r="CN69" s="54">
        <f t="shared" si="130"/>
        <v>81.2</v>
      </c>
      <c r="CO69" s="54">
        <f t="shared" si="131"/>
        <v>81.2</v>
      </c>
      <c r="CP69" s="54">
        <f t="shared" si="132"/>
        <v>81.2</v>
      </c>
      <c r="CQ69" s="6" t="s">
        <v>35</v>
      </c>
      <c r="CR69" s="48"/>
      <c r="CW69" s="46"/>
      <c r="CX69" s="46">
        <f t="shared" ref="CX69:CY69" si="135">AH69-AG69</f>
        <v>4.493</v>
      </c>
      <c r="CY69" s="46">
        <f t="shared" si="135"/>
        <v>-10.291</v>
      </c>
      <c r="DA69" s="46"/>
    </row>
    <row r="70" ht="14.25" customHeight="1">
      <c r="B70" s="53" t="str">
        <f>Inputs!B37</f>
        <v>Imobilizado e ativo de direito de uso</v>
      </c>
      <c r="D70" s="54">
        <v>42.391</v>
      </c>
      <c r="E70" s="54">
        <v>40.626</v>
      </c>
      <c r="F70" s="54">
        <v>76.175</v>
      </c>
      <c r="G70" s="54">
        <v>74.176</v>
      </c>
      <c r="H70" s="54">
        <v>67.664</v>
      </c>
      <c r="I70" s="54">
        <f>Inputs!K37/1000</f>
        <v>68.049</v>
      </c>
      <c r="J70" s="54">
        <f>Inputs!L37/1000</f>
        <v>66.735</v>
      </c>
      <c r="K70" s="54">
        <f>-Inputs!M37/1000</f>
        <v>67.964</v>
      </c>
      <c r="L70" s="54">
        <f>Inputs!N37/1000</f>
        <v>78.724</v>
      </c>
      <c r="M70" s="54">
        <f>Inputs!O37/1000</f>
        <v>80.36</v>
      </c>
      <c r="N70" s="54">
        <f>Inputs!P37/1000</f>
        <v>80.43</v>
      </c>
      <c r="O70" s="54">
        <f>Inputs!Q37/1000</f>
        <v>77.024</v>
      </c>
      <c r="P70" s="54">
        <f>Inputs!R37/1000</f>
        <v>74.242</v>
      </c>
      <c r="Q70" s="54">
        <f>Inputs!S37/1000</f>
        <v>70.589</v>
      </c>
      <c r="R70" s="54">
        <f>Inputs!T37/1000</f>
        <v>71.121</v>
      </c>
      <c r="S70" s="54">
        <f>Inputs!U37/1000</f>
        <v>75.485</v>
      </c>
      <c r="T70" s="54">
        <f>Inputs!V37/1000</f>
        <v>91.928</v>
      </c>
      <c r="U70" s="54">
        <f>Inputs!W37/1000</f>
        <v>91.68</v>
      </c>
      <c r="V70" s="54">
        <f>Inputs!X37/1000</f>
        <v>97.135</v>
      </c>
      <c r="W70" s="54">
        <f>Inputs!Y37/1000</f>
        <v>99.594</v>
      </c>
      <c r="X70" s="54">
        <f>Inputs!Z37/1000</f>
        <v>117.618</v>
      </c>
      <c r="Y70" s="54">
        <f>Inputs!AA37/1000</f>
        <v>132.806</v>
      </c>
      <c r="Z70" s="54">
        <f>Inputs!AB37/1000</f>
        <v>151.75</v>
      </c>
      <c r="AA70" s="54">
        <f>Inputs!AC37/1000</f>
        <v>174.189</v>
      </c>
      <c r="AB70" s="54">
        <f>Inputs!AD37/1000</f>
        <v>192.045</v>
      </c>
      <c r="AC70" s="54">
        <f>Inputs!AE37/1000</f>
        <v>211.083</v>
      </c>
      <c r="AD70" s="54">
        <f>Inputs!AF37/1000</f>
        <v>230.886</v>
      </c>
      <c r="AE70" s="54">
        <f>Inputs!AG37/1000</f>
        <v>255.291</v>
      </c>
      <c r="AF70" s="54">
        <f>Inputs!AH37/1000</f>
        <v>263.546</v>
      </c>
      <c r="AG70" s="54">
        <f>Inputs!AI37/1000</f>
        <v>272.059</v>
      </c>
      <c r="AH70" s="54">
        <f>Inputs!AJ37/1000</f>
        <v>294.753</v>
      </c>
      <c r="AI70" s="54">
        <f>Inputs!AK37/1000</f>
        <v>301.842</v>
      </c>
      <c r="AJ70" s="54">
        <f>Inputs!AL37/1000</f>
        <v>295.894</v>
      </c>
      <c r="AK70" s="54">
        <f t="shared" ref="AK70:BW70" si="136">AJ70/(AJ70+AJ71)*AK221</f>
        <v>298.969637</v>
      </c>
      <c r="AL70" s="54">
        <f t="shared" si="136"/>
        <v>308.4542405</v>
      </c>
      <c r="AM70" s="54">
        <f t="shared" si="136"/>
        <v>313.4046714</v>
      </c>
      <c r="AN70" s="54">
        <f t="shared" si="136"/>
        <v>315.9287646</v>
      </c>
      <c r="AO70" s="54">
        <f t="shared" si="136"/>
        <v>318.4005021</v>
      </c>
      <c r="AP70" s="54">
        <f t="shared" si="136"/>
        <v>321.4853929</v>
      </c>
      <c r="AQ70" s="54">
        <f t="shared" si="136"/>
        <v>326.0573229</v>
      </c>
      <c r="AR70" s="54">
        <f t="shared" si="136"/>
        <v>329.4682237</v>
      </c>
      <c r="AS70" s="54">
        <f t="shared" si="136"/>
        <v>332.7328897</v>
      </c>
      <c r="AT70" s="54">
        <f t="shared" si="136"/>
        <v>336.4893376</v>
      </c>
      <c r="AU70" s="54">
        <f t="shared" si="136"/>
        <v>342.0518196</v>
      </c>
      <c r="AV70" s="54">
        <f t="shared" si="136"/>
        <v>346.3376708</v>
      </c>
      <c r="AW70" s="54">
        <f t="shared" si="136"/>
        <v>350.4083953</v>
      </c>
      <c r="AX70" s="54">
        <f t="shared" si="136"/>
        <v>354.9305168</v>
      </c>
      <c r="AY70" s="54">
        <f t="shared" si="136"/>
        <v>361.414506</v>
      </c>
      <c r="AZ70" s="54">
        <f t="shared" si="136"/>
        <v>366.4983107</v>
      </c>
      <c r="BA70" s="54">
        <f t="shared" si="136"/>
        <v>371.3426954</v>
      </c>
      <c r="BB70" s="54">
        <f t="shared" si="136"/>
        <v>376.6915649</v>
      </c>
      <c r="BC70" s="54">
        <f t="shared" si="136"/>
        <v>384.1624485</v>
      </c>
      <c r="BD70" s="54">
        <f t="shared" si="136"/>
        <v>390.0796139</v>
      </c>
      <c r="BE70" s="54">
        <f t="shared" si="136"/>
        <v>395.7161494</v>
      </c>
      <c r="BF70" s="54">
        <f t="shared" si="136"/>
        <v>401.8954524</v>
      </c>
      <c r="BG70" s="54">
        <f t="shared" si="136"/>
        <v>410.3852506</v>
      </c>
      <c r="BH70" s="54">
        <f t="shared" si="136"/>
        <v>417.168743</v>
      </c>
      <c r="BI70" s="54">
        <f t="shared" si="136"/>
        <v>423.6361498</v>
      </c>
      <c r="BJ70" s="54">
        <f t="shared" si="136"/>
        <v>430.6836907</v>
      </c>
      <c r="BK70" s="54">
        <f t="shared" si="136"/>
        <v>440.2441447</v>
      </c>
      <c r="BL70" s="54">
        <f t="shared" si="136"/>
        <v>447.9304898</v>
      </c>
      <c r="BM70" s="54">
        <f t="shared" si="136"/>
        <v>455.2631465</v>
      </c>
      <c r="BN70" s="54">
        <f t="shared" si="136"/>
        <v>463.2212769</v>
      </c>
      <c r="BO70" s="54">
        <f t="shared" si="136"/>
        <v>473.9165534</v>
      </c>
      <c r="BP70" s="54">
        <f t="shared" si="136"/>
        <v>478.4460694</v>
      </c>
      <c r="BQ70" s="54">
        <f t="shared" si="136"/>
        <v>482.7366141</v>
      </c>
      <c r="BR70" s="54">
        <f t="shared" si="136"/>
        <v>487.6772239</v>
      </c>
      <c r="BS70" s="54">
        <f t="shared" si="136"/>
        <v>495.1881259</v>
      </c>
      <c r="BT70" s="54">
        <f t="shared" si="136"/>
        <v>500.9021149</v>
      </c>
      <c r="BU70" s="54">
        <f t="shared" si="136"/>
        <v>506.3291955</v>
      </c>
      <c r="BV70" s="54">
        <f t="shared" si="136"/>
        <v>512.4415423</v>
      </c>
      <c r="BW70" s="54">
        <f t="shared" si="136"/>
        <v>521.3380747</v>
      </c>
      <c r="BX70" s="6" t="s">
        <v>35</v>
      </c>
      <c r="BY70" s="54">
        <f t="shared" si="115"/>
        <v>74.176</v>
      </c>
      <c r="BZ70" s="54">
        <f t="shared" si="116"/>
        <v>67.964</v>
      </c>
      <c r="CA70" s="54">
        <f t="shared" si="117"/>
        <v>77.024</v>
      </c>
      <c r="CB70" s="54">
        <f t="shared" si="118"/>
        <v>75.485</v>
      </c>
      <c r="CC70" s="54">
        <f t="shared" si="119"/>
        <v>99.594</v>
      </c>
      <c r="CD70" s="54">
        <f t="shared" si="120"/>
        <v>174.189</v>
      </c>
      <c r="CE70" s="54">
        <f t="shared" si="121"/>
        <v>255.291</v>
      </c>
      <c r="CF70" s="54">
        <f t="shared" si="122"/>
        <v>301.842</v>
      </c>
      <c r="CG70" s="54">
        <f t="shared" si="123"/>
        <v>313.4046714</v>
      </c>
      <c r="CH70" s="54">
        <f t="shared" si="124"/>
        <v>326.0573229</v>
      </c>
      <c r="CI70" s="54">
        <f t="shared" si="125"/>
        <v>342.0518196</v>
      </c>
      <c r="CJ70" s="54">
        <f t="shared" si="126"/>
        <v>361.414506</v>
      </c>
      <c r="CK70" s="54">
        <f t="shared" si="127"/>
        <v>384.1624485</v>
      </c>
      <c r="CL70" s="54">
        <f t="shared" si="128"/>
        <v>410.3852506</v>
      </c>
      <c r="CM70" s="54">
        <f t="shared" si="129"/>
        <v>440.2441447</v>
      </c>
      <c r="CN70" s="54">
        <f t="shared" si="130"/>
        <v>473.9165534</v>
      </c>
      <c r="CO70" s="54">
        <f t="shared" si="131"/>
        <v>495.1881259</v>
      </c>
      <c r="CP70" s="54">
        <f t="shared" si="132"/>
        <v>521.3380747</v>
      </c>
      <c r="CQ70" s="6" t="s">
        <v>35</v>
      </c>
      <c r="CR70" s="48"/>
      <c r="CW70" s="46"/>
      <c r="CX70" s="46">
        <f t="shared" ref="CX70:CY70" si="137">AH70-AG70</f>
        <v>22.694</v>
      </c>
      <c r="CY70" s="46">
        <f t="shared" si="137"/>
        <v>7.089</v>
      </c>
      <c r="DA70" s="46"/>
    </row>
    <row r="71" ht="14.25" customHeight="1">
      <c r="B71" s="53" t="str">
        <f>Inputs!B38</f>
        <v>Intangível</v>
      </c>
      <c r="D71" s="54"/>
      <c r="E71" s="54"/>
      <c r="F71" s="54"/>
      <c r="G71" s="54"/>
      <c r="H71" s="54">
        <v>7.589</v>
      </c>
      <c r="I71" s="54">
        <f>Inputs!K38/1000</f>
        <v>7.172</v>
      </c>
      <c r="J71" s="54">
        <f>Inputs!L38/1000</f>
        <v>6.763</v>
      </c>
      <c r="K71" s="54">
        <f>-Inputs!M38/1000</f>
        <v>6.38</v>
      </c>
      <c r="L71" s="54">
        <f>Inputs!N38/1000</f>
        <v>5.943</v>
      </c>
      <c r="M71" s="54">
        <f>Inputs!O38/1000</f>
        <v>5.461</v>
      </c>
      <c r="N71" s="54">
        <f>Inputs!P38/1000</f>
        <v>5.017</v>
      </c>
      <c r="O71" s="54">
        <f>Inputs!Q38/1000</f>
        <v>4.556</v>
      </c>
      <c r="P71" s="54">
        <f>Inputs!R38/1000</f>
        <v>4.123</v>
      </c>
      <c r="Q71" s="54">
        <f>Inputs!S38/1000</f>
        <v>5.134</v>
      </c>
      <c r="R71" s="54">
        <f>Inputs!T38/1000</f>
        <v>4.863</v>
      </c>
      <c r="S71" s="54">
        <f>Inputs!U38/1000</f>
        <v>9.888</v>
      </c>
      <c r="T71" s="54">
        <f>Inputs!V38/1000</f>
        <v>9.553</v>
      </c>
      <c r="U71" s="54">
        <f>Inputs!W38/1000</f>
        <v>9.177</v>
      </c>
      <c r="V71" s="54">
        <f>Inputs!X38/1000</f>
        <v>8.783</v>
      </c>
      <c r="W71" s="54">
        <f>Inputs!Y38/1000</f>
        <v>8.055</v>
      </c>
      <c r="X71" s="54">
        <f>Inputs!Z38/1000</f>
        <v>25.498</v>
      </c>
      <c r="Y71" s="54">
        <f>Inputs!AA38/1000</f>
        <v>28.871</v>
      </c>
      <c r="Z71" s="54">
        <f>Inputs!AB38/1000</f>
        <v>33.035</v>
      </c>
      <c r="AA71" s="54">
        <f>Inputs!AC38/1000</f>
        <v>31.596</v>
      </c>
      <c r="AB71" s="54">
        <f>Inputs!AD38/1000</f>
        <v>54.677</v>
      </c>
      <c r="AC71" s="54">
        <f>Inputs!AE38/1000</f>
        <v>56.645</v>
      </c>
      <c r="AD71" s="54">
        <f>Inputs!AF38/1000</f>
        <v>58.36</v>
      </c>
      <c r="AE71" s="54">
        <f>Inputs!AG38/1000</f>
        <v>59.95</v>
      </c>
      <c r="AF71" s="54">
        <f>Inputs!AH38/1000</f>
        <v>60.638</v>
      </c>
      <c r="AG71" s="54">
        <f>Inputs!AI38/1000</f>
        <v>88.221</v>
      </c>
      <c r="AH71" s="54">
        <f>Inputs!AJ38/1000</f>
        <v>197.634</v>
      </c>
      <c r="AI71" s="54">
        <f>Inputs!AK38/1000</f>
        <v>245.411</v>
      </c>
      <c r="AJ71" s="54">
        <f>Inputs!AL38/1000</f>
        <v>225.826</v>
      </c>
      <c r="AK71" s="54">
        <f t="shared" ref="AK71:BW71" si="138">AK221-AK70</f>
        <v>228.173323</v>
      </c>
      <c r="AL71" s="54">
        <f t="shared" si="138"/>
        <v>235.4119628</v>
      </c>
      <c r="AM71" s="54">
        <f t="shared" si="138"/>
        <v>239.1901266</v>
      </c>
      <c r="AN71" s="54">
        <f t="shared" si="138"/>
        <v>241.116512</v>
      </c>
      <c r="AO71" s="54">
        <f t="shared" si="138"/>
        <v>243.0029396</v>
      </c>
      <c r="AP71" s="54">
        <f t="shared" si="138"/>
        <v>245.3573251</v>
      </c>
      <c r="AQ71" s="54">
        <f t="shared" si="138"/>
        <v>248.8466174</v>
      </c>
      <c r="AR71" s="54">
        <f t="shared" si="138"/>
        <v>251.4498134</v>
      </c>
      <c r="AS71" s="54">
        <f t="shared" si="138"/>
        <v>253.9414031</v>
      </c>
      <c r="AT71" s="54">
        <f t="shared" si="138"/>
        <v>256.8083204</v>
      </c>
      <c r="AU71" s="54">
        <f t="shared" si="138"/>
        <v>261.053601</v>
      </c>
      <c r="AV71" s="54">
        <f t="shared" si="138"/>
        <v>264.3245583</v>
      </c>
      <c r="AW71" s="54">
        <f t="shared" si="138"/>
        <v>267.4313311</v>
      </c>
      <c r="AX71" s="54">
        <f t="shared" si="138"/>
        <v>270.8826096</v>
      </c>
      <c r="AY71" s="54">
        <f t="shared" si="138"/>
        <v>275.8311836</v>
      </c>
      <c r="AZ71" s="54">
        <f t="shared" si="138"/>
        <v>279.7111381</v>
      </c>
      <c r="BA71" s="54">
        <f t="shared" si="138"/>
        <v>283.4083676</v>
      </c>
      <c r="BB71" s="54">
        <f t="shared" si="138"/>
        <v>287.4906194</v>
      </c>
      <c r="BC71" s="54">
        <f t="shared" si="138"/>
        <v>293.1923902</v>
      </c>
      <c r="BD71" s="54">
        <f t="shared" si="138"/>
        <v>297.7083648</v>
      </c>
      <c r="BE71" s="54">
        <f t="shared" si="138"/>
        <v>302.0101629</v>
      </c>
      <c r="BF71" s="54">
        <f t="shared" si="138"/>
        <v>306.7262007</v>
      </c>
      <c r="BG71" s="54">
        <f t="shared" si="138"/>
        <v>313.205606</v>
      </c>
      <c r="BH71" s="54">
        <f t="shared" si="138"/>
        <v>318.3827606</v>
      </c>
      <c r="BI71" s="54">
        <f t="shared" si="138"/>
        <v>323.3186789</v>
      </c>
      <c r="BJ71" s="54">
        <f t="shared" si="138"/>
        <v>328.6973549</v>
      </c>
      <c r="BK71" s="54">
        <f t="shared" si="138"/>
        <v>335.9938837</v>
      </c>
      <c r="BL71" s="54">
        <f t="shared" si="138"/>
        <v>341.8600945</v>
      </c>
      <c r="BM71" s="54">
        <f t="shared" si="138"/>
        <v>347.4563706</v>
      </c>
      <c r="BN71" s="54">
        <f t="shared" si="138"/>
        <v>353.5300076</v>
      </c>
      <c r="BO71" s="54">
        <f t="shared" si="138"/>
        <v>361.6926318</v>
      </c>
      <c r="BP71" s="54">
        <f t="shared" si="138"/>
        <v>365.1495538</v>
      </c>
      <c r="BQ71" s="54">
        <f t="shared" si="138"/>
        <v>368.4240932</v>
      </c>
      <c r="BR71" s="54">
        <f t="shared" si="138"/>
        <v>372.1947615</v>
      </c>
      <c r="BS71" s="54">
        <f t="shared" si="138"/>
        <v>377.9270743</v>
      </c>
      <c r="BT71" s="54">
        <f t="shared" si="138"/>
        <v>382.2879849</v>
      </c>
      <c r="BU71" s="54">
        <f t="shared" si="138"/>
        <v>386.4299273</v>
      </c>
      <c r="BV71" s="54">
        <f t="shared" si="138"/>
        <v>391.0948641</v>
      </c>
      <c r="BW71" s="54">
        <f t="shared" si="138"/>
        <v>397.8846886</v>
      </c>
      <c r="BX71" s="6" t="s">
        <v>35</v>
      </c>
      <c r="BY71" s="54" t="str">
        <f t="shared" si="115"/>
        <v/>
      </c>
      <c r="BZ71" s="54">
        <f t="shared" si="116"/>
        <v>6.38</v>
      </c>
      <c r="CA71" s="54">
        <f t="shared" si="117"/>
        <v>4.556</v>
      </c>
      <c r="CB71" s="54">
        <f t="shared" si="118"/>
        <v>9.888</v>
      </c>
      <c r="CC71" s="54">
        <f t="shared" si="119"/>
        <v>8.055</v>
      </c>
      <c r="CD71" s="54">
        <f t="shared" si="120"/>
        <v>31.596</v>
      </c>
      <c r="CE71" s="54">
        <f t="shared" si="121"/>
        <v>59.95</v>
      </c>
      <c r="CF71" s="54">
        <f t="shared" si="122"/>
        <v>245.411</v>
      </c>
      <c r="CG71" s="54">
        <f t="shared" si="123"/>
        <v>239.1901266</v>
      </c>
      <c r="CH71" s="54">
        <f t="shared" si="124"/>
        <v>248.8466174</v>
      </c>
      <c r="CI71" s="54">
        <f t="shared" si="125"/>
        <v>261.053601</v>
      </c>
      <c r="CJ71" s="54">
        <f t="shared" si="126"/>
        <v>275.8311836</v>
      </c>
      <c r="CK71" s="54">
        <f t="shared" si="127"/>
        <v>293.1923902</v>
      </c>
      <c r="CL71" s="54">
        <f t="shared" si="128"/>
        <v>313.205606</v>
      </c>
      <c r="CM71" s="54">
        <f t="shared" si="129"/>
        <v>335.9938837</v>
      </c>
      <c r="CN71" s="54">
        <f t="shared" si="130"/>
        <v>361.6926318</v>
      </c>
      <c r="CO71" s="54">
        <f t="shared" si="131"/>
        <v>377.9270743</v>
      </c>
      <c r="CP71" s="54">
        <f t="shared" si="132"/>
        <v>397.8846886</v>
      </c>
      <c r="CQ71" s="6" t="s">
        <v>35</v>
      </c>
      <c r="CR71" s="48"/>
      <c r="CW71" s="57"/>
      <c r="CX71" s="57">
        <f t="shared" ref="CX71:CY71" si="139">AH71-AG71</f>
        <v>109.413</v>
      </c>
      <c r="CY71" s="57">
        <f t="shared" si="139"/>
        <v>47.777</v>
      </c>
      <c r="DA71" s="46"/>
    </row>
    <row r="72" ht="14.25" customHeight="1">
      <c r="B72" s="53" t="str">
        <f>Inputs!B30</f>
        <v>Outros ativos não circulantes</v>
      </c>
      <c r="D72" s="54">
        <v>3.0010000000000048</v>
      </c>
      <c r="E72" s="54">
        <v>3.102000000000004</v>
      </c>
      <c r="F72" s="54">
        <v>4.564999999999998</v>
      </c>
      <c r="G72" s="54">
        <v>4.917000000000002</v>
      </c>
      <c r="H72" s="54">
        <v>5.1839999999999975</v>
      </c>
      <c r="I72" s="54">
        <f>(Inputs!K39/1000)-SUM(Modelo!I68:I71)</f>
        <v>11.452</v>
      </c>
      <c r="J72" s="54">
        <f>(Inputs!L39/1000)-SUM(Modelo!J68:J71)</f>
        <v>11.942</v>
      </c>
      <c r="K72" s="54">
        <f>-(Inputs!M39/1000)-SUM(Modelo!K68:K71)</f>
        <v>11.513</v>
      </c>
      <c r="L72" s="54">
        <f>(Inputs!N39/1000)-SUM(Modelo!L68:L71)</f>
        <v>11.448</v>
      </c>
      <c r="M72" s="54">
        <f>(Inputs!O39/1000)-SUM(Modelo!M68:M71)</f>
        <v>10.953</v>
      </c>
      <c r="N72" s="54">
        <f>(Inputs!P39/1000)-SUM(Modelo!N68:N71)</f>
        <v>10.743</v>
      </c>
      <c r="O72" s="54">
        <f>(Inputs!Q39/1000)-SUM(Modelo!O68:O71)</f>
        <v>11.055</v>
      </c>
      <c r="P72" s="54">
        <f>(Inputs!R39/1000)-SUM(Modelo!P68:P71)</f>
        <v>7.012</v>
      </c>
      <c r="Q72" s="54">
        <f>(Inputs!S39/1000)-SUM(Modelo!Q68:Q71)</f>
        <v>5.107</v>
      </c>
      <c r="R72" s="54">
        <f>(Inputs!T39/1000)-SUM(Modelo!R68:R71)</f>
        <v>7.627</v>
      </c>
      <c r="S72" s="54">
        <f>(Inputs!U39/1000)-SUM(Modelo!S68:S71)</f>
        <v>7.567</v>
      </c>
      <c r="T72" s="54">
        <f>(Inputs!V39/1000)-SUM(Modelo!T68:T71)</f>
        <v>7.609</v>
      </c>
      <c r="U72" s="54">
        <f>(Inputs!W39/1000)-SUM(Modelo!U68:U71)</f>
        <v>7.01</v>
      </c>
      <c r="V72" s="54">
        <f>(Inputs!X39/1000)-SUM(Modelo!V68:V71)</f>
        <v>8.376</v>
      </c>
      <c r="W72" s="54">
        <f>(Inputs!Y39/1000)-SUM(Modelo!W68:W71)</f>
        <v>8.995</v>
      </c>
      <c r="X72" s="54">
        <f>(Inputs!Z39/1000)-SUM(Modelo!X68:X71)</f>
        <v>8.671</v>
      </c>
      <c r="Y72" s="54">
        <f>(Inputs!AA39/1000)-SUM(Modelo!Y68:Y71)</f>
        <v>8.85861973</v>
      </c>
      <c r="Z72" s="54">
        <f>(Inputs!AB39/1000)-SUM(Modelo!Z68:Z71)</f>
        <v>12.467</v>
      </c>
      <c r="AA72" s="54">
        <f>(Inputs!AC39/1000)-SUM(Modelo!AA68:AA71)</f>
        <v>8.00799999</v>
      </c>
      <c r="AB72" s="54">
        <f>(Inputs!AD39/1000)-SUM(Modelo!AB68:AB71)</f>
        <v>7.964</v>
      </c>
      <c r="AC72" s="54">
        <f>(Inputs!AE39/1000)-SUM(Modelo!AC68:AC71)</f>
        <v>8.193</v>
      </c>
      <c r="AD72" s="54">
        <f>(Inputs!AF39/1000)-SUM(Modelo!AD68:AD71)</f>
        <v>8.455</v>
      </c>
      <c r="AE72" s="54">
        <f>(Inputs!AG39/1000)-SUM(Modelo!AE68:AE71)</f>
        <v>7.22199999</v>
      </c>
      <c r="AF72" s="54">
        <f>(Inputs!AH39/1000)-SUM(Modelo!AF68:AF71)</f>
        <v>9.77299999</v>
      </c>
      <c r="AG72" s="54">
        <f>(Inputs!AI39/1000)-SUM(Modelo!AG68:AG71)</f>
        <v>8.724</v>
      </c>
      <c r="AH72" s="54">
        <f>(Inputs!AJ39/1000)-SUM(Modelo!AH68:AH71)</f>
        <v>9.382</v>
      </c>
      <c r="AI72" s="54">
        <f>(Inputs!AK39/1000)-SUM(Modelo!AI68:AI71)</f>
        <v>9.592</v>
      </c>
      <c r="AJ72" s="54">
        <f>(Inputs!AL39/1000)-SUM(Modelo!AJ68:AJ71)</f>
        <v>10.107</v>
      </c>
      <c r="AK72" s="55">
        <f t="shared" ref="AK72:BW72" si="140">AJ72</f>
        <v>10.107</v>
      </c>
      <c r="AL72" s="55">
        <f t="shared" si="140"/>
        <v>10.107</v>
      </c>
      <c r="AM72" s="55">
        <f t="shared" si="140"/>
        <v>10.107</v>
      </c>
      <c r="AN72" s="55">
        <f t="shared" si="140"/>
        <v>10.107</v>
      </c>
      <c r="AO72" s="55">
        <f t="shared" si="140"/>
        <v>10.107</v>
      </c>
      <c r="AP72" s="55">
        <f t="shared" si="140"/>
        <v>10.107</v>
      </c>
      <c r="AQ72" s="55">
        <f t="shared" si="140"/>
        <v>10.107</v>
      </c>
      <c r="AR72" s="55">
        <f t="shared" si="140"/>
        <v>10.107</v>
      </c>
      <c r="AS72" s="55">
        <f t="shared" si="140"/>
        <v>10.107</v>
      </c>
      <c r="AT72" s="55">
        <f t="shared" si="140"/>
        <v>10.107</v>
      </c>
      <c r="AU72" s="55">
        <f t="shared" si="140"/>
        <v>10.107</v>
      </c>
      <c r="AV72" s="55">
        <f t="shared" si="140"/>
        <v>10.107</v>
      </c>
      <c r="AW72" s="55">
        <f t="shared" si="140"/>
        <v>10.107</v>
      </c>
      <c r="AX72" s="55">
        <f t="shared" si="140"/>
        <v>10.107</v>
      </c>
      <c r="AY72" s="55">
        <f t="shared" si="140"/>
        <v>10.107</v>
      </c>
      <c r="AZ72" s="55">
        <f t="shared" si="140"/>
        <v>10.107</v>
      </c>
      <c r="BA72" s="55">
        <f t="shared" si="140"/>
        <v>10.107</v>
      </c>
      <c r="BB72" s="55">
        <f t="shared" si="140"/>
        <v>10.107</v>
      </c>
      <c r="BC72" s="55">
        <f t="shared" si="140"/>
        <v>10.107</v>
      </c>
      <c r="BD72" s="55">
        <f t="shared" si="140"/>
        <v>10.107</v>
      </c>
      <c r="BE72" s="55">
        <f t="shared" si="140"/>
        <v>10.107</v>
      </c>
      <c r="BF72" s="55">
        <f t="shared" si="140"/>
        <v>10.107</v>
      </c>
      <c r="BG72" s="55">
        <f t="shared" si="140"/>
        <v>10.107</v>
      </c>
      <c r="BH72" s="55">
        <f t="shared" si="140"/>
        <v>10.107</v>
      </c>
      <c r="BI72" s="55">
        <f t="shared" si="140"/>
        <v>10.107</v>
      </c>
      <c r="BJ72" s="55">
        <f t="shared" si="140"/>
        <v>10.107</v>
      </c>
      <c r="BK72" s="55">
        <f t="shared" si="140"/>
        <v>10.107</v>
      </c>
      <c r="BL72" s="55">
        <f t="shared" si="140"/>
        <v>10.107</v>
      </c>
      <c r="BM72" s="55">
        <f t="shared" si="140"/>
        <v>10.107</v>
      </c>
      <c r="BN72" s="55">
        <f t="shared" si="140"/>
        <v>10.107</v>
      </c>
      <c r="BO72" s="55">
        <f t="shared" si="140"/>
        <v>10.107</v>
      </c>
      <c r="BP72" s="55">
        <f t="shared" si="140"/>
        <v>10.107</v>
      </c>
      <c r="BQ72" s="55">
        <f t="shared" si="140"/>
        <v>10.107</v>
      </c>
      <c r="BR72" s="55">
        <f t="shared" si="140"/>
        <v>10.107</v>
      </c>
      <c r="BS72" s="55">
        <f t="shared" si="140"/>
        <v>10.107</v>
      </c>
      <c r="BT72" s="55">
        <f t="shared" si="140"/>
        <v>10.107</v>
      </c>
      <c r="BU72" s="55">
        <f t="shared" si="140"/>
        <v>10.107</v>
      </c>
      <c r="BV72" s="55">
        <f t="shared" si="140"/>
        <v>10.107</v>
      </c>
      <c r="BW72" s="55">
        <f t="shared" si="140"/>
        <v>10.107</v>
      </c>
      <c r="BX72" s="6" t="s">
        <v>35</v>
      </c>
      <c r="BY72" s="54">
        <f t="shared" si="115"/>
        <v>4.917</v>
      </c>
      <c r="BZ72" s="54">
        <f t="shared" si="116"/>
        <v>11.513</v>
      </c>
      <c r="CA72" s="54">
        <f t="shared" si="117"/>
        <v>11.055</v>
      </c>
      <c r="CB72" s="54">
        <f t="shared" si="118"/>
        <v>7.567</v>
      </c>
      <c r="CC72" s="54">
        <f t="shared" si="119"/>
        <v>8.995</v>
      </c>
      <c r="CD72" s="54">
        <f t="shared" si="120"/>
        <v>8.00799999</v>
      </c>
      <c r="CE72" s="54">
        <f t="shared" si="121"/>
        <v>7.22199999</v>
      </c>
      <c r="CF72" s="54">
        <f t="shared" si="122"/>
        <v>9.592</v>
      </c>
      <c r="CG72" s="54">
        <f t="shared" si="123"/>
        <v>10.107</v>
      </c>
      <c r="CH72" s="54">
        <f t="shared" si="124"/>
        <v>10.107</v>
      </c>
      <c r="CI72" s="54">
        <f t="shared" si="125"/>
        <v>10.107</v>
      </c>
      <c r="CJ72" s="54">
        <f t="shared" si="126"/>
        <v>10.107</v>
      </c>
      <c r="CK72" s="54">
        <f t="shared" si="127"/>
        <v>10.107</v>
      </c>
      <c r="CL72" s="54">
        <f t="shared" si="128"/>
        <v>10.107</v>
      </c>
      <c r="CM72" s="54">
        <f t="shared" si="129"/>
        <v>10.107</v>
      </c>
      <c r="CN72" s="54">
        <f t="shared" si="130"/>
        <v>10.107</v>
      </c>
      <c r="CO72" s="54">
        <f t="shared" si="131"/>
        <v>10.107</v>
      </c>
      <c r="CP72" s="54">
        <f t="shared" si="132"/>
        <v>10.107</v>
      </c>
      <c r="CQ72" s="6" t="s">
        <v>35</v>
      </c>
      <c r="CR72" s="48"/>
      <c r="CW72" s="46"/>
      <c r="CX72" s="46">
        <f t="shared" ref="CX72:CY72" si="141">AH72-AG72</f>
        <v>0.658</v>
      </c>
      <c r="CY72" s="46">
        <f t="shared" si="141"/>
        <v>0.21</v>
      </c>
      <c r="DA72" s="46"/>
    </row>
    <row r="73" ht="14.25" customHeight="1">
      <c r="B73" s="53"/>
      <c r="BX73" s="6" t="s">
        <v>35</v>
      </c>
      <c r="CQ73" s="6" t="s">
        <v>35</v>
      </c>
      <c r="DA73" s="46"/>
    </row>
    <row r="74" ht="14.25" customHeight="1">
      <c r="B74" s="49" t="s">
        <v>70</v>
      </c>
      <c r="C74" s="33" t="s">
        <v>39</v>
      </c>
      <c r="D74" s="58">
        <f t="shared" ref="D74:BW74" si="142">+D76+D86</f>
        <v>58.863</v>
      </c>
      <c r="E74" s="58">
        <f t="shared" si="142"/>
        <v>83.691</v>
      </c>
      <c r="F74" s="58">
        <f t="shared" si="142"/>
        <v>110.245</v>
      </c>
      <c r="G74" s="58">
        <f t="shared" si="142"/>
        <v>127.632</v>
      </c>
      <c r="H74" s="58">
        <f t="shared" si="142"/>
        <v>137.523</v>
      </c>
      <c r="I74" s="58">
        <f t="shared" si="142"/>
        <v>138.157</v>
      </c>
      <c r="J74" s="58">
        <f t="shared" si="142"/>
        <v>138.031</v>
      </c>
      <c r="K74" s="58">
        <f t="shared" si="142"/>
        <v>141.857</v>
      </c>
      <c r="L74" s="58">
        <f t="shared" si="142"/>
        <v>159.24</v>
      </c>
      <c r="M74" s="58">
        <f t="shared" si="142"/>
        <v>179.4</v>
      </c>
      <c r="N74" s="58">
        <f t="shared" si="142"/>
        <v>179.93</v>
      </c>
      <c r="O74" s="58">
        <f t="shared" si="142"/>
        <v>164.932</v>
      </c>
      <c r="P74" s="58">
        <f t="shared" si="142"/>
        <v>131.25</v>
      </c>
      <c r="Q74" s="58">
        <f t="shared" si="142"/>
        <v>127.488</v>
      </c>
      <c r="R74" s="58">
        <f t="shared" si="142"/>
        <v>118.837</v>
      </c>
      <c r="S74" s="58">
        <f t="shared" si="142"/>
        <v>111.044</v>
      </c>
      <c r="T74" s="58">
        <f t="shared" si="142"/>
        <v>112.83</v>
      </c>
      <c r="U74" s="58">
        <f t="shared" si="142"/>
        <v>123.419</v>
      </c>
      <c r="V74" s="58">
        <f t="shared" si="142"/>
        <v>127.985</v>
      </c>
      <c r="W74" s="58">
        <f t="shared" si="142"/>
        <v>145.297</v>
      </c>
      <c r="X74" s="58">
        <f t="shared" si="142"/>
        <v>175.671</v>
      </c>
      <c r="Y74" s="58">
        <f t="shared" si="142"/>
        <v>223.417</v>
      </c>
      <c r="Z74" s="58">
        <f t="shared" si="142"/>
        <v>306.6760001</v>
      </c>
      <c r="AA74" s="58">
        <f t="shared" si="142"/>
        <v>398.1770001</v>
      </c>
      <c r="AB74" s="58">
        <f t="shared" si="142"/>
        <v>533.431</v>
      </c>
      <c r="AC74" s="58">
        <f t="shared" si="142"/>
        <v>486.876</v>
      </c>
      <c r="AD74" s="58">
        <f t="shared" si="142"/>
        <v>482.04</v>
      </c>
      <c r="AE74" s="58">
        <f t="shared" si="142"/>
        <v>598.3</v>
      </c>
      <c r="AF74" s="58">
        <f t="shared" si="142"/>
        <v>545.602</v>
      </c>
      <c r="AG74" s="58">
        <f t="shared" si="142"/>
        <v>595.203</v>
      </c>
      <c r="AH74" s="58">
        <f t="shared" si="142"/>
        <v>845.308</v>
      </c>
      <c r="AI74" s="58">
        <f t="shared" si="142"/>
        <v>874.512</v>
      </c>
      <c r="AJ74" s="58">
        <f t="shared" si="142"/>
        <v>1053.278</v>
      </c>
      <c r="AK74" s="58">
        <f t="shared" si="142"/>
        <v>1094.148342</v>
      </c>
      <c r="AL74" s="58">
        <f t="shared" si="142"/>
        <v>1095.381872</v>
      </c>
      <c r="AM74" s="58">
        <f t="shared" si="142"/>
        <v>1070.134434</v>
      </c>
      <c r="AN74" s="58">
        <f t="shared" si="142"/>
        <v>1057.541612</v>
      </c>
      <c r="AO74" s="58">
        <f t="shared" si="142"/>
        <v>1111.135244</v>
      </c>
      <c r="AP74" s="58">
        <f t="shared" si="142"/>
        <v>1119.292685</v>
      </c>
      <c r="AQ74" s="58">
        <f t="shared" si="142"/>
        <v>1089.517933</v>
      </c>
      <c r="AR74" s="58">
        <f t="shared" si="142"/>
        <v>1074.90009</v>
      </c>
      <c r="AS74" s="58">
        <f t="shared" si="142"/>
        <v>1132.973905</v>
      </c>
      <c r="AT74" s="58">
        <f t="shared" si="142"/>
        <v>1140.691107</v>
      </c>
      <c r="AU74" s="58">
        <f t="shared" si="142"/>
        <v>1107.721332</v>
      </c>
      <c r="AV74" s="58">
        <f t="shared" si="142"/>
        <v>1092.088098</v>
      </c>
      <c r="AW74" s="58">
        <f t="shared" si="142"/>
        <v>1155.541535</v>
      </c>
      <c r="AX74" s="58">
        <f t="shared" si="142"/>
        <v>1163.973614</v>
      </c>
      <c r="AY74" s="58">
        <f t="shared" si="142"/>
        <v>1127.94971</v>
      </c>
      <c r="AZ74" s="58">
        <f t="shared" si="142"/>
        <v>1110.868303</v>
      </c>
      <c r="BA74" s="58">
        <f t="shared" si="142"/>
        <v>1180.1997</v>
      </c>
      <c r="BB74" s="58">
        <f t="shared" si="142"/>
        <v>1189.412878</v>
      </c>
      <c r="BC74" s="58">
        <f t="shared" si="142"/>
        <v>1150.051928</v>
      </c>
      <c r="BD74" s="58">
        <f t="shared" si="142"/>
        <v>1131.388199</v>
      </c>
      <c r="BE74" s="58">
        <f t="shared" si="142"/>
        <v>1207.142055</v>
      </c>
      <c r="BF74" s="58">
        <f t="shared" si="142"/>
        <v>1217.208688</v>
      </c>
      <c r="BG74" s="58">
        <f t="shared" si="142"/>
        <v>1174.201568</v>
      </c>
      <c r="BH74" s="58">
        <f t="shared" si="142"/>
        <v>1153.808938</v>
      </c>
      <c r="BI74" s="58">
        <f t="shared" si="142"/>
        <v>1236.580193</v>
      </c>
      <c r="BJ74" s="58">
        <f t="shared" si="142"/>
        <v>1247.579341</v>
      </c>
      <c r="BK74" s="58">
        <f t="shared" si="142"/>
        <v>1200.58829</v>
      </c>
      <c r="BL74" s="58">
        <f t="shared" si="142"/>
        <v>1178.306605</v>
      </c>
      <c r="BM74" s="58">
        <f t="shared" si="142"/>
        <v>1268.74531</v>
      </c>
      <c r="BN74" s="58">
        <f t="shared" si="142"/>
        <v>1280.763355</v>
      </c>
      <c r="BO74" s="58">
        <f t="shared" si="142"/>
        <v>1229.419325</v>
      </c>
      <c r="BP74" s="58">
        <f t="shared" si="142"/>
        <v>1205.073594</v>
      </c>
      <c r="BQ74" s="58">
        <f t="shared" si="142"/>
        <v>1303.890017</v>
      </c>
      <c r="BR74" s="58">
        <f t="shared" si="142"/>
        <v>1317.021345</v>
      </c>
      <c r="BS74" s="58">
        <f t="shared" si="142"/>
        <v>1260.921101</v>
      </c>
      <c r="BT74" s="58">
        <f t="shared" si="142"/>
        <v>1234.320122</v>
      </c>
      <c r="BU74" s="58">
        <f t="shared" si="142"/>
        <v>1342.290326</v>
      </c>
      <c r="BV74" s="58">
        <f t="shared" si="142"/>
        <v>1356.638064</v>
      </c>
      <c r="BW74" s="58">
        <f t="shared" si="142"/>
        <v>1295.341018</v>
      </c>
      <c r="BX74" s="6" t="s">
        <v>35</v>
      </c>
      <c r="BY74" s="50">
        <f>G74</f>
        <v>127.632</v>
      </c>
      <c r="BZ74" s="50">
        <f>K74</f>
        <v>141.857</v>
      </c>
      <c r="CA74" s="50">
        <f>O74</f>
        <v>164.932</v>
      </c>
      <c r="CB74" s="50">
        <f>S74</f>
        <v>111.044</v>
      </c>
      <c r="CC74" s="50">
        <f>W74</f>
        <v>145.297</v>
      </c>
      <c r="CD74" s="50">
        <f>AA74</f>
        <v>398.1770001</v>
      </c>
      <c r="CE74" s="50">
        <f>AE74</f>
        <v>598.3</v>
      </c>
      <c r="CF74" s="50">
        <f>AI74</f>
        <v>874.512</v>
      </c>
      <c r="CG74" s="50">
        <f>AM74</f>
        <v>1070.134434</v>
      </c>
      <c r="CH74" s="50">
        <f>AQ74</f>
        <v>1089.517933</v>
      </c>
      <c r="CI74" s="50">
        <f>AU74</f>
        <v>1107.721332</v>
      </c>
      <c r="CJ74" s="50">
        <f>AY74</f>
        <v>1127.94971</v>
      </c>
      <c r="CK74" s="50">
        <f>BC74</f>
        <v>1150.051928</v>
      </c>
      <c r="CL74" s="50">
        <f>BG74</f>
        <v>1174.201568</v>
      </c>
      <c r="CM74" s="50">
        <f>BK74</f>
        <v>1200.58829</v>
      </c>
      <c r="CN74" s="50">
        <f>BO74</f>
        <v>1229.419325</v>
      </c>
      <c r="CO74" s="50">
        <f>BS74</f>
        <v>1260.921101</v>
      </c>
      <c r="CP74" s="50">
        <f>BW74</f>
        <v>1295.341018</v>
      </c>
      <c r="CQ74" s="6" t="s">
        <v>35</v>
      </c>
      <c r="CR74" s="48"/>
      <c r="CW74" s="46"/>
      <c r="CX74" s="46">
        <f t="shared" ref="CX74:CY74" si="143">AH74-AG74</f>
        <v>250.105</v>
      </c>
      <c r="CY74" s="46">
        <f t="shared" si="143"/>
        <v>29.204</v>
      </c>
      <c r="DA74" s="46"/>
    </row>
    <row r="75" ht="14.25" customHeight="1">
      <c r="B75" s="59"/>
      <c r="C75" s="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BX75" s="6" t="s">
        <v>35</v>
      </c>
      <c r="CQ75" s="6" t="s">
        <v>35</v>
      </c>
      <c r="DA75" s="46"/>
    </row>
    <row r="76" ht="14.25" customHeight="1">
      <c r="B76" s="51" t="s">
        <v>71</v>
      </c>
      <c r="C76" s="15" t="s">
        <v>39</v>
      </c>
      <c r="D76" s="52">
        <f t="shared" ref="D76:G76" si="144">+D77+D78+D79+D80+D81+D82+D84</f>
        <v>56.569</v>
      </c>
      <c r="E76" s="52">
        <f t="shared" si="144"/>
        <v>70.156</v>
      </c>
      <c r="F76" s="52">
        <f t="shared" si="144"/>
        <v>75.589</v>
      </c>
      <c r="G76" s="52">
        <f t="shared" si="144"/>
        <v>89.663</v>
      </c>
      <c r="H76" s="52">
        <f t="shared" ref="H76:BW76" si="145">+H77+H78+H79+H80+H81+H82+H83+H84</f>
        <v>106.524</v>
      </c>
      <c r="I76" s="52">
        <f t="shared" si="145"/>
        <v>101.471</v>
      </c>
      <c r="J76" s="52">
        <f t="shared" si="145"/>
        <v>108.174</v>
      </c>
      <c r="K76" s="52">
        <f t="shared" si="145"/>
        <v>114.81</v>
      </c>
      <c r="L76" s="52">
        <f t="shared" si="145"/>
        <v>131.132</v>
      </c>
      <c r="M76" s="52">
        <f t="shared" si="145"/>
        <v>92.451</v>
      </c>
      <c r="N76" s="52">
        <f t="shared" si="145"/>
        <v>101.252</v>
      </c>
      <c r="O76" s="52">
        <f t="shared" si="145"/>
        <v>95.18</v>
      </c>
      <c r="P76" s="52">
        <f t="shared" si="145"/>
        <v>70.044</v>
      </c>
      <c r="Q76" s="52">
        <f t="shared" si="145"/>
        <v>69.38</v>
      </c>
      <c r="R76" s="52">
        <f t="shared" si="145"/>
        <v>68.301</v>
      </c>
      <c r="S76" s="52">
        <f t="shared" si="145"/>
        <v>66.608</v>
      </c>
      <c r="T76" s="52">
        <f t="shared" si="145"/>
        <v>74.266</v>
      </c>
      <c r="U76" s="52">
        <f t="shared" si="145"/>
        <v>91.576</v>
      </c>
      <c r="V76" s="52">
        <f t="shared" si="145"/>
        <v>104.317</v>
      </c>
      <c r="W76" s="52">
        <f t="shared" si="145"/>
        <v>106.361</v>
      </c>
      <c r="X76" s="52">
        <f t="shared" si="145"/>
        <v>127.042</v>
      </c>
      <c r="Y76" s="52">
        <f t="shared" si="145"/>
        <v>170.646</v>
      </c>
      <c r="Z76" s="52">
        <f t="shared" si="145"/>
        <v>202.8430001</v>
      </c>
      <c r="AA76" s="52">
        <f t="shared" si="145"/>
        <v>259.1220001</v>
      </c>
      <c r="AB76" s="52">
        <f t="shared" si="145"/>
        <v>289.881</v>
      </c>
      <c r="AC76" s="52">
        <f t="shared" si="145"/>
        <v>238.72</v>
      </c>
      <c r="AD76" s="52">
        <f t="shared" si="145"/>
        <v>247.4</v>
      </c>
      <c r="AE76" s="52">
        <f t="shared" si="145"/>
        <v>277.072</v>
      </c>
      <c r="AF76" s="52">
        <f t="shared" si="145"/>
        <v>257.94</v>
      </c>
      <c r="AG76" s="52">
        <f t="shared" si="145"/>
        <v>264.726</v>
      </c>
      <c r="AH76" s="52">
        <f t="shared" si="145"/>
        <v>395.917</v>
      </c>
      <c r="AI76" s="52">
        <f t="shared" si="145"/>
        <v>546.806</v>
      </c>
      <c r="AJ76" s="52">
        <f t="shared" si="145"/>
        <v>406.194</v>
      </c>
      <c r="AK76" s="52">
        <f t="shared" si="145"/>
        <v>447.0643417</v>
      </c>
      <c r="AL76" s="52">
        <f t="shared" si="145"/>
        <v>448.2978715</v>
      </c>
      <c r="AM76" s="52">
        <f t="shared" si="145"/>
        <v>423.0504341</v>
      </c>
      <c r="AN76" s="52">
        <f t="shared" si="145"/>
        <v>410.4576116</v>
      </c>
      <c r="AO76" s="52">
        <f t="shared" si="145"/>
        <v>464.0512439</v>
      </c>
      <c r="AP76" s="52">
        <f t="shared" si="145"/>
        <v>472.2086849</v>
      </c>
      <c r="AQ76" s="52">
        <f t="shared" si="145"/>
        <v>442.4339326</v>
      </c>
      <c r="AR76" s="52">
        <f t="shared" si="145"/>
        <v>427.8160896</v>
      </c>
      <c r="AS76" s="52">
        <f t="shared" si="145"/>
        <v>485.8899051</v>
      </c>
      <c r="AT76" s="52">
        <f t="shared" si="145"/>
        <v>493.6071073</v>
      </c>
      <c r="AU76" s="52">
        <f t="shared" si="145"/>
        <v>460.6373323</v>
      </c>
      <c r="AV76" s="52">
        <f t="shared" si="145"/>
        <v>445.0040977</v>
      </c>
      <c r="AW76" s="52">
        <f t="shared" si="145"/>
        <v>508.4575353</v>
      </c>
      <c r="AX76" s="52">
        <f t="shared" si="145"/>
        <v>516.8896145</v>
      </c>
      <c r="AY76" s="52">
        <f t="shared" si="145"/>
        <v>480.8657104</v>
      </c>
      <c r="AZ76" s="52">
        <f t="shared" si="145"/>
        <v>463.7843035</v>
      </c>
      <c r="BA76" s="52">
        <f t="shared" si="145"/>
        <v>533.1157002</v>
      </c>
      <c r="BB76" s="52">
        <f t="shared" si="145"/>
        <v>542.3288783</v>
      </c>
      <c r="BC76" s="52">
        <f t="shared" si="145"/>
        <v>502.9679283</v>
      </c>
      <c r="BD76" s="52">
        <f t="shared" si="145"/>
        <v>484.3041987</v>
      </c>
      <c r="BE76" s="52">
        <f t="shared" si="145"/>
        <v>560.0580546</v>
      </c>
      <c r="BF76" s="52">
        <f t="shared" si="145"/>
        <v>570.1246882</v>
      </c>
      <c r="BG76" s="52">
        <f t="shared" si="145"/>
        <v>527.1175677</v>
      </c>
      <c r="BH76" s="52">
        <f t="shared" si="145"/>
        <v>506.7249383</v>
      </c>
      <c r="BI76" s="52">
        <f t="shared" si="145"/>
        <v>589.4961928</v>
      </c>
      <c r="BJ76" s="52">
        <f t="shared" si="145"/>
        <v>600.495341</v>
      </c>
      <c r="BK76" s="52">
        <f t="shared" si="145"/>
        <v>553.5042898</v>
      </c>
      <c r="BL76" s="52">
        <f t="shared" si="145"/>
        <v>531.2226053</v>
      </c>
      <c r="BM76" s="52">
        <f t="shared" si="145"/>
        <v>621.6613096</v>
      </c>
      <c r="BN76" s="52">
        <f t="shared" si="145"/>
        <v>633.6793553</v>
      </c>
      <c r="BO76" s="52">
        <f t="shared" si="145"/>
        <v>582.3353252</v>
      </c>
      <c r="BP76" s="52">
        <f t="shared" si="145"/>
        <v>557.9895944</v>
      </c>
      <c r="BQ76" s="52">
        <f t="shared" si="145"/>
        <v>656.8060167</v>
      </c>
      <c r="BR76" s="52">
        <f t="shared" si="145"/>
        <v>669.9373446</v>
      </c>
      <c r="BS76" s="52">
        <f t="shared" si="145"/>
        <v>613.8371007</v>
      </c>
      <c r="BT76" s="52">
        <f t="shared" si="145"/>
        <v>587.2361224</v>
      </c>
      <c r="BU76" s="52">
        <f t="shared" si="145"/>
        <v>695.206326</v>
      </c>
      <c r="BV76" s="52">
        <f t="shared" si="145"/>
        <v>709.554064</v>
      </c>
      <c r="BW76" s="52">
        <f t="shared" si="145"/>
        <v>648.2570184</v>
      </c>
      <c r="BX76" s="6" t="s">
        <v>35</v>
      </c>
      <c r="BY76" s="52">
        <f t="shared" ref="BY76:BY84" si="148">G76</f>
        <v>89.663</v>
      </c>
      <c r="BZ76" s="52">
        <f t="shared" ref="BZ76:BZ84" si="149">K76</f>
        <v>114.81</v>
      </c>
      <c r="CA76" s="52">
        <f t="shared" ref="CA76:CA84" si="150">O76</f>
        <v>95.18</v>
      </c>
      <c r="CB76" s="52">
        <f t="shared" ref="CB76:CB84" si="151">S76</f>
        <v>66.608</v>
      </c>
      <c r="CC76" s="52">
        <f t="shared" ref="CC76:CC84" si="152">W76</f>
        <v>106.361</v>
      </c>
      <c r="CD76" s="52">
        <f t="shared" ref="CD76:CD84" si="153">AA76</f>
        <v>259.1220001</v>
      </c>
      <c r="CE76" s="52">
        <f t="shared" ref="CE76:CE84" si="154">AE76</f>
        <v>277.072</v>
      </c>
      <c r="CF76" s="52">
        <f t="shared" ref="CF76:CF84" si="155">AI76</f>
        <v>546.806</v>
      </c>
      <c r="CG76" s="52">
        <f t="shared" ref="CG76:CG84" si="156">AM76</f>
        <v>423.0504341</v>
      </c>
      <c r="CH76" s="52">
        <f t="shared" ref="CH76:CH84" si="157">AQ76</f>
        <v>442.4339326</v>
      </c>
      <c r="CI76" s="52">
        <f t="shared" ref="CI76:CI84" si="158">AU76</f>
        <v>460.6373323</v>
      </c>
      <c r="CJ76" s="52">
        <f t="shared" ref="CJ76:CJ84" si="159">AY76</f>
        <v>480.8657104</v>
      </c>
      <c r="CK76" s="52">
        <f t="shared" ref="CK76:CK84" si="160">BC76</f>
        <v>502.9679283</v>
      </c>
      <c r="CL76" s="52">
        <f t="shared" ref="CL76:CL84" si="161">BG76</f>
        <v>527.1175677</v>
      </c>
      <c r="CM76" s="52">
        <f t="shared" ref="CM76:CM84" si="162">BK76</f>
        <v>553.5042898</v>
      </c>
      <c r="CN76" s="52">
        <f t="shared" ref="CN76:CN84" si="163">BO76</f>
        <v>582.3353252</v>
      </c>
      <c r="CO76" s="52">
        <f t="shared" ref="CO76:CO84" si="164">BS76</f>
        <v>613.8371007</v>
      </c>
      <c r="CP76" s="52">
        <f t="shared" ref="CP76:CP84" si="165">BW76</f>
        <v>648.2570184</v>
      </c>
      <c r="CQ76" s="6" t="s">
        <v>35</v>
      </c>
      <c r="CR76" s="48"/>
      <c r="CW76" s="46"/>
      <c r="CX76" s="46">
        <f t="shared" ref="CX76:CY76" si="146">AH76-AG76</f>
        <v>131.191</v>
      </c>
      <c r="CY76" s="46">
        <f t="shared" si="146"/>
        <v>150.889</v>
      </c>
      <c r="DA76" s="46"/>
    </row>
    <row r="77" ht="14.25" customHeight="1">
      <c r="B77" s="53" t="str">
        <f>Inputs!B46</f>
        <v>Fornecedores</v>
      </c>
      <c r="D77" s="54">
        <v>2.432</v>
      </c>
      <c r="E77" s="54">
        <v>2.062</v>
      </c>
      <c r="F77" s="54">
        <v>6.477</v>
      </c>
      <c r="G77" s="54">
        <v>9.632000000000001</v>
      </c>
      <c r="H77" s="54">
        <f>(Inputs!J46+Inputs!J47)/1000</f>
        <v>11.537</v>
      </c>
      <c r="I77" s="54">
        <f>(Inputs!K46+Inputs!K47)/1000</f>
        <v>9.585</v>
      </c>
      <c r="J77" s="54">
        <f>(Inputs!L46+Inputs!L47)/1000</f>
        <v>9.888</v>
      </c>
      <c r="K77" s="54">
        <f>((Inputs!M46+Inputs!M47)/1000)*-1</f>
        <v>13.246</v>
      </c>
      <c r="L77" s="54">
        <f>(Inputs!N46+Inputs!N47)/1000</f>
        <v>14.953</v>
      </c>
      <c r="M77" s="54">
        <f>(Inputs!O46+Inputs!O47)/1000</f>
        <v>12.713</v>
      </c>
      <c r="N77" s="54">
        <f>(Inputs!P46+Inputs!P47)/1000</f>
        <v>12.764</v>
      </c>
      <c r="O77" s="54">
        <f>(Inputs!Q46+Inputs!Q47)/1000</f>
        <v>9.761</v>
      </c>
      <c r="P77" s="54">
        <f>(Inputs!R46+Inputs!R47)/1000</f>
        <v>8.681</v>
      </c>
      <c r="Q77" s="54">
        <f>(Inputs!S46+Inputs!S47)/1000</f>
        <v>6.606</v>
      </c>
      <c r="R77" s="54">
        <f>(Inputs!T46+Inputs!T47)/1000</f>
        <v>7.124</v>
      </c>
      <c r="S77" s="54">
        <f>(Inputs!U46+Inputs!U47)/1000</f>
        <v>11.478</v>
      </c>
      <c r="T77" s="54">
        <f>(Inputs!V46+Inputs!V47)/1000</f>
        <v>12.157</v>
      </c>
      <c r="U77" s="54">
        <f>(Inputs!W46+Inputs!W47)/1000</f>
        <v>12.457</v>
      </c>
      <c r="V77" s="54">
        <f>(Inputs!X46+Inputs!X47)/1000</f>
        <v>13.559</v>
      </c>
      <c r="W77" s="54">
        <f>(Inputs!Y46+Inputs!Y47)/1000</f>
        <v>17.25</v>
      </c>
      <c r="X77" s="54">
        <f>(Inputs!Z46+Inputs!Z47)/1000</f>
        <v>18.09500001</v>
      </c>
      <c r="Y77" s="54">
        <f>(Inputs!AA46+Inputs!AA47)/1000</f>
        <v>26.49899995</v>
      </c>
      <c r="Z77" s="54">
        <f>(Inputs!AB46+Inputs!AB47)/1000</f>
        <v>29.79800004</v>
      </c>
      <c r="AA77" s="54">
        <f>(Inputs!AC46+Inputs!AC47)/1000</f>
        <v>33.38300006</v>
      </c>
      <c r="AB77" s="54">
        <f>(Inputs!AD46+Inputs!AD47)/1000</f>
        <v>36.383</v>
      </c>
      <c r="AC77" s="54">
        <f>(Inputs!AE46+Inputs!AE47)/1000</f>
        <v>33.689</v>
      </c>
      <c r="AD77" s="54">
        <f>(Inputs!AF46+Inputs!AF47)/1000</f>
        <v>29.052</v>
      </c>
      <c r="AE77" s="54">
        <f>(Inputs!AG46+Inputs!AG47)/1000</f>
        <v>38.577</v>
      </c>
      <c r="AF77" s="54">
        <f>(Inputs!AH46+Inputs!AH47)/1000</f>
        <v>20.957</v>
      </c>
      <c r="AG77" s="54">
        <f>(Inputs!AI46+Inputs!AI47)/1000</f>
        <v>21.204</v>
      </c>
      <c r="AH77" s="54">
        <f>(Inputs!AJ46+Inputs!AJ47)/1000</f>
        <v>60.039</v>
      </c>
      <c r="AI77" s="54">
        <f>(Inputs!AK46+Inputs!AK47)/1000</f>
        <v>44.567</v>
      </c>
      <c r="AJ77" s="54">
        <f>(Inputs!AL46+Inputs!AL47)/1000</f>
        <v>38.515</v>
      </c>
      <c r="AK77" s="54">
        <f t="shared" ref="AK77:BW77" si="147">AK185</f>
        <v>41.76826148</v>
      </c>
      <c r="AL77" s="54">
        <f t="shared" si="147"/>
        <v>61.56562262</v>
      </c>
      <c r="AM77" s="54">
        <f t="shared" si="147"/>
        <v>52.10836593</v>
      </c>
      <c r="AN77" s="54">
        <f t="shared" si="147"/>
        <v>39.45002793</v>
      </c>
      <c r="AO77" s="54">
        <f t="shared" si="147"/>
        <v>45.21333278</v>
      </c>
      <c r="AP77" s="54">
        <f t="shared" si="147"/>
        <v>68.67907153</v>
      </c>
      <c r="AQ77" s="54">
        <f t="shared" si="147"/>
        <v>57.67290341</v>
      </c>
      <c r="AR77" s="54">
        <f t="shared" si="147"/>
        <v>43.50983842</v>
      </c>
      <c r="AS77" s="54">
        <f t="shared" si="147"/>
        <v>49.65235781</v>
      </c>
      <c r="AT77" s="54">
        <f t="shared" si="147"/>
        <v>75.04873375</v>
      </c>
      <c r="AU77" s="54">
        <f t="shared" si="147"/>
        <v>62.90824919</v>
      </c>
      <c r="AV77" s="54">
        <f t="shared" si="147"/>
        <v>47.54033795</v>
      </c>
      <c r="AW77" s="54">
        <f t="shared" si="147"/>
        <v>54.25186478</v>
      </c>
      <c r="AX77" s="54">
        <f t="shared" si="147"/>
        <v>82.00081395</v>
      </c>
      <c r="AY77" s="54">
        <f t="shared" si="147"/>
        <v>68.73570519</v>
      </c>
      <c r="AZ77" s="54">
        <f t="shared" si="147"/>
        <v>51.94419962</v>
      </c>
      <c r="BA77" s="54">
        <f t="shared" si="147"/>
        <v>59.27744344</v>
      </c>
      <c r="BB77" s="54">
        <f t="shared" si="147"/>
        <v>89.59689461</v>
      </c>
      <c r="BC77" s="54">
        <f t="shared" si="147"/>
        <v>75.10298297</v>
      </c>
      <c r="BD77" s="54">
        <f t="shared" si="147"/>
        <v>56.75600954</v>
      </c>
      <c r="BE77" s="54">
        <f t="shared" si="147"/>
        <v>64.76856261</v>
      </c>
      <c r="BF77" s="54">
        <f t="shared" si="147"/>
        <v>97.89663221</v>
      </c>
      <c r="BG77" s="54">
        <f t="shared" si="147"/>
        <v>82.06008851</v>
      </c>
      <c r="BH77" s="54">
        <f t="shared" si="147"/>
        <v>62.01355768</v>
      </c>
      <c r="BI77" s="54">
        <f t="shared" si="147"/>
        <v>70.76834727</v>
      </c>
      <c r="BJ77" s="54">
        <f t="shared" si="147"/>
        <v>106.9652094</v>
      </c>
      <c r="BK77" s="54">
        <f t="shared" si="147"/>
        <v>89.66166002</v>
      </c>
      <c r="BL77" s="54">
        <f t="shared" si="147"/>
        <v>67.75813463</v>
      </c>
      <c r="BM77" s="54">
        <f t="shared" si="147"/>
        <v>77.32391725</v>
      </c>
      <c r="BN77" s="54">
        <f t="shared" si="147"/>
        <v>116.8738472</v>
      </c>
      <c r="BO77" s="54">
        <f t="shared" si="147"/>
        <v>97.96739711</v>
      </c>
      <c r="BP77" s="54">
        <f t="shared" si="147"/>
        <v>74.03485594</v>
      </c>
      <c r="BQ77" s="54">
        <f t="shared" si="147"/>
        <v>84.48675728</v>
      </c>
      <c r="BR77" s="54">
        <f t="shared" si="147"/>
        <v>127.7003637</v>
      </c>
      <c r="BS77" s="54">
        <f t="shared" si="147"/>
        <v>107.0425296</v>
      </c>
      <c r="BT77" s="54">
        <f t="shared" si="147"/>
        <v>80.89301637</v>
      </c>
      <c r="BU77" s="54">
        <f t="shared" si="147"/>
        <v>92.31312134</v>
      </c>
      <c r="BV77" s="54">
        <f t="shared" si="147"/>
        <v>139.5297861</v>
      </c>
      <c r="BW77" s="54">
        <f t="shared" si="147"/>
        <v>116.9583298</v>
      </c>
      <c r="BX77" s="6" t="s">
        <v>35</v>
      </c>
      <c r="BY77" s="54">
        <f t="shared" si="148"/>
        <v>9.632</v>
      </c>
      <c r="BZ77" s="54">
        <f t="shared" si="149"/>
        <v>13.246</v>
      </c>
      <c r="CA77" s="54">
        <f t="shared" si="150"/>
        <v>9.761</v>
      </c>
      <c r="CB77" s="54">
        <f t="shared" si="151"/>
        <v>11.478</v>
      </c>
      <c r="CC77" s="54">
        <f t="shared" si="152"/>
        <v>17.25</v>
      </c>
      <c r="CD77" s="54">
        <f t="shared" si="153"/>
        <v>33.38300006</v>
      </c>
      <c r="CE77" s="54">
        <f t="shared" si="154"/>
        <v>38.577</v>
      </c>
      <c r="CF77" s="54">
        <f t="shared" si="155"/>
        <v>44.567</v>
      </c>
      <c r="CG77" s="54">
        <f t="shared" si="156"/>
        <v>52.10836593</v>
      </c>
      <c r="CH77" s="54">
        <f t="shared" si="157"/>
        <v>57.67290341</v>
      </c>
      <c r="CI77" s="54">
        <f t="shared" si="158"/>
        <v>62.90824919</v>
      </c>
      <c r="CJ77" s="54">
        <f t="shared" si="159"/>
        <v>68.73570519</v>
      </c>
      <c r="CK77" s="54">
        <f t="shared" si="160"/>
        <v>75.10298297</v>
      </c>
      <c r="CL77" s="54">
        <f t="shared" si="161"/>
        <v>82.06008851</v>
      </c>
      <c r="CM77" s="54">
        <f t="shared" si="162"/>
        <v>89.66166002</v>
      </c>
      <c r="CN77" s="54">
        <f t="shared" si="163"/>
        <v>97.96739711</v>
      </c>
      <c r="CO77" s="54">
        <f t="shared" si="164"/>
        <v>107.0425296</v>
      </c>
      <c r="CP77" s="54">
        <f t="shared" si="165"/>
        <v>116.9583298</v>
      </c>
      <c r="CQ77" s="6" t="s">
        <v>35</v>
      </c>
      <c r="CR77" s="48"/>
      <c r="CW77" s="46"/>
      <c r="CX77" s="46">
        <f t="shared" ref="CX77:CY77" si="166">AH77-AG77</f>
        <v>38.835</v>
      </c>
      <c r="CY77" s="46">
        <f t="shared" si="166"/>
        <v>-15.472</v>
      </c>
      <c r="DA77" s="46"/>
    </row>
    <row r="78" ht="14.25" customHeight="1">
      <c r="B78" s="53" t="str">
        <f>Inputs!B49</f>
        <v>Empréstimos e financiamentos</v>
      </c>
      <c r="D78" s="54">
        <v>12.01</v>
      </c>
      <c r="E78" s="54">
        <v>22.747</v>
      </c>
      <c r="F78" s="54">
        <v>28.186</v>
      </c>
      <c r="G78" s="54">
        <v>43.774</v>
      </c>
      <c r="H78" s="54">
        <f>(Inputs!J49+Inputs!J50)/1000</f>
        <v>53.759</v>
      </c>
      <c r="I78" s="54">
        <f>(Inputs!K49+Inputs!K50)/1000</f>
        <v>43.836</v>
      </c>
      <c r="J78" s="54">
        <f>(Inputs!L49+Inputs!L50)/1000</f>
        <v>46.112</v>
      </c>
      <c r="K78" s="54">
        <f>((Inputs!M49+Inputs!M50)/1000)*-1</f>
        <v>53.735</v>
      </c>
      <c r="L78" s="54">
        <f>(Inputs!N49+Inputs!N50)/1000</f>
        <v>56.805</v>
      </c>
      <c r="M78" s="54">
        <f>(Inputs!O49+Inputs!O50)/1000</f>
        <v>12.561</v>
      </c>
      <c r="N78" s="54">
        <f>(Inputs!P49+Inputs!P50)/1000</f>
        <v>12.315</v>
      </c>
      <c r="O78" s="54">
        <f>(Inputs!Q49+Inputs!Q50)/1000</f>
        <v>20.367</v>
      </c>
      <c r="P78" s="54">
        <f>(Inputs!R49+Inputs!R50)/1000</f>
        <v>22.305</v>
      </c>
      <c r="Q78" s="54">
        <f>(Inputs!S49+Inputs!S50)/1000</f>
        <v>27.898</v>
      </c>
      <c r="R78" s="54">
        <f>(Inputs!T49+Inputs!T50)/1000</f>
        <v>26.594</v>
      </c>
      <c r="S78" s="54">
        <f>(Inputs!U49+Inputs!U50)/1000</f>
        <v>25.339</v>
      </c>
      <c r="T78" s="54">
        <f>(Inputs!V49+Inputs!V50)/1000</f>
        <v>25.105</v>
      </c>
      <c r="U78" s="54">
        <f>(Inputs!W49+Inputs!W50)/1000</f>
        <v>28.813</v>
      </c>
      <c r="V78" s="54">
        <f>(Inputs!X49+Inputs!X50)/1000</f>
        <v>29.211</v>
      </c>
      <c r="W78" s="54">
        <f>(Inputs!Y49+Inputs!Y50)/1000</f>
        <v>32.864</v>
      </c>
      <c r="X78" s="54">
        <f>(Inputs!Z49+Inputs!Z50)/1000</f>
        <v>31.904</v>
      </c>
      <c r="Y78" s="54">
        <f>(Inputs!AA49+Inputs!AA50)/1000</f>
        <v>37.855</v>
      </c>
      <c r="Z78" s="54">
        <f>(Inputs!AB49+Inputs!AB50)/1000</f>
        <v>40.282</v>
      </c>
      <c r="AA78" s="54">
        <f>(Inputs!AC49+Inputs!AC50)/1000</f>
        <v>35.653</v>
      </c>
      <c r="AB78" s="54">
        <f>(Inputs!AD49+Inputs!AD50)/1000</f>
        <v>40.687</v>
      </c>
      <c r="AC78" s="54">
        <f>(Inputs!AE49+Inputs!AE50)/1000</f>
        <v>48.643</v>
      </c>
      <c r="AD78" s="54">
        <f>(Inputs!AF49+Inputs!AF50)/1000</f>
        <v>60.453</v>
      </c>
      <c r="AE78" s="54">
        <f>(Inputs!AG49+Inputs!AG50)/1000</f>
        <v>77.019</v>
      </c>
      <c r="AF78" s="54">
        <f>(Inputs!AH49+Inputs!AH50)/1000</f>
        <v>91.419</v>
      </c>
      <c r="AG78" s="54">
        <f>(Inputs!AI49+Inputs!AI50)/1000</f>
        <v>95.471</v>
      </c>
      <c r="AH78" s="54">
        <f>(Inputs!AJ49+Inputs!AJ50)/1000</f>
        <v>97.974</v>
      </c>
      <c r="AI78" s="54">
        <f>(Inputs!AK49+Inputs!AK50)/1000</f>
        <v>267.358</v>
      </c>
      <c r="AJ78" s="54">
        <f>(Inputs!AL49+Inputs!AL50)/1000</f>
        <v>127.847</v>
      </c>
      <c r="AK78" s="54">
        <f t="shared" ref="AK78:BW78" si="167">AJ78/SUM(AJ78,AJ87)*AK106</f>
        <v>127.847</v>
      </c>
      <c r="AL78" s="54">
        <f t="shared" si="167"/>
        <v>127.847</v>
      </c>
      <c r="AM78" s="54">
        <f t="shared" si="167"/>
        <v>127.847</v>
      </c>
      <c r="AN78" s="54">
        <f t="shared" si="167"/>
        <v>127.847</v>
      </c>
      <c r="AO78" s="54">
        <f t="shared" si="167"/>
        <v>127.847</v>
      </c>
      <c r="AP78" s="54">
        <f t="shared" si="167"/>
        <v>127.847</v>
      </c>
      <c r="AQ78" s="54">
        <f t="shared" si="167"/>
        <v>127.847</v>
      </c>
      <c r="AR78" s="54">
        <f t="shared" si="167"/>
        <v>127.847</v>
      </c>
      <c r="AS78" s="54">
        <f t="shared" si="167"/>
        <v>127.847</v>
      </c>
      <c r="AT78" s="54">
        <f t="shared" si="167"/>
        <v>127.847</v>
      </c>
      <c r="AU78" s="54">
        <f t="shared" si="167"/>
        <v>127.847</v>
      </c>
      <c r="AV78" s="54">
        <f t="shared" si="167"/>
        <v>127.847</v>
      </c>
      <c r="AW78" s="54">
        <f t="shared" si="167"/>
        <v>127.847</v>
      </c>
      <c r="AX78" s="54">
        <f t="shared" si="167"/>
        <v>127.847</v>
      </c>
      <c r="AY78" s="54">
        <f t="shared" si="167"/>
        <v>127.847</v>
      </c>
      <c r="AZ78" s="54">
        <f t="shared" si="167"/>
        <v>127.847</v>
      </c>
      <c r="BA78" s="54">
        <f t="shared" si="167"/>
        <v>127.847</v>
      </c>
      <c r="BB78" s="54">
        <f t="shared" si="167"/>
        <v>127.847</v>
      </c>
      <c r="BC78" s="54">
        <f t="shared" si="167"/>
        <v>127.847</v>
      </c>
      <c r="BD78" s="54">
        <f t="shared" si="167"/>
        <v>127.847</v>
      </c>
      <c r="BE78" s="54">
        <f t="shared" si="167"/>
        <v>127.847</v>
      </c>
      <c r="BF78" s="54">
        <f t="shared" si="167"/>
        <v>127.847</v>
      </c>
      <c r="BG78" s="54">
        <f t="shared" si="167"/>
        <v>127.847</v>
      </c>
      <c r="BH78" s="54">
        <f t="shared" si="167"/>
        <v>127.847</v>
      </c>
      <c r="BI78" s="54">
        <f t="shared" si="167"/>
        <v>127.847</v>
      </c>
      <c r="BJ78" s="54">
        <f t="shared" si="167"/>
        <v>127.847</v>
      </c>
      <c r="BK78" s="54">
        <f t="shared" si="167"/>
        <v>127.847</v>
      </c>
      <c r="BL78" s="54">
        <f t="shared" si="167"/>
        <v>127.847</v>
      </c>
      <c r="BM78" s="54">
        <f t="shared" si="167"/>
        <v>127.847</v>
      </c>
      <c r="BN78" s="54">
        <f t="shared" si="167"/>
        <v>127.847</v>
      </c>
      <c r="BO78" s="54">
        <f t="shared" si="167"/>
        <v>127.847</v>
      </c>
      <c r="BP78" s="54">
        <f t="shared" si="167"/>
        <v>127.847</v>
      </c>
      <c r="BQ78" s="54">
        <f t="shared" si="167"/>
        <v>127.847</v>
      </c>
      <c r="BR78" s="54">
        <f t="shared" si="167"/>
        <v>127.847</v>
      </c>
      <c r="BS78" s="54">
        <f t="shared" si="167"/>
        <v>127.847</v>
      </c>
      <c r="BT78" s="54">
        <f t="shared" si="167"/>
        <v>127.847</v>
      </c>
      <c r="BU78" s="54">
        <f t="shared" si="167"/>
        <v>127.847</v>
      </c>
      <c r="BV78" s="54">
        <f t="shared" si="167"/>
        <v>127.847</v>
      </c>
      <c r="BW78" s="54">
        <f t="shared" si="167"/>
        <v>127.847</v>
      </c>
      <c r="BX78" s="6" t="s">
        <v>35</v>
      </c>
      <c r="BY78" s="54">
        <f t="shared" si="148"/>
        <v>43.774</v>
      </c>
      <c r="BZ78" s="54">
        <f t="shared" si="149"/>
        <v>53.735</v>
      </c>
      <c r="CA78" s="54">
        <f t="shared" si="150"/>
        <v>20.367</v>
      </c>
      <c r="CB78" s="54">
        <f t="shared" si="151"/>
        <v>25.339</v>
      </c>
      <c r="CC78" s="54">
        <f t="shared" si="152"/>
        <v>32.864</v>
      </c>
      <c r="CD78" s="54">
        <f t="shared" si="153"/>
        <v>35.653</v>
      </c>
      <c r="CE78" s="54">
        <f t="shared" si="154"/>
        <v>77.019</v>
      </c>
      <c r="CF78" s="54">
        <f t="shared" si="155"/>
        <v>267.358</v>
      </c>
      <c r="CG78" s="54">
        <f t="shared" si="156"/>
        <v>127.847</v>
      </c>
      <c r="CH78" s="54">
        <f t="shared" si="157"/>
        <v>127.847</v>
      </c>
      <c r="CI78" s="54">
        <f t="shared" si="158"/>
        <v>127.847</v>
      </c>
      <c r="CJ78" s="54">
        <f t="shared" si="159"/>
        <v>127.847</v>
      </c>
      <c r="CK78" s="54">
        <f t="shared" si="160"/>
        <v>127.847</v>
      </c>
      <c r="CL78" s="54">
        <f t="shared" si="161"/>
        <v>127.847</v>
      </c>
      <c r="CM78" s="54">
        <f t="shared" si="162"/>
        <v>127.847</v>
      </c>
      <c r="CN78" s="54">
        <f t="shared" si="163"/>
        <v>127.847</v>
      </c>
      <c r="CO78" s="54">
        <f t="shared" si="164"/>
        <v>127.847</v>
      </c>
      <c r="CP78" s="54">
        <f t="shared" si="165"/>
        <v>127.847</v>
      </c>
      <c r="CQ78" s="6" t="s">
        <v>35</v>
      </c>
      <c r="CR78" s="48"/>
      <c r="CW78" s="46"/>
      <c r="CX78" s="46">
        <f t="shared" ref="CX78:CY78" si="168">AH78-AG78</f>
        <v>2.503</v>
      </c>
      <c r="CY78" s="46">
        <f t="shared" si="168"/>
        <v>169.384</v>
      </c>
      <c r="DA78" s="46"/>
    </row>
    <row r="79" ht="14.25" customHeight="1">
      <c r="B79" s="53" t="str">
        <f>Inputs!B53</f>
        <v>Salários e Encargos Sociais</v>
      </c>
      <c r="D79" s="54">
        <v>14.027</v>
      </c>
      <c r="E79" s="54">
        <v>17.213</v>
      </c>
      <c r="F79" s="54">
        <v>27.149</v>
      </c>
      <c r="G79" s="54">
        <v>21.51</v>
      </c>
      <c r="H79" s="54">
        <f>Inputs!J53/1000</f>
        <v>26.582</v>
      </c>
      <c r="I79" s="54">
        <f>Inputs!K53/1000</f>
        <v>36.642</v>
      </c>
      <c r="J79" s="54">
        <f>Inputs!L53/1000</f>
        <v>34.914</v>
      </c>
      <c r="K79" s="54">
        <f>(Inputs!M53/1000)*-1</f>
        <v>28.385</v>
      </c>
      <c r="L79" s="54">
        <f>Inputs!N53/1000</f>
        <v>31.788</v>
      </c>
      <c r="M79" s="54">
        <f>Inputs!O53/1000</f>
        <v>35.377</v>
      </c>
      <c r="N79" s="54">
        <f>Inputs!P53/1000</f>
        <v>34.811</v>
      </c>
      <c r="O79" s="54">
        <f>Inputs!Q53/1000</f>
        <v>24.967</v>
      </c>
      <c r="P79" s="54">
        <f>Inputs!R53/1000</f>
        <v>21.521</v>
      </c>
      <c r="Q79" s="54">
        <f>Inputs!S53/1000</f>
        <v>21.683</v>
      </c>
      <c r="R79" s="54">
        <f>Inputs!T53/1000</f>
        <v>21.661</v>
      </c>
      <c r="S79" s="54">
        <f>Inputs!U53/1000</f>
        <v>17.778</v>
      </c>
      <c r="T79" s="54">
        <f>Inputs!V53/1000</f>
        <v>23.144</v>
      </c>
      <c r="U79" s="54">
        <f>Inputs!W53/1000</f>
        <v>33.303</v>
      </c>
      <c r="V79" s="54">
        <f>Inputs!X53/1000</f>
        <v>41.306</v>
      </c>
      <c r="W79" s="54">
        <f>Inputs!Y53/1000</f>
        <v>32.982</v>
      </c>
      <c r="X79" s="54">
        <f>Inputs!Z53/1000</f>
        <v>40.932</v>
      </c>
      <c r="Y79" s="54">
        <f>Inputs!AA53/1000</f>
        <v>55.515</v>
      </c>
      <c r="Z79" s="54">
        <f>Inputs!AB53/1000</f>
        <v>71.069</v>
      </c>
      <c r="AA79" s="54">
        <f>Inputs!AC53/1000</f>
        <v>69.116</v>
      </c>
      <c r="AB79" s="54">
        <f>Inputs!AD53/1000</f>
        <v>74.887</v>
      </c>
      <c r="AC79" s="54">
        <f>Inputs!AE53/1000</f>
        <v>82.899</v>
      </c>
      <c r="AD79" s="54">
        <f>Inputs!AF53/1000</f>
        <v>97.465</v>
      </c>
      <c r="AE79" s="54">
        <f>Inputs!AG53/1000</f>
        <v>78.67</v>
      </c>
      <c r="AF79" s="54">
        <f>Inputs!AH53/1000</f>
        <v>75.311</v>
      </c>
      <c r="AG79" s="54">
        <f>Inputs!AI53/1000</f>
        <v>77.802</v>
      </c>
      <c r="AH79" s="54">
        <f>Inputs!AJ53/1000</f>
        <v>119.224</v>
      </c>
      <c r="AI79" s="54">
        <f>Inputs!AK53/1000</f>
        <v>100.936</v>
      </c>
      <c r="AJ79" s="54">
        <f>Inputs!AL53/1000</f>
        <v>110.759</v>
      </c>
      <c r="AK79" s="54">
        <f t="shared" ref="AK79:BW79" si="169">AK189</f>
        <v>139.9684771</v>
      </c>
      <c r="AL79" s="54">
        <f t="shared" si="169"/>
        <v>119.2695916</v>
      </c>
      <c r="AM79" s="54">
        <f t="shared" si="169"/>
        <v>112.6340492</v>
      </c>
      <c r="AN79" s="54">
        <f t="shared" si="169"/>
        <v>113.4478942</v>
      </c>
      <c r="AO79" s="54">
        <f t="shared" si="169"/>
        <v>151.5131612</v>
      </c>
      <c r="AP79" s="54">
        <f t="shared" si="169"/>
        <v>133.0503041</v>
      </c>
      <c r="AQ79" s="54">
        <f t="shared" si="169"/>
        <v>124.6619909</v>
      </c>
      <c r="AR79" s="54">
        <f t="shared" si="169"/>
        <v>125.1228403</v>
      </c>
      <c r="AS79" s="54">
        <f t="shared" si="169"/>
        <v>166.3886564</v>
      </c>
      <c r="AT79" s="54">
        <f t="shared" si="169"/>
        <v>145.3900966</v>
      </c>
      <c r="AU79" s="54">
        <f t="shared" si="169"/>
        <v>135.9783733</v>
      </c>
      <c r="AV79" s="54">
        <f t="shared" si="169"/>
        <v>136.7134958</v>
      </c>
      <c r="AW79" s="54">
        <f t="shared" si="169"/>
        <v>181.8019382</v>
      </c>
      <c r="AX79" s="54">
        <f t="shared" si="169"/>
        <v>158.8581935</v>
      </c>
      <c r="AY79" s="54">
        <f t="shared" si="169"/>
        <v>148.5746225</v>
      </c>
      <c r="AZ79" s="54">
        <f t="shared" si="169"/>
        <v>149.3778425</v>
      </c>
      <c r="BA79" s="54">
        <f t="shared" si="169"/>
        <v>198.6430173</v>
      </c>
      <c r="BB79" s="54">
        <f t="shared" si="169"/>
        <v>173.5738968</v>
      </c>
      <c r="BC79" s="54">
        <f t="shared" si="169"/>
        <v>162.3377154</v>
      </c>
      <c r="BD79" s="54">
        <f t="shared" si="169"/>
        <v>163.2153411</v>
      </c>
      <c r="BE79" s="54">
        <f t="shared" si="169"/>
        <v>217.0441563</v>
      </c>
      <c r="BF79" s="54">
        <f t="shared" si="169"/>
        <v>189.6527777</v>
      </c>
      <c r="BG79" s="54">
        <f t="shared" si="169"/>
        <v>177.3757415</v>
      </c>
      <c r="BH79" s="54">
        <f t="shared" si="169"/>
        <v>178.3346653</v>
      </c>
      <c r="BI79" s="54">
        <f t="shared" si="169"/>
        <v>237.1498704</v>
      </c>
      <c r="BJ79" s="54">
        <f t="shared" si="169"/>
        <v>207.221113</v>
      </c>
      <c r="BK79" s="54">
        <f t="shared" si="169"/>
        <v>193.8068032</v>
      </c>
      <c r="BL79" s="54">
        <f t="shared" si="169"/>
        <v>194.8545562</v>
      </c>
      <c r="BM79" s="54">
        <f t="shared" si="169"/>
        <v>259.1180614</v>
      </c>
      <c r="BN79" s="54">
        <f t="shared" si="169"/>
        <v>226.4168772</v>
      </c>
      <c r="BO79" s="54">
        <f t="shared" si="169"/>
        <v>211.7599434</v>
      </c>
      <c r="BP79" s="54">
        <f t="shared" si="169"/>
        <v>212.9047542</v>
      </c>
      <c r="BQ79" s="54">
        <f t="shared" si="169"/>
        <v>283.1212585</v>
      </c>
      <c r="BR79" s="54">
        <f t="shared" si="169"/>
        <v>247.3908259</v>
      </c>
      <c r="BS79" s="54">
        <f t="shared" si="169"/>
        <v>231.3761586</v>
      </c>
      <c r="BT79" s="54">
        <f t="shared" si="169"/>
        <v>232.627018</v>
      </c>
      <c r="BU79" s="54">
        <f t="shared" si="169"/>
        <v>309.3479727</v>
      </c>
      <c r="BV79" s="54">
        <f t="shared" si="169"/>
        <v>270.3076797</v>
      </c>
      <c r="BW79" s="54">
        <f t="shared" si="169"/>
        <v>252.8095064</v>
      </c>
      <c r="BX79" s="6" t="s">
        <v>35</v>
      </c>
      <c r="BY79" s="54">
        <f t="shared" si="148"/>
        <v>21.51</v>
      </c>
      <c r="BZ79" s="54">
        <f t="shared" si="149"/>
        <v>28.385</v>
      </c>
      <c r="CA79" s="54">
        <f t="shared" si="150"/>
        <v>24.967</v>
      </c>
      <c r="CB79" s="54">
        <f t="shared" si="151"/>
        <v>17.778</v>
      </c>
      <c r="CC79" s="54">
        <f t="shared" si="152"/>
        <v>32.982</v>
      </c>
      <c r="CD79" s="54">
        <f t="shared" si="153"/>
        <v>69.116</v>
      </c>
      <c r="CE79" s="54">
        <f t="shared" si="154"/>
        <v>78.67</v>
      </c>
      <c r="CF79" s="54">
        <f t="shared" si="155"/>
        <v>100.936</v>
      </c>
      <c r="CG79" s="54">
        <f t="shared" si="156"/>
        <v>112.6340492</v>
      </c>
      <c r="CH79" s="54">
        <f t="shared" si="157"/>
        <v>124.6619909</v>
      </c>
      <c r="CI79" s="54">
        <f t="shared" si="158"/>
        <v>135.9783733</v>
      </c>
      <c r="CJ79" s="54">
        <f t="shared" si="159"/>
        <v>148.5746225</v>
      </c>
      <c r="CK79" s="54">
        <f t="shared" si="160"/>
        <v>162.3377154</v>
      </c>
      <c r="CL79" s="54">
        <f t="shared" si="161"/>
        <v>177.3757415</v>
      </c>
      <c r="CM79" s="54">
        <f t="shared" si="162"/>
        <v>193.8068032</v>
      </c>
      <c r="CN79" s="54">
        <f t="shared" si="163"/>
        <v>211.7599434</v>
      </c>
      <c r="CO79" s="54">
        <f t="shared" si="164"/>
        <v>231.3761586</v>
      </c>
      <c r="CP79" s="54">
        <f t="shared" si="165"/>
        <v>252.8095064</v>
      </c>
      <c r="CQ79" s="6" t="s">
        <v>35</v>
      </c>
      <c r="CR79" s="48"/>
      <c r="CW79" s="46"/>
      <c r="CX79" s="46">
        <f t="shared" ref="CX79:CY79" si="170">AH79-AG79</f>
        <v>41.422</v>
      </c>
      <c r="CY79" s="46">
        <f t="shared" si="170"/>
        <v>-18.288</v>
      </c>
      <c r="DA79" s="46"/>
    </row>
    <row r="80" ht="14.25" customHeight="1">
      <c r="B80" s="53" t="str">
        <f>Inputs!B55</f>
        <v>Tributos a Pagar</v>
      </c>
      <c r="D80" s="54"/>
      <c r="E80" s="54"/>
      <c r="F80" s="54"/>
      <c r="G80" s="54"/>
      <c r="H80" s="54">
        <f>(Inputs!J54+Inputs!J55)/1000</f>
        <v>4.518</v>
      </c>
      <c r="I80" s="54">
        <f>(Inputs!K54+Inputs!K55)/1000</f>
        <v>3.969</v>
      </c>
      <c r="J80" s="54">
        <f>(Inputs!L54+Inputs!L55)/1000</f>
        <v>3.5</v>
      </c>
      <c r="K80" s="54">
        <f>((Inputs!M54+Inputs!M55)/1000)*-1</f>
        <v>4.281</v>
      </c>
      <c r="L80" s="54">
        <f>(Inputs!N54+Inputs!N55)/1000</f>
        <v>4.743</v>
      </c>
      <c r="M80" s="54">
        <f>(Inputs!O54+Inputs!O55)/1000</f>
        <v>4.553</v>
      </c>
      <c r="N80" s="54">
        <f>(Inputs!P54+Inputs!P55)/1000</f>
        <v>4.466</v>
      </c>
      <c r="O80" s="54">
        <f>(Inputs!Q54+Inputs!Q55)/1000</f>
        <v>4.615</v>
      </c>
      <c r="P80" s="54">
        <f>(Inputs!R54+Inputs!R55)/1000</f>
        <v>4.585</v>
      </c>
      <c r="Q80" s="54">
        <f>(Inputs!S54+Inputs!S55)/1000</f>
        <v>6.672</v>
      </c>
      <c r="R80" s="54">
        <f>(Inputs!T54+Inputs!T55)/1000</f>
        <v>4.106</v>
      </c>
      <c r="S80" s="54">
        <f>(Inputs!U54+Inputs!U55)/1000</f>
        <v>4.321</v>
      </c>
      <c r="T80" s="54">
        <f>(Inputs!V54+Inputs!V55)/1000</f>
        <v>4.42</v>
      </c>
      <c r="U80" s="54">
        <f>(Inputs!W54+Inputs!W55)/1000</f>
        <v>4.753</v>
      </c>
      <c r="V80" s="54">
        <f>(Inputs!X54+Inputs!X55)/1000</f>
        <v>4.978</v>
      </c>
      <c r="W80" s="54">
        <f>(Inputs!Y54+Inputs!Y55)/1000</f>
        <v>4.58</v>
      </c>
      <c r="X80" s="54">
        <f>(Inputs!Z54+Inputs!Z55)/1000</f>
        <v>7.843</v>
      </c>
      <c r="Y80" s="54">
        <f>(Inputs!AA54+Inputs!AA55)/1000</f>
        <v>12.641</v>
      </c>
      <c r="Z80" s="54">
        <f>(Inputs!AB54+Inputs!AB55)/1000</f>
        <v>17.911</v>
      </c>
      <c r="AA80" s="54">
        <f>(Inputs!AC54+Inputs!AC55)/1000</f>
        <v>16.216</v>
      </c>
      <c r="AB80" s="54">
        <f>(Inputs!AD54+Inputs!AD55)/1000</f>
        <v>14.864</v>
      </c>
      <c r="AC80" s="54">
        <f>(Inputs!AE54+Inputs!AE55)/1000</f>
        <v>15.293</v>
      </c>
      <c r="AD80" s="54">
        <f>(Inputs!AF54+Inputs!AF55)/1000</f>
        <v>13.934</v>
      </c>
      <c r="AE80" s="54">
        <f>(Inputs!AG54+Inputs!AG55)/1000</f>
        <v>17.007</v>
      </c>
      <c r="AF80" s="54">
        <f>(Inputs!AH54+Inputs!AH55)/1000</f>
        <v>9.752</v>
      </c>
      <c r="AG80" s="54">
        <f>(Inputs!AI54+Inputs!AI55)/1000</f>
        <v>13.35</v>
      </c>
      <c r="AH80" s="54">
        <f>(Inputs!AJ54+Inputs!AJ55)/1000</f>
        <v>27.543</v>
      </c>
      <c r="AI80" s="54">
        <f>(Inputs!AK54+Inputs!AK55)/1000</f>
        <v>16.443</v>
      </c>
      <c r="AJ80" s="54">
        <f>(Inputs!AL54+Inputs!AL55)/1000</f>
        <v>14.651</v>
      </c>
      <c r="AK80" s="54">
        <f t="shared" ref="AK80:BW80" si="171">AK193</f>
        <v>23.05860311</v>
      </c>
      <c r="AL80" s="54">
        <f t="shared" si="171"/>
        <v>25.19365735</v>
      </c>
      <c r="AM80" s="54">
        <f t="shared" si="171"/>
        <v>16.039019</v>
      </c>
      <c r="AN80" s="54">
        <f t="shared" si="171"/>
        <v>15.29068952</v>
      </c>
      <c r="AO80" s="54">
        <f t="shared" si="171"/>
        <v>25.05574992</v>
      </c>
      <c r="AP80" s="54">
        <f t="shared" si="171"/>
        <v>28.21030925</v>
      </c>
      <c r="AQ80" s="54">
        <f t="shared" si="171"/>
        <v>17.83003833</v>
      </c>
      <c r="AR80" s="54">
        <f t="shared" si="171"/>
        <v>16.9144109</v>
      </c>
      <c r="AS80" s="54">
        <f t="shared" si="171"/>
        <v>27.5798909</v>
      </c>
      <c r="AT80" s="54">
        <f t="shared" si="171"/>
        <v>30.89927692</v>
      </c>
      <c r="AU80" s="54">
        <f t="shared" si="171"/>
        <v>19.48170985</v>
      </c>
      <c r="AV80" s="54">
        <f t="shared" si="171"/>
        <v>18.481264</v>
      </c>
      <c r="AW80" s="54">
        <f t="shared" si="171"/>
        <v>30.13473231</v>
      </c>
      <c r="AX80" s="54">
        <f t="shared" si="171"/>
        <v>33.76160705</v>
      </c>
      <c r="AY80" s="54">
        <f t="shared" si="171"/>
        <v>21.28638266</v>
      </c>
      <c r="AZ80" s="54">
        <f t="shared" si="171"/>
        <v>20.1932613</v>
      </c>
      <c r="BA80" s="54">
        <f t="shared" si="171"/>
        <v>32.92623945</v>
      </c>
      <c r="BB80" s="54">
        <f t="shared" si="171"/>
        <v>36.88908686</v>
      </c>
      <c r="BC80" s="54">
        <f t="shared" si="171"/>
        <v>23.25822992</v>
      </c>
      <c r="BD80" s="54">
        <f t="shared" si="171"/>
        <v>22.06384811</v>
      </c>
      <c r="BE80" s="54">
        <f t="shared" si="171"/>
        <v>35.97633565</v>
      </c>
      <c r="BF80" s="54">
        <f t="shared" si="171"/>
        <v>40.3062783</v>
      </c>
      <c r="BG80" s="54">
        <f t="shared" si="171"/>
        <v>25.41273768</v>
      </c>
      <c r="BH80" s="54">
        <f t="shared" si="171"/>
        <v>24.10771526</v>
      </c>
      <c r="BI80" s="54">
        <f t="shared" si="171"/>
        <v>39.3089751</v>
      </c>
      <c r="BJ80" s="54">
        <f t="shared" si="171"/>
        <v>44.04001857</v>
      </c>
      <c r="BK80" s="54">
        <f t="shared" si="171"/>
        <v>27.76682658</v>
      </c>
      <c r="BL80" s="54">
        <f t="shared" si="171"/>
        <v>26.34091443</v>
      </c>
      <c r="BM80" s="54">
        <f t="shared" si="171"/>
        <v>42.95033097</v>
      </c>
      <c r="BN80" s="54">
        <f t="shared" si="171"/>
        <v>48.11963092</v>
      </c>
      <c r="BO80" s="54">
        <f t="shared" si="171"/>
        <v>30.33898463</v>
      </c>
      <c r="BP80" s="54">
        <f t="shared" si="171"/>
        <v>28.78098425</v>
      </c>
      <c r="BQ80" s="54">
        <f t="shared" si="171"/>
        <v>46.92900097</v>
      </c>
      <c r="BR80" s="54">
        <f t="shared" si="171"/>
        <v>52.57715494</v>
      </c>
      <c r="BS80" s="54">
        <f t="shared" si="171"/>
        <v>33.14941252</v>
      </c>
      <c r="BT80" s="54">
        <f t="shared" si="171"/>
        <v>31.447088</v>
      </c>
      <c r="BU80" s="54">
        <f t="shared" si="171"/>
        <v>51.27623193</v>
      </c>
      <c r="BV80" s="54">
        <f t="shared" si="171"/>
        <v>57.44759817</v>
      </c>
      <c r="BW80" s="54">
        <f t="shared" si="171"/>
        <v>36.22018218</v>
      </c>
      <c r="BX80" s="6" t="s">
        <v>35</v>
      </c>
      <c r="BY80" s="54" t="str">
        <f t="shared" si="148"/>
        <v/>
      </c>
      <c r="BZ80" s="54">
        <f t="shared" si="149"/>
        <v>4.281</v>
      </c>
      <c r="CA80" s="54">
        <f t="shared" si="150"/>
        <v>4.615</v>
      </c>
      <c r="CB80" s="54">
        <f t="shared" si="151"/>
        <v>4.321</v>
      </c>
      <c r="CC80" s="54">
        <f t="shared" si="152"/>
        <v>4.58</v>
      </c>
      <c r="CD80" s="54">
        <f t="shared" si="153"/>
        <v>16.216</v>
      </c>
      <c r="CE80" s="54">
        <f t="shared" si="154"/>
        <v>17.007</v>
      </c>
      <c r="CF80" s="54">
        <f t="shared" si="155"/>
        <v>16.443</v>
      </c>
      <c r="CG80" s="54">
        <f t="shared" si="156"/>
        <v>16.039019</v>
      </c>
      <c r="CH80" s="54">
        <f t="shared" si="157"/>
        <v>17.83003833</v>
      </c>
      <c r="CI80" s="54">
        <f t="shared" si="158"/>
        <v>19.48170985</v>
      </c>
      <c r="CJ80" s="54">
        <f t="shared" si="159"/>
        <v>21.28638266</v>
      </c>
      <c r="CK80" s="54">
        <f t="shared" si="160"/>
        <v>23.25822992</v>
      </c>
      <c r="CL80" s="54">
        <f t="shared" si="161"/>
        <v>25.41273768</v>
      </c>
      <c r="CM80" s="54">
        <f t="shared" si="162"/>
        <v>27.76682658</v>
      </c>
      <c r="CN80" s="54">
        <f t="shared" si="163"/>
        <v>30.33898463</v>
      </c>
      <c r="CO80" s="54">
        <f t="shared" si="164"/>
        <v>33.14941252</v>
      </c>
      <c r="CP80" s="54">
        <f t="shared" si="165"/>
        <v>36.22018218</v>
      </c>
      <c r="CQ80" s="6" t="s">
        <v>35</v>
      </c>
      <c r="CR80" s="48"/>
      <c r="CW80" s="46"/>
      <c r="CX80" s="46">
        <f t="shared" ref="CX80:CY80" si="172">AH80-AG80</f>
        <v>14.193</v>
      </c>
      <c r="CY80" s="46">
        <f t="shared" si="172"/>
        <v>-11.1</v>
      </c>
      <c r="DA80" s="46"/>
    </row>
    <row r="81" ht="14.25" customHeight="1">
      <c r="B81" s="53" t="str">
        <f>Inputs!B57</f>
        <v>Contas a pagar por aquisição societária</v>
      </c>
      <c r="D81" s="54"/>
      <c r="E81" s="54"/>
      <c r="F81" s="54"/>
      <c r="G81" s="54"/>
      <c r="H81" s="54">
        <f>Inputs!J57/1000</f>
        <v>5.86</v>
      </c>
      <c r="I81" s="54">
        <f>Inputs!K57/1000</f>
        <v>0.983</v>
      </c>
      <c r="J81" s="54">
        <f>Inputs!L57/1000</f>
        <v>6.526</v>
      </c>
      <c r="K81" s="54">
        <f>(Inputs!M57/1000)*-1</f>
        <v>6.525</v>
      </c>
      <c r="L81" s="54">
        <f>Inputs!N57/1000</f>
        <v>6.543</v>
      </c>
      <c r="M81" s="54">
        <f>Inputs!O57/1000</f>
        <v>6.585</v>
      </c>
      <c r="N81" s="54">
        <f>Inputs!P57/1000</f>
        <v>8.139</v>
      </c>
      <c r="O81" s="54">
        <f>Inputs!Q57/1000</f>
        <v>7.864</v>
      </c>
      <c r="P81" s="54">
        <f>Inputs!R57/1000</f>
        <v>4.087</v>
      </c>
      <c r="Q81" s="54">
        <f>Inputs!S57/1000</f>
        <v>0</v>
      </c>
      <c r="R81" s="54">
        <f>Inputs!T57/1000</f>
        <v>3.312</v>
      </c>
      <c r="S81" s="54">
        <f>Inputs!U57/1000</f>
        <v>1.097</v>
      </c>
      <c r="T81" s="54">
        <f>Inputs!V57/1000</f>
        <v>1.282</v>
      </c>
      <c r="U81" s="54">
        <f>Inputs!W57/1000</f>
        <v>1.454</v>
      </c>
      <c r="V81" s="54">
        <f>Inputs!X57/1000</f>
        <v>1.961</v>
      </c>
      <c r="W81" s="54">
        <f>Inputs!Y57/1000</f>
        <v>1.017</v>
      </c>
      <c r="X81" s="54">
        <f>Inputs!Z57/1000</f>
        <v>8.303</v>
      </c>
      <c r="Y81" s="54">
        <f>Inputs!AA57/1000</f>
        <v>14.815</v>
      </c>
      <c r="Z81" s="54">
        <f>Inputs!AB57/1000</f>
        <v>9.992</v>
      </c>
      <c r="AA81" s="54">
        <f>Inputs!AC57/1000</f>
        <v>14.473</v>
      </c>
      <c r="AB81" s="54">
        <f>Inputs!AD57/1000</f>
        <v>16.752</v>
      </c>
      <c r="AC81" s="54">
        <f>Inputs!AE57/1000</f>
        <v>15.241</v>
      </c>
      <c r="AD81" s="54">
        <f>Inputs!AF57/1000</f>
        <v>17.093</v>
      </c>
      <c r="AE81" s="54">
        <f>Inputs!AG57/1000</f>
        <v>16.298</v>
      </c>
      <c r="AF81" s="54">
        <f>Inputs!AH57/1000</f>
        <v>14.961</v>
      </c>
      <c r="AG81" s="54">
        <f>Inputs!AI57/1000</f>
        <v>24.71</v>
      </c>
      <c r="AH81" s="54">
        <f>Inputs!AJ57/1000</f>
        <v>60.1</v>
      </c>
      <c r="AI81" s="54">
        <f>Inputs!AK57/1000</f>
        <v>67.038</v>
      </c>
      <c r="AJ81" s="54">
        <f>Inputs!AL57/1000</f>
        <v>62.99</v>
      </c>
      <c r="AK81" s="55">
        <f t="shared" ref="AK81:BW81" si="173">AJ81</f>
        <v>62.99</v>
      </c>
      <c r="AL81" s="55">
        <f t="shared" si="173"/>
        <v>62.99</v>
      </c>
      <c r="AM81" s="55">
        <f t="shared" si="173"/>
        <v>62.99</v>
      </c>
      <c r="AN81" s="55">
        <f t="shared" si="173"/>
        <v>62.99</v>
      </c>
      <c r="AO81" s="55">
        <f t="shared" si="173"/>
        <v>62.99</v>
      </c>
      <c r="AP81" s="55">
        <f t="shared" si="173"/>
        <v>62.99</v>
      </c>
      <c r="AQ81" s="55">
        <f t="shared" si="173"/>
        <v>62.99</v>
      </c>
      <c r="AR81" s="55">
        <f t="shared" si="173"/>
        <v>62.99</v>
      </c>
      <c r="AS81" s="55">
        <f t="shared" si="173"/>
        <v>62.99</v>
      </c>
      <c r="AT81" s="55">
        <f t="shared" si="173"/>
        <v>62.99</v>
      </c>
      <c r="AU81" s="55">
        <f t="shared" si="173"/>
        <v>62.99</v>
      </c>
      <c r="AV81" s="55">
        <f t="shared" si="173"/>
        <v>62.99</v>
      </c>
      <c r="AW81" s="55">
        <f t="shared" si="173"/>
        <v>62.99</v>
      </c>
      <c r="AX81" s="55">
        <f t="shared" si="173"/>
        <v>62.99</v>
      </c>
      <c r="AY81" s="55">
        <f t="shared" si="173"/>
        <v>62.99</v>
      </c>
      <c r="AZ81" s="55">
        <f t="shared" si="173"/>
        <v>62.99</v>
      </c>
      <c r="BA81" s="55">
        <f t="shared" si="173"/>
        <v>62.99</v>
      </c>
      <c r="BB81" s="55">
        <f t="shared" si="173"/>
        <v>62.99</v>
      </c>
      <c r="BC81" s="55">
        <f t="shared" si="173"/>
        <v>62.99</v>
      </c>
      <c r="BD81" s="55">
        <f t="shared" si="173"/>
        <v>62.99</v>
      </c>
      <c r="BE81" s="55">
        <f t="shared" si="173"/>
        <v>62.99</v>
      </c>
      <c r="BF81" s="55">
        <f t="shared" si="173"/>
        <v>62.99</v>
      </c>
      <c r="BG81" s="55">
        <f t="shared" si="173"/>
        <v>62.99</v>
      </c>
      <c r="BH81" s="55">
        <f t="shared" si="173"/>
        <v>62.99</v>
      </c>
      <c r="BI81" s="55">
        <f t="shared" si="173"/>
        <v>62.99</v>
      </c>
      <c r="BJ81" s="55">
        <f t="shared" si="173"/>
        <v>62.99</v>
      </c>
      <c r="BK81" s="55">
        <f t="shared" si="173"/>
        <v>62.99</v>
      </c>
      <c r="BL81" s="55">
        <f t="shared" si="173"/>
        <v>62.99</v>
      </c>
      <c r="BM81" s="55">
        <f t="shared" si="173"/>
        <v>62.99</v>
      </c>
      <c r="BN81" s="55">
        <f t="shared" si="173"/>
        <v>62.99</v>
      </c>
      <c r="BO81" s="55">
        <f t="shared" si="173"/>
        <v>62.99</v>
      </c>
      <c r="BP81" s="55">
        <f t="shared" si="173"/>
        <v>62.99</v>
      </c>
      <c r="BQ81" s="55">
        <f t="shared" si="173"/>
        <v>62.99</v>
      </c>
      <c r="BR81" s="55">
        <f t="shared" si="173"/>
        <v>62.99</v>
      </c>
      <c r="BS81" s="55">
        <f t="shared" si="173"/>
        <v>62.99</v>
      </c>
      <c r="BT81" s="55">
        <f t="shared" si="173"/>
        <v>62.99</v>
      </c>
      <c r="BU81" s="55">
        <f t="shared" si="173"/>
        <v>62.99</v>
      </c>
      <c r="BV81" s="55">
        <f t="shared" si="173"/>
        <v>62.99</v>
      </c>
      <c r="BW81" s="55">
        <f t="shared" si="173"/>
        <v>62.99</v>
      </c>
      <c r="BX81" s="6" t="s">
        <v>35</v>
      </c>
      <c r="BY81" s="54" t="str">
        <f t="shared" si="148"/>
        <v/>
      </c>
      <c r="BZ81" s="54">
        <f t="shared" si="149"/>
        <v>6.525</v>
      </c>
      <c r="CA81" s="54">
        <f t="shared" si="150"/>
        <v>7.864</v>
      </c>
      <c r="CB81" s="54">
        <f t="shared" si="151"/>
        <v>1.097</v>
      </c>
      <c r="CC81" s="54">
        <f t="shared" si="152"/>
        <v>1.017</v>
      </c>
      <c r="CD81" s="54">
        <f t="shared" si="153"/>
        <v>14.473</v>
      </c>
      <c r="CE81" s="54">
        <f t="shared" si="154"/>
        <v>16.298</v>
      </c>
      <c r="CF81" s="54">
        <f t="shared" si="155"/>
        <v>67.038</v>
      </c>
      <c r="CG81" s="54">
        <f t="shared" si="156"/>
        <v>62.99</v>
      </c>
      <c r="CH81" s="54">
        <f t="shared" si="157"/>
        <v>62.99</v>
      </c>
      <c r="CI81" s="54">
        <f t="shared" si="158"/>
        <v>62.99</v>
      </c>
      <c r="CJ81" s="54">
        <f t="shared" si="159"/>
        <v>62.99</v>
      </c>
      <c r="CK81" s="54">
        <f t="shared" si="160"/>
        <v>62.99</v>
      </c>
      <c r="CL81" s="54">
        <f t="shared" si="161"/>
        <v>62.99</v>
      </c>
      <c r="CM81" s="54">
        <f t="shared" si="162"/>
        <v>62.99</v>
      </c>
      <c r="CN81" s="54">
        <f t="shared" si="163"/>
        <v>62.99</v>
      </c>
      <c r="CO81" s="54">
        <f t="shared" si="164"/>
        <v>62.99</v>
      </c>
      <c r="CP81" s="54">
        <f t="shared" si="165"/>
        <v>62.99</v>
      </c>
      <c r="CQ81" s="6" t="s">
        <v>35</v>
      </c>
      <c r="CR81" s="48"/>
      <c r="CW81" s="46"/>
      <c r="CX81" s="46">
        <f t="shared" ref="CX81:CY81" si="174">AH81-AG81</f>
        <v>35.39</v>
      </c>
      <c r="CY81" s="46">
        <f t="shared" si="174"/>
        <v>6.938</v>
      </c>
      <c r="DA81" s="46"/>
    </row>
    <row r="82" ht="14.25" customHeight="1">
      <c r="B82" s="53" t="str">
        <f>Inputs!B61</f>
        <v>Provisões</v>
      </c>
      <c r="D82" s="54"/>
      <c r="E82" s="54"/>
      <c r="F82" s="54"/>
      <c r="G82" s="54"/>
      <c r="H82" s="54">
        <f>Inputs!J61/1000</f>
        <v>1.683</v>
      </c>
      <c r="I82" s="54">
        <f>Inputs!K61/1000</f>
        <v>2.666</v>
      </c>
      <c r="J82" s="54">
        <f>Inputs!L61/1000</f>
        <v>2.187</v>
      </c>
      <c r="K82" s="54">
        <f>(Inputs!M61/1000)*-1</f>
        <v>3.173</v>
      </c>
      <c r="L82" s="54">
        <f>Inputs!N61/1000</f>
        <v>5.147</v>
      </c>
      <c r="M82" s="54">
        <f>Inputs!O61/1000</f>
        <v>3.147</v>
      </c>
      <c r="N82" s="54">
        <f>Inputs!P61/1000</f>
        <v>5.506</v>
      </c>
      <c r="O82" s="54">
        <f>Inputs!Q61/1000</f>
        <v>7.229</v>
      </c>
      <c r="P82" s="54">
        <f>Inputs!R61/1000</f>
        <v>6.923</v>
      </c>
      <c r="Q82" s="54">
        <f>Inputs!S61/1000</f>
        <v>4.452</v>
      </c>
      <c r="R82" s="54">
        <f>Inputs!T61/1000</f>
        <v>3.469</v>
      </c>
      <c r="S82" s="54">
        <f>Inputs!U61/1000</f>
        <v>4.255</v>
      </c>
      <c r="T82" s="54">
        <f>Inputs!V61/1000</f>
        <v>5.871</v>
      </c>
      <c r="U82" s="54">
        <f>Inputs!W61/1000</f>
        <v>8.403</v>
      </c>
      <c r="V82" s="54">
        <f>Inputs!X61/1000</f>
        <v>10.805</v>
      </c>
      <c r="W82" s="54">
        <f>Inputs!Y61/1000</f>
        <v>9.773</v>
      </c>
      <c r="X82" s="54">
        <f>Inputs!Z61/1000</f>
        <v>12.426</v>
      </c>
      <c r="Y82" s="54">
        <f>Inputs!AA61/1000</f>
        <v>12.647</v>
      </c>
      <c r="Z82" s="54">
        <f>Inputs!AB61/1000</f>
        <v>13.175</v>
      </c>
      <c r="AA82" s="54">
        <f>Inputs!AC61/1000</f>
        <v>15.624</v>
      </c>
      <c r="AB82" s="54">
        <f>Inputs!AD61/1000</f>
        <v>19.703</v>
      </c>
      <c r="AC82" s="54">
        <f>Inputs!AE61/1000</f>
        <v>20.115</v>
      </c>
      <c r="AD82" s="54">
        <f>Inputs!AF61/1000</f>
        <v>22.102</v>
      </c>
      <c r="AE82" s="54">
        <f>Inputs!AG61/1000</f>
        <v>29.299</v>
      </c>
      <c r="AF82" s="54">
        <f>Inputs!AH61/1000</f>
        <v>26.048</v>
      </c>
      <c r="AG82" s="54">
        <f>Inputs!AI61/1000</f>
        <v>20.826</v>
      </c>
      <c r="AH82" s="54">
        <f>Inputs!AJ61/1000</f>
        <v>23.733</v>
      </c>
      <c r="AI82" s="54">
        <f>Inputs!AK61/1000</f>
        <v>29.883</v>
      </c>
      <c r="AJ82" s="54">
        <f>Inputs!AL61/1000</f>
        <v>29.821</v>
      </c>
      <c r="AK82" s="55">
        <f t="shared" ref="AK82:BW82" si="175">AJ82</f>
        <v>29.821</v>
      </c>
      <c r="AL82" s="55">
        <f t="shared" si="175"/>
        <v>29.821</v>
      </c>
      <c r="AM82" s="55">
        <f t="shared" si="175"/>
        <v>29.821</v>
      </c>
      <c r="AN82" s="55">
        <f t="shared" si="175"/>
        <v>29.821</v>
      </c>
      <c r="AO82" s="55">
        <f t="shared" si="175"/>
        <v>29.821</v>
      </c>
      <c r="AP82" s="55">
        <f t="shared" si="175"/>
        <v>29.821</v>
      </c>
      <c r="AQ82" s="55">
        <f t="shared" si="175"/>
        <v>29.821</v>
      </c>
      <c r="AR82" s="55">
        <f t="shared" si="175"/>
        <v>29.821</v>
      </c>
      <c r="AS82" s="55">
        <f t="shared" si="175"/>
        <v>29.821</v>
      </c>
      <c r="AT82" s="55">
        <f t="shared" si="175"/>
        <v>29.821</v>
      </c>
      <c r="AU82" s="55">
        <f t="shared" si="175"/>
        <v>29.821</v>
      </c>
      <c r="AV82" s="55">
        <f t="shared" si="175"/>
        <v>29.821</v>
      </c>
      <c r="AW82" s="55">
        <f t="shared" si="175"/>
        <v>29.821</v>
      </c>
      <c r="AX82" s="55">
        <f t="shared" si="175"/>
        <v>29.821</v>
      </c>
      <c r="AY82" s="55">
        <f t="shared" si="175"/>
        <v>29.821</v>
      </c>
      <c r="AZ82" s="55">
        <f t="shared" si="175"/>
        <v>29.821</v>
      </c>
      <c r="BA82" s="55">
        <f t="shared" si="175"/>
        <v>29.821</v>
      </c>
      <c r="BB82" s="55">
        <f t="shared" si="175"/>
        <v>29.821</v>
      </c>
      <c r="BC82" s="55">
        <f t="shared" si="175"/>
        <v>29.821</v>
      </c>
      <c r="BD82" s="55">
        <f t="shared" si="175"/>
        <v>29.821</v>
      </c>
      <c r="BE82" s="55">
        <f t="shared" si="175"/>
        <v>29.821</v>
      </c>
      <c r="BF82" s="55">
        <f t="shared" si="175"/>
        <v>29.821</v>
      </c>
      <c r="BG82" s="55">
        <f t="shared" si="175"/>
        <v>29.821</v>
      </c>
      <c r="BH82" s="55">
        <f t="shared" si="175"/>
        <v>29.821</v>
      </c>
      <c r="BI82" s="55">
        <f t="shared" si="175"/>
        <v>29.821</v>
      </c>
      <c r="BJ82" s="55">
        <f t="shared" si="175"/>
        <v>29.821</v>
      </c>
      <c r="BK82" s="55">
        <f t="shared" si="175"/>
        <v>29.821</v>
      </c>
      <c r="BL82" s="55">
        <f t="shared" si="175"/>
        <v>29.821</v>
      </c>
      <c r="BM82" s="55">
        <f t="shared" si="175"/>
        <v>29.821</v>
      </c>
      <c r="BN82" s="55">
        <f t="shared" si="175"/>
        <v>29.821</v>
      </c>
      <c r="BO82" s="55">
        <f t="shared" si="175"/>
        <v>29.821</v>
      </c>
      <c r="BP82" s="55">
        <f t="shared" si="175"/>
        <v>29.821</v>
      </c>
      <c r="BQ82" s="55">
        <f t="shared" si="175"/>
        <v>29.821</v>
      </c>
      <c r="BR82" s="55">
        <f t="shared" si="175"/>
        <v>29.821</v>
      </c>
      <c r="BS82" s="55">
        <f t="shared" si="175"/>
        <v>29.821</v>
      </c>
      <c r="BT82" s="55">
        <f t="shared" si="175"/>
        <v>29.821</v>
      </c>
      <c r="BU82" s="55">
        <f t="shared" si="175"/>
        <v>29.821</v>
      </c>
      <c r="BV82" s="55">
        <f t="shared" si="175"/>
        <v>29.821</v>
      </c>
      <c r="BW82" s="55">
        <f t="shared" si="175"/>
        <v>29.821</v>
      </c>
      <c r="BX82" s="6" t="s">
        <v>35</v>
      </c>
      <c r="BY82" s="54" t="str">
        <f t="shared" si="148"/>
        <v/>
      </c>
      <c r="BZ82" s="54">
        <f t="shared" si="149"/>
        <v>3.173</v>
      </c>
      <c r="CA82" s="54">
        <f t="shared" si="150"/>
        <v>7.229</v>
      </c>
      <c r="CB82" s="54">
        <f t="shared" si="151"/>
        <v>4.255</v>
      </c>
      <c r="CC82" s="54">
        <f t="shared" si="152"/>
        <v>9.773</v>
      </c>
      <c r="CD82" s="54">
        <f t="shared" si="153"/>
        <v>15.624</v>
      </c>
      <c r="CE82" s="54">
        <f t="shared" si="154"/>
        <v>29.299</v>
      </c>
      <c r="CF82" s="54">
        <f t="shared" si="155"/>
        <v>29.883</v>
      </c>
      <c r="CG82" s="54">
        <f t="shared" si="156"/>
        <v>29.821</v>
      </c>
      <c r="CH82" s="54">
        <f t="shared" si="157"/>
        <v>29.821</v>
      </c>
      <c r="CI82" s="54">
        <f t="shared" si="158"/>
        <v>29.821</v>
      </c>
      <c r="CJ82" s="54">
        <f t="shared" si="159"/>
        <v>29.821</v>
      </c>
      <c r="CK82" s="54">
        <f t="shared" si="160"/>
        <v>29.821</v>
      </c>
      <c r="CL82" s="54">
        <f t="shared" si="161"/>
        <v>29.821</v>
      </c>
      <c r="CM82" s="54">
        <f t="shared" si="162"/>
        <v>29.821</v>
      </c>
      <c r="CN82" s="54">
        <f t="shared" si="163"/>
        <v>29.821</v>
      </c>
      <c r="CO82" s="54">
        <f t="shared" si="164"/>
        <v>29.821</v>
      </c>
      <c r="CP82" s="54">
        <f t="shared" si="165"/>
        <v>29.821</v>
      </c>
      <c r="CQ82" s="6" t="s">
        <v>35</v>
      </c>
      <c r="CR82" s="48"/>
      <c r="CW82" s="46"/>
      <c r="CX82" s="46">
        <f t="shared" ref="CX82:CY82" si="176">AH82-AG82</f>
        <v>2.907</v>
      </c>
      <c r="CY82" s="46">
        <f t="shared" si="176"/>
        <v>6.15</v>
      </c>
      <c r="DA82" s="46"/>
    </row>
    <row r="83" ht="14.25" customHeight="1">
      <c r="B83" s="53" t="str">
        <f>Inputs!B52</f>
        <v>Arrendamento financeiro a pagar - Direitos de uso CPC 06</v>
      </c>
      <c r="D83" s="54">
        <v>0.0</v>
      </c>
      <c r="E83" s="54"/>
      <c r="F83" s="54"/>
      <c r="G83" s="54"/>
      <c r="H83" s="54">
        <f>Inputs!J52/1000</f>
        <v>0</v>
      </c>
      <c r="I83" s="54">
        <f>Inputs!K52/1000</f>
        <v>0</v>
      </c>
      <c r="J83" s="54">
        <f>Inputs!L52/1000</f>
        <v>0</v>
      </c>
      <c r="K83" s="54">
        <f>(Inputs!M52/1000)*-1</f>
        <v>0</v>
      </c>
      <c r="L83" s="54">
        <f>Inputs!N52/1000</f>
        <v>1.517</v>
      </c>
      <c r="M83" s="54">
        <f>Inputs!O52/1000</f>
        <v>1.847</v>
      </c>
      <c r="N83" s="54">
        <f>Inputs!P52/1000</f>
        <v>1.5</v>
      </c>
      <c r="O83" s="54">
        <f>Inputs!Q52/1000</f>
        <v>1.601</v>
      </c>
      <c r="P83" s="54">
        <f>Inputs!R52/1000</f>
        <v>1.639</v>
      </c>
      <c r="Q83" s="54">
        <f>Inputs!S52/1000</f>
        <v>1.731</v>
      </c>
      <c r="R83" s="54">
        <f>Inputs!T52/1000</f>
        <v>1.811</v>
      </c>
      <c r="S83" s="54">
        <f>Inputs!U52/1000</f>
        <v>2.085</v>
      </c>
      <c r="T83" s="54">
        <f>Inputs!V52/1000</f>
        <v>2.103</v>
      </c>
      <c r="U83" s="54">
        <f>Inputs!W52/1000</f>
        <v>2.184</v>
      </c>
      <c r="V83" s="54">
        <f>Inputs!X52/1000</f>
        <v>2.331</v>
      </c>
      <c r="W83" s="54">
        <f>Inputs!Y52/1000</f>
        <v>2.343</v>
      </c>
      <c r="X83" s="54">
        <f>Inputs!Z52/1000</f>
        <v>4.013</v>
      </c>
      <c r="Y83" s="54">
        <f>Inputs!AA52/1000</f>
        <v>4.361</v>
      </c>
      <c r="Z83" s="54">
        <f>Inputs!AB52/1000</f>
        <v>4.588</v>
      </c>
      <c r="AA83" s="54">
        <f>Inputs!AC52/1000</f>
        <v>4.555</v>
      </c>
      <c r="AB83" s="54">
        <f>Inputs!AD52/1000</f>
        <v>4.438</v>
      </c>
      <c r="AC83" s="54">
        <f>Inputs!AE52/1000</f>
        <v>4.941</v>
      </c>
      <c r="AD83" s="54">
        <f>Inputs!AF52/1000</f>
        <v>5.031</v>
      </c>
      <c r="AE83" s="54">
        <f>Inputs!AG52/1000</f>
        <v>5.127</v>
      </c>
      <c r="AF83" s="54">
        <f>Inputs!AH52/1000</f>
        <v>4.531</v>
      </c>
      <c r="AG83" s="54">
        <f>Inputs!AI52/1000</f>
        <v>4.043</v>
      </c>
      <c r="AH83" s="54">
        <f>Inputs!AJ52/1000</f>
        <v>5.432</v>
      </c>
      <c r="AI83" s="54">
        <f>Inputs!AK52/1000</f>
        <v>5.817</v>
      </c>
      <c r="AJ83" s="54">
        <f>Inputs!AL52/1000</f>
        <v>5.889</v>
      </c>
      <c r="AK83" s="55">
        <f t="shared" ref="AK83:BW83" si="177">AJ83</f>
        <v>5.889</v>
      </c>
      <c r="AL83" s="55">
        <f t="shared" si="177"/>
        <v>5.889</v>
      </c>
      <c r="AM83" s="55">
        <f t="shared" si="177"/>
        <v>5.889</v>
      </c>
      <c r="AN83" s="55">
        <f t="shared" si="177"/>
        <v>5.889</v>
      </c>
      <c r="AO83" s="55">
        <f t="shared" si="177"/>
        <v>5.889</v>
      </c>
      <c r="AP83" s="55">
        <f t="shared" si="177"/>
        <v>5.889</v>
      </c>
      <c r="AQ83" s="55">
        <f t="shared" si="177"/>
        <v>5.889</v>
      </c>
      <c r="AR83" s="55">
        <f t="shared" si="177"/>
        <v>5.889</v>
      </c>
      <c r="AS83" s="55">
        <f t="shared" si="177"/>
        <v>5.889</v>
      </c>
      <c r="AT83" s="55">
        <f t="shared" si="177"/>
        <v>5.889</v>
      </c>
      <c r="AU83" s="55">
        <f t="shared" si="177"/>
        <v>5.889</v>
      </c>
      <c r="AV83" s="55">
        <f t="shared" si="177"/>
        <v>5.889</v>
      </c>
      <c r="AW83" s="55">
        <f t="shared" si="177"/>
        <v>5.889</v>
      </c>
      <c r="AX83" s="55">
        <f t="shared" si="177"/>
        <v>5.889</v>
      </c>
      <c r="AY83" s="55">
        <f t="shared" si="177"/>
        <v>5.889</v>
      </c>
      <c r="AZ83" s="55">
        <f t="shared" si="177"/>
        <v>5.889</v>
      </c>
      <c r="BA83" s="55">
        <f t="shared" si="177"/>
        <v>5.889</v>
      </c>
      <c r="BB83" s="55">
        <f t="shared" si="177"/>
        <v>5.889</v>
      </c>
      <c r="BC83" s="55">
        <f t="shared" si="177"/>
        <v>5.889</v>
      </c>
      <c r="BD83" s="55">
        <f t="shared" si="177"/>
        <v>5.889</v>
      </c>
      <c r="BE83" s="55">
        <f t="shared" si="177"/>
        <v>5.889</v>
      </c>
      <c r="BF83" s="55">
        <f t="shared" si="177"/>
        <v>5.889</v>
      </c>
      <c r="BG83" s="55">
        <f t="shared" si="177"/>
        <v>5.889</v>
      </c>
      <c r="BH83" s="55">
        <f t="shared" si="177"/>
        <v>5.889</v>
      </c>
      <c r="BI83" s="55">
        <f t="shared" si="177"/>
        <v>5.889</v>
      </c>
      <c r="BJ83" s="55">
        <f t="shared" si="177"/>
        <v>5.889</v>
      </c>
      <c r="BK83" s="55">
        <f t="shared" si="177"/>
        <v>5.889</v>
      </c>
      <c r="BL83" s="55">
        <f t="shared" si="177"/>
        <v>5.889</v>
      </c>
      <c r="BM83" s="55">
        <f t="shared" si="177"/>
        <v>5.889</v>
      </c>
      <c r="BN83" s="55">
        <f t="shared" si="177"/>
        <v>5.889</v>
      </c>
      <c r="BO83" s="55">
        <f t="shared" si="177"/>
        <v>5.889</v>
      </c>
      <c r="BP83" s="55">
        <f t="shared" si="177"/>
        <v>5.889</v>
      </c>
      <c r="BQ83" s="55">
        <f t="shared" si="177"/>
        <v>5.889</v>
      </c>
      <c r="BR83" s="55">
        <f t="shared" si="177"/>
        <v>5.889</v>
      </c>
      <c r="BS83" s="55">
        <f t="shared" si="177"/>
        <v>5.889</v>
      </c>
      <c r="BT83" s="55">
        <f t="shared" si="177"/>
        <v>5.889</v>
      </c>
      <c r="BU83" s="55">
        <f t="shared" si="177"/>
        <v>5.889</v>
      </c>
      <c r="BV83" s="55">
        <f t="shared" si="177"/>
        <v>5.889</v>
      </c>
      <c r="BW83" s="55">
        <f t="shared" si="177"/>
        <v>5.889</v>
      </c>
      <c r="BX83" s="6" t="s">
        <v>35</v>
      </c>
      <c r="BY83" s="54" t="str">
        <f t="shared" si="148"/>
        <v/>
      </c>
      <c r="BZ83" s="54">
        <f t="shared" si="149"/>
        <v>0</v>
      </c>
      <c r="CA83" s="54">
        <f t="shared" si="150"/>
        <v>1.601</v>
      </c>
      <c r="CB83" s="54">
        <f t="shared" si="151"/>
        <v>2.085</v>
      </c>
      <c r="CC83" s="54">
        <f t="shared" si="152"/>
        <v>2.343</v>
      </c>
      <c r="CD83" s="54">
        <f t="shared" si="153"/>
        <v>4.555</v>
      </c>
      <c r="CE83" s="54">
        <f t="shared" si="154"/>
        <v>5.127</v>
      </c>
      <c r="CF83" s="54">
        <f t="shared" si="155"/>
        <v>5.817</v>
      </c>
      <c r="CG83" s="54">
        <f t="shared" si="156"/>
        <v>5.889</v>
      </c>
      <c r="CH83" s="54">
        <f t="shared" si="157"/>
        <v>5.889</v>
      </c>
      <c r="CI83" s="54">
        <f t="shared" si="158"/>
        <v>5.889</v>
      </c>
      <c r="CJ83" s="54">
        <f t="shared" si="159"/>
        <v>5.889</v>
      </c>
      <c r="CK83" s="54">
        <f t="shared" si="160"/>
        <v>5.889</v>
      </c>
      <c r="CL83" s="54">
        <f t="shared" si="161"/>
        <v>5.889</v>
      </c>
      <c r="CM83" s="54">
        <f t="shared" si="162"/>
        <v>5.889</v>
      </c>
      <c r="CN83" s="54">
        <f t="shared" si="163"/>
        <v>5.889</v>
      </c>
      <c r="CO83" s="54">
        <f t="shared" si="164"/>
        <v>5.889</v>
      </c>
      <c r="CP83" s="54">
        <f t="shared" si="165"/>
        <v>5.889</v>
      </c>
      <c r="CQ83" s="6" t="s">
        <v>35</v>
      </c>
      <c r="CR83" s="48"/>
      <c r="CW83" s="46"/>
      <c r="CX83" s="46">
        <f t="shared" ref="CX83:CY83" si="178">AH83-AG83</f>
        <v>1.389</v>
      </c>
      <c r="CY83" s="46">
        <f t="shared" si="178"/>
        <v>0.385</v>
      </c>
      <c r="DA83" s="46"/>
    </row>
    <row r="84" ht="14.25" customHeight="1">
      <c r="B84" s="53" t="str">
        <f>Inputs!B63</f>
        <v>Outros Passivos</v>
      </c>
      <c r="D84" s="54">
        <v>28.1</v>
      </c>
      <c r="E84" s="54">
        <v>28.134</v>
      </c>
      <c r="F84" s="54">
        <v>13.777000000000001</v>
      </c>
      <c r="G84" s="54">
        <v>14.746999999999986</v>
      </c>
      <c r="H84" s="54">
        <f>Inputs!J64/1000-SUM(Modelo!H77:H83)</f>
        <v>2.585</v>
      </c>
      <c r="I84" s="54">
        <f>Inputs!K64/1000-SUM(Modelo!I77:I83)</f>
        <v>3.79</v>
      </c>
      <c r="J84" s="54">
        <f>Inputs!L64/1000-SUM(Modelo!J77:J83)</f>
        <v>5.047</v>
      </c>
      <c r="K84" s="54">
        <f>-Inputs!M64/1000-SUM(Modelo!K77:K83)</f>
        <v>5.465</v>
      </c>
      <c r="L84" s="54">
        <f>Inputs!N64/1000-SUM(Modelo!L77:L83)</f>
        <v>9.636</v>
      </c>
      <c r="M84" s="54">
        <f>Inputs!O64/1000-SUM(Modelo!M77:M83)</f>
        <v>15.668</v>
      </c>
      <c r="N84" s="54">
        <f>Inputs!P64/1000-SUM(Modelo!N77:N83)</f>
        <v>21.751</v>
      </c>
      <c r="O84" s="54">
        <f>Inputs!Q64/1000-SUM(Modelo!O77:O83)</f>
        <v>18.776</v>
      </c>
      <c r="P84" s="54">
        <f>Inputs!R64/1000-SUM(Modelo!P77:P83)</f>
        <v>0.303</v>
      </c>
      <c r="Q84" s="54">
        <f>Inputs!S64/1000-SUM(Modelo!Q77:Q83)</f>
        <v>0.338</v>
      </c>
      <c r="R84" s="54">
        <f>Inputs!T64/1000-SUM(Modelo!R77:R83)</f>
        <v>0.224</v>
      </c>
      <c r="S84" s="54">
        <f>Inputs!U64/1000-SUM(Modelo!S77:S83)</f>
        <v>0.255</v>
      </c>
      <c r="T84" s="54">
        <f>Inputs!V64/1000-SUM(Modelo!T77:T83)</f>
        <v>0.184</v>
      </c>
      <c r="U84" s="54">
        <f>Inputs!W64/1000-SUM(Modelo!U77:U83)</f>
        <v>0.209</v>
      </c>
      <c r="V84" s="54">
        <f>Inputs!X64/1000-SUM(Modelo!V77:V83)</f>
        <v>0.166</v>
      </c>
      <c r="W84" s="54">
        <f>Inputs!Y64/1000-SUM(Modelo!W77:W83)</f>
        <v>5.552</v>
      </c>
      <c r="X84" s="54">
        <f>Inputs!Z64/1000-SUM(Modelo!X77:X83)</f>
        <v>3.526</v>
      </c>
      <c r="Y84" s="54">
        <f>Inputs!AA64/1000-SUM(Modelo!Y77:Y83)</f>
        <v>6.31300007</v>
      </c>
      <c r="Z84" s="54">
        <f>Inputs!AB64/1000-SUM(Modelo!Z77:Z83)</f>
        <v>16.02800007</v>
      </c>
      <c r="AA84" s="54">
        <f>Inputs!AC64/1000-SUM(Modelo!AA77:AA83)</f>
        <v>70.102</v>
      </c>
      <c r="AB84" s="54">
        <f>Inputs!AD64/1000-SUM(Modelo!AB77:AB83)</f>
        <v>82.167</v>
      </c>
      <c r="AC84" s="54">
        <f>Inputs!AE64/1000-SUM(Modelo!AC77:AC83)</f>
        <v>17.899</v>
      </c>
      <c r="AD84" s="54">
        <f>Inputs!AF64/1000-SUM(Modelo!AD77:AD83)</f>
        <v>2.27</v>
      </c>
      <c r="AE84" s="54">
        <f>Inputs!AG64/1000-SUM(Modelo!AE77:AE83)</f>
        <v>15.075</v>
      </c>
      <c r="AF84" s="54">
        <f>Inputs!AH64/1000-SUM(Modelo!AF77:AF83)</f>
        <v>14.961</v>
      </c>
      <c r="AG84" s="54">
        <f>Inputs!AI64/1000-SUM(Modelo!AG77:AG83)</f>
        <v>7.32</v>
      </c>
      <c r="AH84" s="54">
        <f>Inputs!AJ64/1000-SUM(Modelo!AH77:AH83)</f>
        <v>1.872</v>
      </c>
      <c r="AI84" s="54">
        <f>Inputs!AK64/1000-SUM(Modelo!AI77:AI83)</f>
        <v>14.764</v>
      </c>
      <c r="AJ84" s="54">
        <f>Inputs!AL64/1000-SUM(Modelo!AJ77:AJ83)</f>
        <v>15.722</v>
      </c>
      <c r="AK84" s="55">
        <f t="shared" ref="AK84:BW84" si="179">AJ84</f>
        <v>15.722</v>
      </c>
      <c r="AL84" s="55">
        <f t="shared" si="179"/>
        <v>15.722</v>
      </c>
      <c r="AM84" s="55">
        <f t="shared" si="179"/>
        <v>15.722</v>
      </c>
      <c r="AN84" s="55">
        <f t="shared" si="179"/>
        <v>15.722</v>
      </c>
      <c r="AO84" s="55">
        <f t="shared" si="179"/>
        <v>15.722</v>
      </c>
      <c r="AP84" s="55">
        <f t="shared" si="179"/>
        <v>15.722</v>
      </c>
      <c r="AQ84" s="55">
        <f t="shared" si="179"/>
        <v>15.722</v>
      </c>
      <c r="AR84" s="55">
        <f t="shared" si="179"/>
        <v>15.722</v>
      </c>
      <c r="AS84" s="55">
        <f t="shared" si="179"/>
        <v>15.722</v>
      </c>
      <c r="AT84" s="55">
        <f t="shared" si="179"/>
        <v>15.722</v>
      </c>
      <c r="AU84" s="55">
        <f t="shared" si="179"/>
        <v>15.722</v>
      </c>
      <c r="AV84" s="55">
        <f t="shared" si="179"/>
        <v>15.722</v>
      </c>
      <c r="AW84" s="55">
        <f t="shared" si="179"/>
        <v>15.722</v>
      </c>
      <c r="AX84" s="55">
        <f t="shared" si="179"/>
        <v>15.722</v>
      </c>
      <c r="AY84" s="55">
        <f t="shared" si="179"/>
        <v>15.722</v>
      </c>
      <c r="AZ84" s="55">
        <f t="shared" si="179"/>
        <v>15.722</v>
      </c>
      <c r="BA84" s="55">
        <f t="shared" si="179"/>
        <v>15.722</v>
      </c>
      <c r="BB84" s="55">
        <f t="shared" si="179"/>
        <v>15.722</v>
      </c>
      <c r="BC84" s="55">
        <f t="shared" si="179"/>
        <v>15.722</v>
      </c>
      <c r="BD84" s="55">
        <f t="shared" si="179"/>
        <v>15.722</v>
      </c>
      <c r="BE84" s="55">
        <f t="shared" si="179"/>
        <v>15.722</v>
      </c>
      <c r="BF84" s="55">
        <f t="shared" si="179"/>
        <v>15.722</v>
      </c>
      <c r="BG84" s="55">
        <f t="shared" si="179"/>
        <v>15.722</v>
      </c>
      <c r="BH84" s="55">
        <f t="shared" si="179"/>
        <v>15.722</v>
      </c>
      <c r="BI84" s="55">
        <f t="shared" si="179"/>
        <v>15.722</v>
      </c>
      <c r="BJ84" s="55">
        <f t="shared" si="179"/>
        <v>15.722</v>
      </c>
      <c r="BK84" s="55">
        <f t="shared" si="179"/>
        <v>15.722</v>
      </c>
      <c r="BL84" s="55">
        <f t="shared" si="179"/>
        <v>15.722</v>
      </c>
      <c r="BM84" s="55">
        <f t="shared" si="179"/>
        <v>15.722</v>
      </c>
      <c r="BN84" s="55">
        <f t="shared" si="179"/>
        <v>15.722</v>
      </c>
      <c r="BO84" s="55">
        <f t="shared" si="179"/>
        <v>15.722</v>
      </c>
      <c r="BP84" s="55">
        <f t="shared" si="179"/>
        <v>15.722</v>
      </c>
      <c r="BQ84" s="55">
        <f t="shared" si="179"/>
        <v>15.722</v>
      </c>
      <c r="BR84" s="55">
        <f t="shared" si="179"/>
        <v>15.722</v>
      </c>
      <c r="BS84" s="55">
        <f t="shared" si="179"/>
        <v>15.722</v>
      </c>
      <c r="BT84" s="55">
        <f t="shared" si="179"/>
        <v>15.722</v>
      </c>
      <c r="BU84" s="55">
        <f t="shared" si="179"/>
        <v>15.722</v>
      </c>
      <c r="BV84" s="55">
        <f t="shared" si="179"/>
        <v>15.722</v>
      </c>
      <c r="BW84" s="55">
        <f t="shared" si="179"/>
        <v>15.722</v>
      </c>
      <c r="BX84" s="6" t="s">
        <v>35</v>
      </c>
      <c r="BY84" s="54">
        <f t="shared" si="148"/>
        <v>14.747</v>
      </c>
      <c r="BZ84" s="54">
        <f t="shared" si="149"/>
        <v>5.465</v>
      </c>
      <c r="CA84" s="54">
        <f t="shared" si="150"/>
        <v>18.776</v>
      </c>
      <c r="CB84" s="54">
        <f t="shared" si="151"/>
        <v>0.255</v>
      </c>
      <c r="CC84" s="54">
        <f t="shared" si="152"/>
        <v>5.552</v>
      </c>
      <c r="CD84" s="54">
        <f t="shared" si="153"/>
        <v>70.102</v>
      </c>
      <c r="CE84" s="54">
        <f t="shared" si="154"/>
        <v>15.075</v>
      </c>
      <c r="CF84" s="54">
        <f t="shared" si="155"/>
        <v>14.764</v>
      </c>
      <c r="CG84" s="54">
        <f t="shared" si="156"/>
        <v>15.722</v>
      </c>
      <c r="CH84" s="54">
        <f t="shared" si="157"/>
        <v>15.722</v>
      </c>
      <c r="CI84" s="54">
        <f t="shared" si="158"/>
        <v>15.722</v>
      </c>
      <c r="CJ84" s="54">
        <f t="shared" si="159"/>
        <v>15.722</v>
      </c>
      <c r="CK84" s="54">
        <f t="shared" si="160"/>
        <v>15.722</v>
      </c>
      <c r="CL84" s="54">
        <f t="shared" si="161"/>
        <v>15.722</v>
      </c>
      <c r="CM84" s="54">
        <f t="shared" si="162"/>
        <v>15.722</v>
      </c>
      <c r="CN84" s="54">
        <f t="shared" si="163"/>
        <v>15.722</v>
      </c>
      <c r="CO84" s="54">
        <f t="shared" si="164"/>
        <v>15.722</v>
      </c>
      <c r="CP84" s="54">
        <f t="shared" si="165"/>
        <v>15.722</v>
      </c>
      <c r="CQ84" s="6" t="s">
        <v>35</v>
      </c>
      <c r="CR84" s="48"/>
      <c r="CW84" s="46"/>
      <c r="CX84" s="46">
        <f t="shared" ref="CX84:CY84" si="180">AH84-AG84</f>
        <v>-5.448</v>
      </c>
      <c r="CY84" s="46">
        <f t="shared" si="180"/>
        <v>12.892</v>
      </c>
      <c r="DA84" s="46"/>
    </row>
    <row r="85" ht="14.25" customHeight="1">
      <c r="BX85" s="6" t="s">
        <v>35</v>
      </c>
      <c r="CQ85" s="6" t="s">
        <v>35</v>
      </c>
      <c r="DA85" s="46"/>
    </row>
    <row r="86" ht="14.25" customHeight="1">
      <c r="B86" s="51" t="s">
        <v>72</v>
      </c>
      <c r="C86" s="15" t="s">
        <v>39</v>
      </c>
      <c r="D86" s="52">
        <f t="shared" ref="D86:BW86" si="181">+D87+D88+D89+D90+D91</f>
        <v>2.294</v>
      </c>
      <c r="E86" s="52">
        <f t="shared" si="181"/>
        <v>13.535</v>
      </c>
      <c r="F86" s="52">
        <f t="shared" si="181"/>
        <v>34.656</v>
      </c>
      <c r="G86" s="52">
        <f t="shared" si="181"/>
        <v>37.969</v>
      </c>
      <c r="H86" s="52">
        <f t="shared" si="181"/>
        <v>30.999</v>
      </c>
      <c r="I86" s="52">
        <f t="shared" si="181"/>
        <v>36.686</v>
      </c>
      <c r="J86" s="52">
        <f t="shared" si="181"/>
        <v>29.857</v>
      </c>
      <c r="K86" s="52">
        <f t="shared" si="181"/>
        <v>27.047</v>
      </c>
      <c r="L86" s="52">
        <f t="shared" si="181"/>
        <v>28.108</v>
      </c>
      <c r="M86" s="52">
        <f t="shared" si="181"/>
        <v>86.949</v>
      </c>
      <c r="N86" s="52">
        <f t="shared" si="181"/>
        <v>78.678</v>
      </c>
      <c r="O86" s="52">
        <f t="shared" si="181"/>
        <v>69.752</v>
      </c>
      <c r="P86" s="52">
        <f t="shared" si="181"/>
        <v>61.206</v>
      </c>
      <c r="Q86" s="52">
        <f t="shared" si="181"/>
        <v>58.108</v>
      </c>
      <c r="R86" s="52">
        <f t="shared" si="181"/>
        <v>50.536</v>
      </c>
      <c r="S86" s="52">
        <f t="shared" si="181"/>
        <v>44.436</v>
      </c>
      <c r="T86" s="52">
        <f t="shared" si="181"/>
        <v>38.564</v>
      </c>
      <c r="U86" s="52">
        <f t="shared" si="181"/>
        <v>31.843</v>
      </c>
      <c r="V86" s="52">
        <f t="shared" si="181"/>
        <v>23.668</v>
      </c>
      <c r="W86" s="52">
        <f t="shared" si="181"/>
        <v>38.936</v>
      </c>
      <c r="X86" s="52">
        <f t="shared" si="181"/>
        <v>48.629</v>
      </c>
      <c r="Y86" s="52">
        <f t="shared" si="181"/>
        <v>52.771</v>
      </c>
      <c r="Z86" s="52">
        <f t="shared" si="181"/>
        <v>103.833</v>
      </c>
      <c r="AA86" s="52">
        <f t="shared" si="181"/>
        <v>139.055</v>
      </c>
      <c r="AB86" s="52">
        <f t="shared" si="181"/>
        <v>243.55</v>
      </c>
      <c r="AC86" s="52">
        <f t="shared" si="181"/>
        <v>248.156</v>
      </c>
      <c r="AD86" s="52">
        <f t="shared" si="181"/>
        <v>234.64</v>
      </c>
      <c r="AE86" s="52">
        <f t="shared" si="181"/>
        <v>321.228</v>
      </c>
      <c r="AF86" s="52">
        <f t="shared" si="181"/>
        <v>287.662</v>
      </c>
      <c r="AG86" s="52">
        <f t="shared" si="181"/>
        <v>330.477</v>
      </c>
      <c r="AH86" s="52">
        <f t="shared" si="181"/>
        <v>449.391</v>
      </c>
      <c r="AI86" s="52">
        <f t="shared" si="181"/>
        <v>327.706</v>
      </c>
      <c r="AJ86" s="52">
        <f t="shared" si="181"/>
        <v>647.084</v>
      </c>
      <c r="AK86" s="52">
        <f t="shared" si="181"/>
        <v>647.084</v>
      </c>
      <c r="AL86" s="52">
        <f t="shared" si="181"/>
        <v>647.084</v>
      </c>
      <c r="AM86" s="52">
        <f t="shared" si="181"/>
        <v>647.084</v>
      </c>
      <c r="AN86" s="52">
        <f t="shared" si="181"/>
        <v>647.084</v>
      </c>
      <c r="AO86" s="52">
        <f t="shared" si="181"/>
        <v>647.084</v>
      </c>
      <c r="AP86" s="52">
        <f t="shared" si="181"/>
        <v>647.084</v>
      </c>
      <c r="AQ86" s="52">
        <f t="shared" si="181"/>
        <v>647.084</v>
      </c>
      <c r="AR86" s="52">
        <f t="shared" si="181"/>
        <v>647.084</v>
      </c>
      <c r="AS86" s="52">
        <f t="shared" si="181"/>
        <v>647.084</v>
      </c>
      <c r="AT86" s="52">
        <f t="shared" si="181"/>
        <v>647.084</v>
      </c>
      <c r="AU86" s="52">
        <f t="shared" si="181"/>
        <v>647.084</v>
      </c>
      <c r="AV86" s="52">
        <f t="shared" si="181"/>
        <v>647.084</v>
      </c>
      <c r="AW86" s="52">
        <f t="shared" si="181"/>
        <v>647.084</v>
      </c>
      <c r="AX86" s="52">
        <f t="shared" si="181"/>
        <v>647.084</v>
      </c>
      <c r="AY86" s="52">
        <f t="shared" si="181"/>
        <v>647.084</v>
      </c>
      <c r="AZ86" s="52">
        <f t="shared" si="181"/>
        <v>647.084</v>
      </c>
      <c r="BA86" s="52">
        <f t="shared" si="181"/>
        <v>647.084</v>
      </c>
      <c r="BB86" s="52">
        <f t="shared" si="181"/>
        <v>647.084</v>
      </c>
      <c r="BC86" s="52">
        <f t="shared" si="181"/>
        <v>647.084</v>
      </c>
      <c r="BD86" s="52">
        <f t="shared" si="181"/>
        <v>647.084</v>
      </c>
      <c r="BE86" s="52">
        <f t="shared" si="181"/>
        <v>647.084</v>
      </c>
      <c r="BF86" s="52">
        <f t="shared" si="181"/>
        <v>647.084</v>
      </c>
      <c r="BG86" s="52">
        <f t="shared" si="181"/>
        <v>647.084</v>
      </c>
      <c r="BH86" s="52">
        <f t="shared" si="181"/>
        <v>647.084</v>
      </c>
      <c r="BI86" s="52">
        <f t="shared" si="181"/>
        <v>647.084</v>
      </c>
      <c r="BJ86" s="52">
        <f t="shared" si="181"/>
        <v>647.084</v>
      </c>
      <c r="BK86" s="52">
        <f t="shared" si="181"/>
        <v>647.084</v>
      </c>
      <c r="BL86" s="52">
        <f t="shared" si="181"/>
        <v>647.084</v>
      </c>
      <c r="BM86" s="52">
        <f t="shared" si="181"/>
        <v>647.084</v>
      </c>
      <c r="BN86" s="52">
        <f t="shared" si="181"/>
        <v>647.084</v>
      </c>
      <c r="BO86" s="52">
        <f t="shared" si="181"/>
        <v>647.084</v>
      </c>
      <c r="BP86" s="52">
        <f t="shared" si="181"/>
        <v>647.084</v>
      </c>
      <c r="BQ86" s="52">
        <f t="shared" si="181"/>
        <v>647.084</v>
      </c>
      <c r="BR86" s="52">
        <f t="shared" si="181"/>
        <v>647.084</v>
      </c>
      <c r="BS86" s="52">
        <f t="shared" si="181"/>
        <v>647.084</v>
      </c>
      <c r="BT86" s="52">
        <f t="shared" si="181"/>
        <v>647.084</v>
      </c>
      <c r="BU86" s="52">
        <f t="shared" si="181"/>
        <v>647.084</v>
      </c>
      <c r="BV86" s="52">
        <f t="shared" si="181"/>
        <v>647.084</v>
      </c>
      <c r="BW86" s="52">
        <f t="shared" si="181"/>
        <v>647.084</v>
      </c>
      <c r="BX86" s="6" t="s">
        <v>35</v>
      </c>
      <c r="BY86" s="52">
        <f t="shared" ref="BY86:BY91" si="184">G86</f>
        <v>37.969</v>
      </c>
      <c r="BZ86" s="52">
        <f t="shared" ref="BZ86:BZ91" si="185">K86</f>
        <v>27.047</v>
      </c>
      <c r="CA86" s="52">
        <f t="shared" ref="CA86:CA91" si="186">O86</f>
        <v>69.752</v>
      </c>
      <c r="CB86" s="52">
        <f t="shared" ref="CB86:CB91" si="187">S86</f>
        <v>44.436</v>
      </c>
      <c r="CC86" s="52">
        <f t="shared" ref="CC86:CC91" si="188">W86</f>
        <v>38.936</v>
      </c>
      <c r="CD86" s="52">
        <f t="shared" ref="CD86:CD91" si="189">AA86</f>
        <v>139.055</v>
      </c>
      <c r="CE86" s="52">
        <f t="shared" ref="CE86:CE91" si="190">AE86</f>
        <v>321.228</v>
      </c>
      <c r="CF86" s="52">
        <f t="shared" ref="CF86:CF91" si="191">AI86</f>
        <v>327.706</v>
      </c>
      <c r="CG86" s="52">
        <f t="shared" ref="CG86:CG91" si="192">AM86</f>
        <v>647.084</v>
      </c>
      <c r="CH86" s="52">
        <f t="shared" ref="CH86:CH91" si="193">AQ86</f>
        <v>647.084</v>
      </c>
      <c r="CI86" s="52">
        <f t="shared" ref="CI86:CI91" si="194">AU86</f>
        <v>647.084</v>
      </c>
      <c r="CJ86" s="52">
        <f t="shared" ref="CJ86:CJ91" si="195">AY86</f>
        <v>647.084</v>
      </c>
      <c r="CK86" s="52">
        <f t="shared" ref="CK86:CK91" si="196">BC86</f>
        <v>647.084</v>
      </c>
      <c r="CL86" s="52">
        <f t="shared" ref="CL86:CL91" si="197">BG86</f>
        <v>647.084</v>
      </c>
      <c r="CM86" s="52">
        <f t="shared" ref="CM86:CM91" si="198">BK86</f>
        <v>647.084</v>
      </c>
      <c r="CN86" s="52">
        <f t="shared" ref="CN86:CN91" si="199">BO86</f>
        <v>647.084</v>
      </c>
      <c r="CO86" s="52">
        <f t="shared" ref="CO86:CO91" si="200">BS86</f>
        <v>647.084</v>
      </c>
      <c r="CP86" s="52">
        <f t="shared" ref="CP86:CP91" si="201">BW86</f>
        <v>647.084</v>
      </c>
      <c r="CQ86" s="6" t="s">
        <v>35</v>
      </c>
      <c r="CW86" s="46"/>
      <c r="CX86" s="46">
        <f t="shared" ref="CX86:CY86" si="182">AH86-AG86</f>
        <v>118.914</v>
      </c>
      <c r="CY86" s="46">
        <f t="shared" si="182"/>
        <v>-121.685</v>
      </c>
      <c r="DA86" s="46"/>
    </row>
    <row r="87" ht="14.25" customHeight="1">
      <c r="B87" s="53" t="str">
        <f>Inputs!B67</f>
        <v>Empréstimos e financiamentos  </v>
      </c>
      <c r="D87" s="54">
        <v>0.882</v>
      </c>
      <c r="E87" s="54">
        <v>12.069</v>
      </c>
      <c r="F87" s="54">
        <v>20.403</v>
      </c>
      <c r="G87" s="54">
        <v>21.702</v>
      </c>
      <c r="H87" s="54">
        <f>(Inputs!J67+Inputs!J68)/1000</f>
        <v>13.952</v>
      </c>
      <c r="I87" s="54">
        <f>(Inputs!K67+Inputs!K68)/1000</f>
        <v>16.906</v>
      </c>
      <c r="J87" s="54">
        <f>(Inputs!L67+Inputs!L68)/1000</f>
        <v>16.338</v>
      </c>
      <c r="K87" s="54">
        <f>((Inputs!M67+Inputs!M68)/1000)*-1</f>
        <v>13.902</v>
      </c>
      <c r="L87" s="54">
        <f>(Inputs!N67+Inputs!N68)/1000</f>
        <v>10.296</v>
      </c>
      <c r="M87" s="54">
        <f>(Inputs!O67+Inputs!O68)/1000</f>
        <v>70.582</v>
      </c>
      <c r="N87" s="54">
        <f>(Inputs!P67+Inputs!P68)/1000</f>
        <v>66.073</v>
      </c>
      <c r="O87" s="54">
        <f>(Inputs!Q67+Inputs!Q68)/1000</f>
        <v>57.444</v>
      </c>
      <c r="P87" s="54">
        <f>(Inputs!R67+Inputs!R68)/1000</f>
        <v>49.451</v>
      </c>
      <c r="Q87" s="54">
        <f>(Inputs!S67+Inputs!S68)/1000</f>
        <v>43.194</v>
      </c>
      <c r="R87" s="54">
        <f>(Inputs!T67+Inputs!T68)/1000</f>
        <v>37.076</v>
      </c>
      <c r="S87" s="54">
        <f>(Inputs!U67+Inputs!U68)/1000</f>
        <v>30.771</v>
      </c>
      <c r="T87" s="54">
        <f>(Inputs!V67+Inputs!V68)/1000</f>
        <v>24.543</v>
      </c>
      <c r="U87" s="54">
        <f>(Inputs!W67+Inputs!W68)/1000</f>
        <v>18.276</v>
      </c>
      <c r="V87" s="54">
        <f>(Inputs!X67+Inputs!X68)/1000</f>
        <v>12.002</v>
      </c>
      <c r="W87" s="54">
        <f>(Inputs!Y67+Inputs!Y68)/1000</f>
        <v>27.476</v>
      </c>
      <c r="X87" s="54">
        <f>(Inputs!Z67+Inputs!Z68)/1000</f>
        <v>26.195</v>
      </c>
      <c r="Y87" s="54">
        <f>(Inputs!AA67+Inputs!AA68)/1000</f>
        <v>25.503</v>
      </c>
      <c r="Z87" s="54">
        <f>(Inputs!AB67+Inputs!AB68)/1000</f>
        <v>76.085</v>
      </c>
      <c r="AA87" s="54">
        <f>(Inputs!AC67+Inputs!AC68)/1000</f>
        <v>100.695</v>
      </c>
      <c r="AB87" s="54">
        <f>(Inputs!AD67+Inputs!AD68)/1000</f>
        <v>197.867</v>
      </c>
      <c r="AC87" s="54">
        <f>(Inputs!AE67+Inputs!AE68)/1000</f>
        <v>205.869</v>
      </c>
      <c r="AD87" s="54">
        <f>(Inputs!AF67+Inputs!AF68)/1000</f>
        <v>190.96</v>
      </c>
      <c r="AE87" s="54">
        <f>(Inputs!AG67+Inputs!AG68)/1000</f>
        <v>271.542</v>
      </c>
      <c r="AF87" s="54">
        <f>(Inputs!AH67+Inputs!AH68)/1000</f>
        <v>245.981</v>
      </c>
      <c r="AG87" s="54">
        <f>(Inputs!AI67+Inputs!AI68)/1000</f>
        <v>284.092</v>
      </c>
      <c r="AH87" s="54">
        <f>(Inputs!AJ67+Inputs!AJ68)/1000</f>
        <v>330.276</v>
      </c>
      <c r="AI87" s="54">
        <f>(Inputs!AK67+Inputs!AK68)/1000</f>
        <v>196.225</v>
      </c>
      <c r="AJ87" s="54">
        <f>(Inputs!AL67+Inputs!AL68)/1000</f>
        <v>519.515</v>
      </c>
      <c r="AK87" s="54">
        <f t="shared" ref="AK87:BW87" si="183">AJ87/SUM(AJ87,AJ78)*AK106</f>
        <v>519.515</v>
      </c>
      <c r="AL87" s="54">
        <f t="shared" si="183"/>
        <v>519.515</v>
      </c>
      <c r="AM87" s="54">
        <f t="shared" si="183"/>
        <v>519.515</v>
      </c>
      <c r="AN87" s="54">
        <f t="shared" si="183"/>
        <v>519.515</v>
      </c>
      <c r="AO87" s="54">
        <f t="shared" si="183"/>
        <v>519.515</v>
      </c>
      <c r="AP87" s="54">
        <f t="shared" si="183"/>
        <v>519.515</v>
      </c>
      <c r="AQ87" s="54">
        <f t="shared" si="183"/>
        <v>519.515</v>
      </c>
      <c r="AR87" s="54">
        <f t="shared" si="183"/>
        <v>519.515</v>
      </c>
      <c r="AS87" s="54">
        <f t="shared" si="183"/>
        <v>519.515</v>
      </c>
      <c r="AT87" s="54">
        <f t="shared" si="183"/>
        <v>519.515</v>
      </c>
      <c r="AU87" s="54">
        <f t="shared" si="183"/>
        <v>519.515</v>
      </c>
      <c r="AV87" s="54">
        <f t="shared" si="183"/>
        <v>519.515</v>
      </c>
      <c r="AW87" s="54">
        <f t="shared" si="183"/>
        <v>519.515</v>
      </c>
      <c r="AX87" s="54">
        <f t="shared" si="183"/>
        <v>519.515</v>
      </c>
      <c r="AY87" s="54">
        <f t="shared" si="183"/>
        <v>519.515</v>
      </c>
      <c r="AZ87" s="54">
        <f t="shared" si="183"/>
        <v>519.515</v>
      </c>
      <c r="BA87" s="54">
        <f t="shared" si="183"/>
        <v>519.515</v>
      </c>
      <c r="BB87" s="54">
        <f t="shared" si="183"/>
        <v>519.515</v>
      </c>
      <c r="BC87" s="54">
        <f t="shared" si="183"/>
        <v>519.515</v>
      </c>
      <c r="BD87" s="54">
        <f t="shared" si="183"/>
        <v>519.515</v>
      </c>
      <c r="BE87" s="54">
        <f t="shared" si="183"/>
        <v>519.515</v>
      </c>
      <c r="BF87" s="54">
        <f t="shared" si="183"/>
        <v>519.515</v>
      </c>
      <c r="BG87" s="54">
        <f t="shared" si="183"/>
        <v>519.515</v>
      </c>
      <c r="BH87" s="54">
        <f t="shared" si="183"/>
        <v>519.515</v>
      </c>
      <c r="BI87" s="54">
        <f t="shared" si="183"/>
        <v>519.515</v>
      </c>
      <c r="BJ87" s="54">
        <f t="shared" si="183"/>
        <v>519.515</v>
      </c>
      <c r="BK87" s="54">
        <f t="shared" si="183"/>
        <v>519.515</v>
      </c>
      <c r="BL87" s="54">
        <f t="shared" si="183"/>
        <v>519.515</v>
      </c>
      <c r="BM87" s="54">
        <f t="shared" si="183"/>
        <v>519.515</v>
      </c>
      <c r="BN87" s="54">
        <f t="shared" si="183"/>
        <v>519.515</v>
      </c>
      <c r="BO87" s="54">
        <f t="shared" si="183"/>
        <v>519.515</v>
      </c>
      <c r="BP87" s="54">
        <f t="shared" si="183"/>
        <v>519.515</v>
      </c>
      <c r="BQ87" s="54">
        <f t="shared" si="183"/>
        <v>519.515</v>
      </c>
      <c r="BR87" s="54">
        <f t="shared" si="183"/>
        <v>519.515</v>
      </c>
      <c r="BS87" s="54">
        <f t="shared" si="183"/>
        <v>519.515</v>
      </c>
      <c r="BT87" s="54">
        <f t="shared" si="183"/>
        <v>519.515</v>
      </c>
      <c r="BU87" s="54">
        <f t="shared" si="183"/>
        <v>519.515</v>
      </c>
      <c r="BV87" s="54">
        <f t="shared" si="183"/>
        <v>519.515</v>
      </c>
      <c r="BW87" s="54">
        <f t="shared" si="183"/>
        <v>519.515</v>
      </c>
      <c r="BX87" s="6" t="s">
        <v>35</v>
      </c>
      <c r="BY87" s="54">
        <f t="shared" si="184"/>
        <v>21.702</v>
      </c>
      <c r="BZ87" s="54">
        <f t="shared" si="185"/>
        <v>13.902</v>
      </c>
      <c r="CA87" s="54">
        <f t="shared" si="186"/>
        <v>57.444</v>
      </c>
      <c r="CB87" s="54">
        <f t="shared" si="187"/>
        <v>30.771</v>
      </c>
      <c r="CC87" s="54">
        <f t="shared" si="188"/>
        <v>27.476</v>
      </c>
      <c r="CD87" s="54">
        <f t="shared" si="189"/>
        <v>100.695</v>
      </c>
      <c r="CE87" s="54">
        <f t="shared" si="190"/>
        <v>271.542</v>
      </c>
      <c r="CF87" s="54">
        <f t="shared" si="191"/>
        <v>196.225</v>
      </c>
      <c r="CG87" s="54">
        <f t="shared" si="192"/>
        <v>519.515</v>
      </c>
      <c r="CH87" s="54">
        <f t="shared" si="193"/>
        <v>519.515</v>
      </c>
      <c r="CI87" s="54">
        <f t="shared" si="194"/>
        <v>519.515</v>
      </c>
      <c r="CJ87" s="54">
        <f t="shared" si="195"/>
        <v>519.515</v>
      </c>
      <c r="CK87" s="54">
        <f t="shared" si="196"/>
        <v>519.515</v>
      </c>
      <c r="CL87" s="54">
        <f t="shared" si="197"/>
        <v>519.515</v>
      </c>
      <c r="CM87" s="54">
        <f t="shared" si="198"/>
        <v>519.515</v>
      </c>
      <c r="CN87" s="54">
        <f t="shared" si="199"/>
        <v>519.515</v>
      </c>
      <c r="CO87" s="54">
        <f t="shared" si="200"/>
        <v>519.515</v>
      </c>
      <c r="CP87" s="54">
        <f t="shared" si="201"/>
        <v>519.515</v>
      </c>
      <c r="CQ87" s="6" t="s">
        <v>35</v>
      </c>
      <c r="CW87" s="46"/>
      <c r="CX87" s="46">
        <f t="shared" ref="CX87:CY87" si="202">AH87-AG87</f>
        <v>46.184</v>
      </c>
      <c r="CY87" s="46">
        <f t="shared" si="202"/>
        <v>-134.051</v>
      </c>
      <c r="DA87" s="46"/>
    </row>
    <row r="88" ht="14.25" customHeight="1">
      <c r="B88" s="53" t="str">
        <f>Inputs!B69</f>
        <v>Arrendamento financeiro a pagar - Direitos de uso CPC 06</v>
      </c>
      <c r="D88" s="54">
        <v>0.0</v>
      </c>
      <c r="E88" s="54">
        <v>0.0</v>
      </c>
      <c r="F88" s="54">
        <v>0.0</v>
      </c>
      <c r="G88" s="54">
        <v>0.0</v>
      </c>
      <c r="H88" s="54">
        <f>Inputs!J69/1000</f>
        <v>0</v>
      </c>
      <c r="I88" s="54">
        <f>Inputs!K69/1000</f>
        <v>0</v>
      </c>
      <c r="J88" s="54">
        <f>Inputs!L69/1000</f>
        <v>0</v>
      </c>
      <c r="K88" s="54">
        <f>(Inputs!M69/1000)*-1</f>
        <v>0</v>
      </c>
      <c r="L88" s="54">
        <f>Inputs!N69/1000</f>
        <v>7.097</v>
      </c>
      <c r="M88" s="54">
        <f>Inputs!O69/1000</f>
        <v>7.25</v>
      </c>
      <c r="N88" s="54">
        <f>Inputs!P69/1000</f>
        <v>6.828</v>
      </c>
      <c r="O88" s="54">
        <f>Inputs!Q69/1000</f>
        <v>6.618</v>
      </c>
      <c r="P88" s="54">
        <f>Inputs!R69/1000</f>
        <v>6.24</v>
      </c>
      <c r="Q88" s="54">
        <f>Inputs!S69/1000</f>
        <v>5.853</v>
      </c>
      <c r="R88" s="54">
        <f>Inputs!T69/1000</f>
        <v>5.714</v>
      </c>
      <c r="S88" s="54">
        <f>Inputs!U69/1000</f>
        <v>5.944</v>
      </c>
      <c r="T88" s="54">
        <f>Inputs!V69/1000</f>
        <v>5.464</v>
      </c>
      <c r="U88" s="54">
        <f>Inputs!W69/1000</f>
        <v>5</v>
      </c>
      <c r="V88" s="54">
        <f>Inputs!X69/1000</f>
        <v>4.925</v>
      </c>
      <c r="W88" s="54">
        <f>Inputs!Y69/1000</f>
        <v>4.371</v>
      </c>
      <c r="X88" s="54">
        <f>Inputs!Z69/1000</f>
        <v>14.286</v>
      </c>
      <c r="Y88" s="54">
        <f>Inputs!AA69/1000</f>
        <v>17.842</v>
      </c>
      <c r="Z88" s="54">
        <f>Inputs!AB69/1000</f>
        <v>17.039</v>
      </c>
      <c r="AA88" s="54">
        <f>Inputs!AC69/1000</f>
        <v>16.31</v>
      </c>
      <c r="AB88" s="54">
        <f>Inputs!AD69/1000</f>
        <v>15.57</v>
      </c>
      <c r="AC88" s="54">
        <f>Inputs!AE69/1000</f>
        <v>16.216</v>
      </c>
      <c r="AD88" s="54">
        <f>Inputs!AF69/1000</f>
        <v>16.106</v>
      </c>
      <c r="AE88" s="54">
        <f>Inputs!AG69/1000</f>
        <v>20.281</v>
      </c>
      <c r="AF88" s="54">
        <f>Inputs!AH69/1000</f>
        <v>18.555</v>
      </c>
      <c r="AG88" s="54">
        <f>Inputs!AI69/1000</f>
        <v>17.719</v>
      </c>
      <c r="AH88" s="54">
        <f>Inputs!AJ69/1000</f>
        <v>19.953</v>
      </c>
      <c r="AI88" s="54">
        <f>Inputs!AK69/1000</f>
        <v>19.108</v>
      </c>
      <c r="AJ88" s="54">
        <f>Inputs!AL69/1000</f>
        <v>18.898</v>
      </c>
      <c r="AK88" s="55">
        <f t="shared" ref="AK88:BW88" si="203">AJ88</f>
        <v>18.898</v>
      </c>
      <c r="AL88" s="55">
        <f t="shared" si="203"/>
        <v>18.898</v>
      </c>
      <c r="AM88" s="55">
        <f t="shared" si="203"/>
        <v>18.898</v>
      </c>
      <c r="AN88" s="55">
        <f t="shared" si="203"/>
        <v>18.898</v>
      </c>
      <c r="AO88" s="55">
        <f t="shared" si="203"/>
        <v>18.898</v>
      </c>
      <c r="AP88" s="55">
        <f t="shared" si="203"/>
        <v>18.898</v>
      </c>
      <c r="AQ88" s="55">
        <f t="shared" si="203"/>
        <v>18.898</v>
      </c>
      <c r="AR88" s="55">
        <f t="shared" si="203"/>
        <v>18.898</v>
      </c>
      <c r="AS88" s="55">
        <f t="shared" si="203"/>
        <v>18.898</v>
      </c>
      <c r="AT88" s="55">
        <f t="shared" si="203"/>
        <v>18.898</v>
      </c>
      <c r="AU88" s="55">
        <f t="shared" si="203"/>
        <v>18.898</v>
      </c>
      <c r="AV88" s="55">
        <f t="shared" si="203"/>
        <v>18.898</v>
      </c>
      <c r="AW88" s="55">
        <f t="shared" si="203"/>
        <v>18.898</v>
      </c>
      <c r="AX88" s="55">
        <f t="shared" si="203"/>
        <v>18.898</v>
      </c>
      <c r="AY88" s="55">
        <f t="shared" si="203"/>
        <v>18.898</v>
      </c>
      <c r="AZ88" s="55">
        <f t="shared" si="203"/>
        <v>18.898</v>
      </c>
      <c r="BA88" s="55">
        <f t="shared" si="203"/>
        <v>18.898</v>
      </c>
      <c r="BB88" s="55">
        <f t="shared" si="203"/>
        <v>18.898</v>
      </c>
      <c r="BC88" s="55">
        <f t="shared" si="203"/>
        <v>18.898</v>
      </c>
      <c r="BD88" s="55">
        <f t="shared" si="203"/>
        <v>18.898</v>
      </c>
      <c r="BE88" s="55">
        <f t="shared" si="203"/>
        <v>18.898</v>
      </c>
      <c r="BF88" s="55">
        <f t="shared" si="203"/>
        <v>18.898</v>
      </c>
      <c r="BG88" s="55">
        <f t="shared" si="203"/>
        <v>18.898</v>
      </c>
      <c r="BH88" s="55">
        <f t="shared" si="203"/>
        <v>18.898</v>
      </c>
      <c r="BI88" s="55">
        <f t="shared" si="203"/>
        <v>18.898</v>
      </c>
      <c r="BJ88" s="55">
        <f t="shared" si="203"/>
        <v>18.898</v>
      </c>
      <c r="BK88" s="55">
        <f t="shared" si="203"/>
        <v>18.898</v>
      </c>
      <c r="BL88" s="55">
        <f t="shared" si="203"/>
        <v>18.898</v>
      </c>
      <c r="BM88" s="55">
        <f t="shared" si="203"/>
        <v>18.898</v>
      </c>
      <c r="BN88" s="55">
        <f t="shared" si="203"/>
        <v>18.898</v>
      </c>
      <c r="BO88" s="55">
        <f t="shared" si="203"/>
        <v>18.898</v>
      </c>
      <c r="BP88" s="55">
        <f t="shared" si="203"/>
        <v>18.898</v>
      </c>
      <c r="BQ88" s="55">
        <f t="shared" si="203"/>
        <v>18.898</v>
      </c>
      <c r="BR88" s="55">
        <f t="shared" si="203"/>
        <v>18.898</v>
      </c>
      <c r="BS88" s="55">
        <f t="shared" si="203"/>
        <v>18.898</v>
      </c>
      <c r="BT88" s="55">
        <f t="shared" si="203"/>
        <v>18.898</v>
      </c>
      <c r="BU88" s="55">
        <f t="shared" si="203"/>
        <v>18.898</v>
      </c>
      <c r="BV88" s="55">
        <f t="shared" si="203"/>
        <v>18.898</v>
      </c>
      <c r="BW88" s="55">
        <f t="shared" si="203"/>
        <v>18.898</v>
      </c>
      <c r="BX88" s="6" t="s">
        <v>35</v>
      </c>
      <c r="BY88" s="54">
        <f t="shared" si="184"/>
        <v>0</v>
      </c>
      <c r="BZ88" s="54">
        <f t="shared" si="185"/>
        <v>0</v>
      </c>
      <c r="CA88" s="54">
        <f t="shared" si="186"/>
        <v>6.618</v>
      </c>
      <c r="CB88" s="54">
        <f t="shared" si="187"/>
        <v>5.944</v>
      </c>
      <c r="CC88" s="54">
        <f t="shared" si="188"/>
        <v>4.371</v>
      </c>
      <c r="CD88" s="54">
        <f t="shared" si="189"/>
        <v>16.31</v>
      </c>
      <c r="CE88" s="54">
        <f t="shared" si="190"/>
        <v>20.281</v>
      </c>
      <c r="CF88" s="54">
        <f t="shared" si="191"/>
        <v>19.108</v>
      </c>
      <c r="CG88" s="54">
        <f t="shared" si="192"/>
        <v>18.898</v>
      </c>
      <c r="CH88" s="54">
        <f t="shared" si="193"/>
        <v>18.898</v>
      </c>
      <c r="CI88" s="54">
        <f t="shared" si="194"/>
        <v>18.898</v>
      </c>
      <c r="CJ88" s="54">
        <f t="shared" si="195"/>
        <v>18.898</v>
      </c>
      <c r="CK88" s="54">
        <f t="shared" si="196"/>
        <v>18.898</v>
      </c>
      <c r="CL88" s="54">
        <f t="shared" si="197"/>
        <v>18.898</v>
      </c>
      <c r="CM88" s="54">
        <f t="shared" si="198"/>
        <v>18.898</v>
      </c>
      <c r="CN88" s="54">
        <f t="shared" si="199"/>
        <v>18.898</v>
      </c>
      <c r="CO88" s="54">
        <f t="shared" si="200"/>
        <v>18.898</v>
      </c>
      <c r="CP88" s="54">
        <f t="shared" si="201"/>
        <v>18.898</v>
      </c>
      <c r="CQ88" s="6" t="s">
        <v>35</v>
      </c>
      <c r="CW88" s="46"/>
      <c r="CX88" s="46">
        <f t="shared" ref="CX88:CY88" si="204">AH88-AG88</f>
        <v>2.234</v>
      </c>
      <c r="CY88" s="46">
        <f t="shared" si="204"/>
        <v>-0.845</v>
      </c>
      <c r="DA88" s="46"/>
    </row>
    <row r="89" ht="14.25" customHeight="1">
      <c r="B89" s="53" t="str">
        <f>Inputs!B72</f>
        <v>Contas a pagar por aquisição societária</v>
      </c>
      <c r="D89" s="54">
        <v>0.0</v>
      </c>
      <c r="E89" s="54">
        <v>0.0</v>
      </c>
      <c r="F89" s="54">
        <v>0.0</v>
      </c>
      <c r="G89" s="54">
        <v>0.0</v>
      </c>
      <c r="H89" s="54">
        <f>Inputs!J72/1000</f>
        <v>4.503</v>
      </c>
      <c r="I89" s="54">
        <f>Inputs!K72/1000</f>
        <v>8.316</v>
      </c>
      <c r="J89" s="54">
        <f>Inputs!L72/1000</f>
        <v>2.373</v>
      </c>
      <c r="K89" s="54">
        <f>(Inputs!M72/1000)*-1</f>
        <v>2.193</v>
      </c>
      <c r="L89" s="54">
        <f>Inputs!N72/1000</f>
        <v>2.02</v>
      </c>
      <c r="M89" s="54">
        <f>Inputs!O72/1000</f>
        <v>1.836</v>
      </c>
      <c r="N89" s="54">
        <f>Inputs!P72/1000</f>
        <v>0</v>
      </c>
      <c r="O89" s="54">
        <f>Inputs!Q72/1000</f>
        <v>0</v>
      </c>
      <c r="P89" s="54">
        <f>Inputs!R72/1000</f>
        <v>0</v>
      </c>
      <c r="Q89" s="54">
        <f>Inputs!S72/1000</f>
        <v>3.894</v>
      </c>
      <c r="R89" s="54">
        <f>Inputs!T72/1000</f>
        <v>2.611</v>
      </c>
      <c r="S89" s="54">
        <f>Inputs!U72/1000</f>
        <v>3.476</v>
      </c>
      <c r="T89" s="54">
        <f>Inputs!V72/1000</f>
        <v>3.312</v>
      </c>
      <c r="U89" s="54">
        <f>Inputs!W72/1000</f>
        <v>3.176</v>
      </c>
      <c r="V89" s="54">
        <f>Inputs!X72/1000</f>
        <v>2.723</v>
      </c>
      <c r="W89" s="54">
        <f>Inputs!Y72/1000</f>
        <v>2.732</v>
      </c>
      <c r="X89" s="54">
        <f>Inputs!Z72/1000</f>
        <v>2.793</v>
      </c>
      <c r="Y89" s="54">
        <f>Inputs!AA72/1000</f>
        <v>2.868</v>
      </c>
      <c r="Z89" s="54">
        <f>Inputs!AB72/1000</f>
        <v>2.957</v>
      </c>
      <c r="AA89" s="54">
        <f>Inputs!AC72/1000</f>
        <v>15.044</v>
      </c>
      <c r="AB89" s="54">
        <f>Inputs!AD72/1000</f>
        <v>22.296</v>
      </c>
      <c r="AC89" s="54">
        <f>Inputs!AE72/1000</f>
        <v>19.244</v>
      </c>
      <c r="AD89" s="54">
        <f>Inputs!AF72/1000</f>
        <v>20.228</v>
      </c>
      <c r="AE89" s="54">
        <f>Inputs!AG72/1000</f>
        <v>20.076</v>
      </c>
      <c r="AF89" s="54">
        <f>Inputs!AH72/1000</f>
        <v>13.191</v>
      </c>
      <c r="AG89" s="54">
        <f>Inputs!AI72/1000</f>
        <v>19.012</v>
      </c>
      <c r="AH89" s="54">
        <f>Inputs!AJ72/1000</f>
        <v>88.054</v>
      </c>
      <c r="AI89" s="54">
        <f>Inputs!AK72/1000</f>
        <v>98.717</v>
      </c>
      <c r="AJ89" s="54">
        <f>Inputs!AL72/1000</f>
        <v>95.117</v>
      </c>
      <c r="AK89" s="55">
        <f t="shared" ref="AK89:BW89" si="205">AJ89</f>
        <v>95.117</v>
      </c>
      <c r="AL89" s="55">
        <f t="shared" si="205"/>
        <v>95.117</v>
      </c>
      <c r="AM89" s="55">
        <f t="shared" si="205"/>
        <v>95.117</v>
      </c>
      <c r="AN89" s="55">
        <f t="shared" si="205"/>
        <v>95.117</v>
      </c>
      <c r="AO89" s="55">
        <f t="shared" si="205"/>
        <v>95.117</v>
      </c>
      <c r="AP89" s="55">
        <f t="shared" si="205"/>
        <v>95.117</v>
      </c>
      <c r="AQ89" s="55">
        <f t="shared" si="205"/>
        <v>95.117</v>
      </c>
      <c r="AR89" s="55">
        <f t="shared" si="205"/>
        <v>95.117</v>
      </c>
      <c r="AS89" s="55">
        <f t="shared" si="205"/>
        <v>95.117</v>
      </c>
      <c r="AT89" s="55">
        <f t="shared" si="205"/>
        <v>95.117</v>
      </c>
      <c r="AU89" s="55">
        <f t="shared" si="205"/>
        <v>95.117</v>
      </c>
      <c r="AV89" s="55">
        <f t="shared" si="205"/>
        <v>95.117</v>
      </c>
      <c r="AW89" s="55">
        <f t="shared" si="205"/>
        <v>95.117</v>
      </c>
      <c r="AX89" s="55">
        <f t="shared" si="205"/>
        <v>95.117</v>
      </c>
      <c r="AY89" s="55">
        <f t="shared" si="205"/>
        <v>95.117</v>
      </c>
      <c r="AZ89" s="55">
        <f t="shared" si="205"/>
        <v>95.117</v>
      </c>
      <c r="BA89" s="55">
        <f t="shared" si="205"/>
        <v>95.117</v>
      </c>
      <c r="BB89" s="55">
        <f t="shared" si="205"/>
        <v>95.117</v>
      </c>
      <c r="BC89" s="55">
        <f t="shared" si="205"/>
        <v>95.117</v>
      </c>
      <c r="BD89" s="55">
        <f t="shared" si="205"/>
        <v>95.117</v>
      </c>
      <c r="BE89" s="55">
        <f t="shared" si="205"/>
        <v>95.117</v>
      </c>
      <c r="BF89" s="55">
        <f t="shared" si="205"/>
        <v>95.117</v>
      </c>
      <c r="BG89" s="55">
        <f t="shared" si="205"/>
        <v>95.117</v>
      </c>
      <c r="BH89" s="55">
        <f t="shared" si="205"/>
        <v>95.117</v>
      </c>
      <c r="BI89" s="55">
        <f t="shared" si="205"/>
        <v>95.117</v>
      </c>
      <c r="BJ89" s="55">
        <f t="shared" si="205"/>
        <v>95.117</v>
      </c>
      <c r="BK89" s="55">
        <f t="shared" si="205"/>
        <v>95.117</v>
      </c>
      <c r="BL89" s="55">
        <f t="shared" si="205"/>
        <v>95.117</v>
      </c>
      <c r="BM89" s="55">
        <f t="shared" si="205"/>
        <v>95.117</v>
      </c>
      <c r="BN89" s="55">
        <f t="shared" si="205"/>
        <v>95.117</v>
      </c>
      <c r="BO89" s="55">
        <f t="shared" si="205"/>
        <v>95.117</v>
      </c>
      <c r="BP89" s="55">
        <f t="shared" si="205"/>
        <v>95.117</v>
      </c>
      <c r="BQ89" s="55">
        <f t="shared" si="205"/>
        <v>95.117</v>
      </c>
      <c r="BR89" s="55">
        <f t="shared" si="205"/>
        <v>95.117</v>
      </c>
      <c r="BS89" s="55">
        <f t="shared" si="205"/>
        <v>95.117</v>
      </c>
      <c r="BT89" s="55">
        <f t="shared" si="205"/>
        <v>95.117</v>
      </c>
      <c r="BU89" s="55">
        <f t="shared" si="205"/>
        <v>95.117</v>
      </c>
      <c r="BV89" s="55">
        <f t="shared" si="205"/>
        <v>95.117</v>
      </c>
      <c r="BW89" s="55">
        <f t="shared" si="205"/>
        <v>95.117</v>
      </c>
      <c r="BX89" s="6" t="s">
        <v>35</v>
      </c>
      <c r="BY89" s="54">
        <f t="shared" si="184"/>
        <v>0</v>
      </c>
      <c r="BZ89" s="54">
        <f t="shared" si="185"/>
        <v>2.193</v>
      </c>
      <c r="CA89" s="54">
        <f t="shared" si="186"/>
        <v>0</v>
      </c>
      <c r="CB89" s="54">
        <f t="shared" si="187"/>
        <v>3.476</v>
      </c>
      <c r="CC89" s="54">
        <f t="shared" si="188"/>
        <v>2.732</v>
      </c>
      <c r="CD89" s="54">
        <f t="shared" si="189"/>
        <v>15.044</v>
      </c>
      <c r="CE89" s="54">
        <f t="shared" si="190"/>
        <v>20.076</v>
      </c>
      <c r="CF89" s="54">
        <f t="shared" si="191"/>
        <v>98.717</v>
      </c>
      <c r="CG89" s="54">
        <f t="shared" si="192"/>
        <v>95.117</v>
      </c>
      <c r="CH89" s="54">
        <f t="shared" si="193"/>
        <v>95.117</v>
      </c>
      <c r="CI89" s="54">
        <f t="shared" si="194"/>
        <v>95.117</v>
      </c>
      <c r="CJ89" s="54">
        <f t="shared" si="195"/>
        <v>95.117</v>
      </c>
      <c r="CK89" s="54">
        <f t="shared" si="196"/>
        <v>95.117</v>
      </c>
      <c r="CL89" s="54">
        <f t="shared" si="197"/>
        <v>95.117</v>
      </c>
      <c r="CM89" s="54">
        <f t="shared" si="198"/>
        <v>95.117</v>
      </c>
      <c r="CN89" s="54">
        <f t="shared" si="199"/>
        <v>95.117</v>
      </c>
      <c r="CO89" s="54">
        <f t="shared" si="200"/>
        <v>95.117</v>
      </c>
      <c r="CP89" s="54">
        <f t="shared" si="201"/>
        <v>95.117</v>
      </c>
      <c r="CQ89" s="6" t="s">
        <v>35</v>
      </c>
      <c r="CW89" s="46"/>
      <c r="CX89" s="46">
        <f t="shared" ref="CX89:CY89" si="206">AH89-AG89</f>
        <v>69.042</v>
      </c>
      <c r="CY89" s="46">
        <f t="shared" si="206"/>
        <v>10.663</v>
      </c>
      <c r="DA89" s="46"/>
    </row>
    <row r="90" ht="14.25" customHeight="1">
      <c r="B90" s="53" t="str">
        <f>Inputs!B75</f>
        <v>Provisão para riscos tributários, cíveis e trabalhistas</v>
      </c>
      <c r="D90" s="54">
        <v>1.232</v>
      </c>
      <c r="E90" s="54">
        <v>1.289</v>
      </c>
      <c r="F90" s="54">
        <v>5.181</v>
      </c>
      <c r="G90" s="54">
        <v>5.489</v>
      </c>
      <c r="H90" s="54">
        <f>Inputs!J75/1000</f>
        <v>5.516</v>
      </c>
      <c r="I90" s="54">
        <f>Inputs!K75/1000</f>
        <v>5.268</v>
      </c>
      <c r="J90" s="54">
        <f>Inputs!L75/1000</f>
        <v>5.075</v>
      </c>
      <c r="K90" s="54">
        <f>(Inputs!M75/1000)*-1</f>
        <v>4.794</v>
      </c>
      <c r="L90" s="54">
        <f>Inputs!N75/1000</f>
        <v>5.051</v>
      </c>
      <c r="M90" s="54">
        <f>Inputs!O75/1000</f>
        <v>5.499</v>
      </c>
      <c r="N90" s="54">
        <f>Inputs!P75/1000</f>
        <v>5.327</v>
      </c>
      <c r="O90" s="54">
        <f>Inputs!Q75/1000</f>
        <v>5.258</v>
      </c>
      <c r="P90" s="54">
        <f>Inputs!R75/1000</f>
        <v>5.096</v>
      </c>
      <c r="Q90" s="54">
        <f>Inputs!S75/1000</f>
        <v>4.837</v>
      </c>
      <c r="R90" s="54">
        <f>Inputs!T75/1000</f>
        <v>4.822</v>
      </c>
      <c r="S90" s="54">
        <f>Inputs!U75/1000</f>
        <v>4.093</v>
      </c>
      <c r="T90" s="54">
        <f>Inputs!V75/1000</f>
        <v>4.108</v>
      </c>
      <c r="U90" s="54">
        <f>Inputs!W75/1000</f>
        <v>4.168</v>
      </c>
      <c r="V90" s="54">
        <f>Inputs!X75/1000</f>
        <v>3.917</v>
      </c>
      <c r="W90" s="54">
        <f>Inputs!Y75/1000</f>
        <v>4.273</v>
      </c>
      <c r="X90" s="54">
        <f>Inputs!Z75/1000</f>
        <v>4.331</v>
      </c>
      <c r="Y90" s="54">
        <f>Inputs!AA75/1000</f>
        <v>4.478</v>
      </c>
      <c r="Z90" s="54">
        <f>Inputs!AB75/1000</f>
        <v>5.477</v>
      </c>
      <c r="AA90" s="54">
        <f>Inputs!AC75/1000</f>
        <v>5.706</v>
      </c>
      <c r="AB90" s="54">
        <f>Inputs!AD75/1000</f>
        <v>6.508</v>
      </c>
      <c r="AC90" s="54">
        <f>Inputs!AE75/1000</f>
        <v>6.59</v>
      </c>
      <c r="AD90" s="54">
        <f>Inputs!AF75/1000</f>
        <v>7.087</v>
      </c>
      <c r="AE90" s="54">
        <f>Inputs!AG75/1000</f>
        <v>8.953</v>
      </c>
      <c r="AF90" s="54">
        <f>Inputs!AH75/1000</f>
        <v>9.576</v>
      </c>
      <c r="AG90" s="54">
        <f>Inputs!AI75/1000</f>
        <v>8.35</v>
      </c>
      <c r="AH90" s="54">
        <f>Inputs!AJ75/1000</f>
        <v>7.62</v>
      </c>
      <c r="AI90" s="54">
        <f>Inputs!AK75/1000</f>
        <v>7.492</v>
      </c>
      <c r="AJ90" s="54">
        <f>Inputs!AL75/1000</f>
        <v>7.372</v>
      </c>
      <c r="AK90" s="55">
        <f t="shared" ref="AK90:BW90" si="207">AJ90</f>
        <v>7.372</v>
      </c>
      <c r="AL90" s="55">
        <f t="shared" si="207"/>
        <v>7.372</v>
      </c>
      <c r="AM90" s="55">
        <f t="shared" si="207"/>
        <v>7.372</v>
      </c>
      <c r="AN90" s="55">
        <f t="shared" si="207"/>
        <v>7.372</v>
      </c>
      <c r="AO90" s="55">
        <f t="shared" si="207"/>
        <v>7.372</v>
      </c>
      <c r="AP90" s="55">
        <f t="shared" si="207"/>
        <v>7.372</v>
      </c>
      <c r="AQ90" s="55">
        <f t="shared" si="207"/>
        <v>7.372</v>
      </c>
      <c r="AR90" s="55">
        <f t="shared" si="207"/>
        <v>7.372</v>
      </c>
      <c r="AS90" s="55">
        <f t="shared" si="207"/>
        <v>7.372</v>
      </c>
      <c r="AT90" s="55">
        <f t="shared" si="207"/>
        <v>7.372</v>
      </c>
      <c r="AU90" s="55">
        <f t="shared" si="207"/>
        <v>7.372</v>
      </c>
      <c r="AV90" s="55">
        <f t="shared" si="207"/>
        <v>7.372</v>
      </c>
      <c r="AW90" s="55">
        <f t="shared" si="207"/>
        <v>7.372</v>
      </c>
      <c r="AX90" s="55">
        <f t="shared" si="207"/>
        <v>7.372</v>
      </c>
      <c r="AY90" s="55">
        <f t="shared" si="207"/>
        <v>7.372</v>
      </c>
      <c r="AZ90" s="55">
        <f t="shared" si="207"/>
        <v>7.372</v>
      </c>
      <c r="BA90" s="55">
        <f t="shared" si="207"/>
        <v>7.372</v>
      </c>
      <c r="BB90" s="55">
        <f t="shared" si="207"/>
        <v>7.372</v>
      </c>
      <c r="BC90" s="55">
        <f t="shared" si="207"/>
        <v>7.372</v>
      </c>
      <c r="BD90" s="55">
        <f t="shared" si="207"/>
        <v>7.372</v>
      </c>
      <c r="BE90" s="55">
        <f t="shared" si="207"/>
        <v>7.372</v>
      </c>
      <c r="BF90" s="55">
        <f t="shared" si="207"/>
        <v>7.372</v>
      </c>
      <c r="BG90" s="55">
        <f t="shared" si="207"/>
        <v>7.372</v>
      </c>
      <c r="BH90" s="55">
        <f t="shared" si="207"/>
        <v>7.372</v>
      </c>
      <c r="BI90" s="55">
        <f t="shared" si="207"/>
        <v>7.372</v>
      </c>
      <c r="BJ90" s="55">
        <f t="shared" si="207"/>
        <v>7.372</v>
      </c>
      <c r="BK90" s="55">
        <f t="shared" si="207"/>
        <v>7.372</v>
      </c>
      <c r="BL90" s="55">
        <f t="shared" si="207"/>
        <v>7.372</v>
      </c>
      <c r="BM90" s="55">
        <f t="shared" si="207"/>
        <v>7.372</v>
      </c>
      <c r="BN90" s="55">
        <f t="shared" si="207"/>
        <v>7.372</v>
      </c>
      <c r="BO90" s="55">
        <f t="shared" si="207"/>
        <v>7.372</v>
      </c>
      <c r="BP90" s="55">
        <f t="shared" si="207"/>
        <v>7.372</v>
      </c>
      <c r="BQ90" s="55">
        <f t="shared" si="207"/>
        <v>7.372</v>
      </c>
      <c r="BR90" s="55">
        <f t="shared" si="207"/>
        <v>7.372</v>
      </c>
      <c r="BS90" s="55">
        <f t="shared" si="207"/>
        <v>7.372</v>
      </c>
      <c r="BT90" s="55">
        <f t="shared" si="207"/>
        <v>7.372</v>
      </c>
      <c r="BU90" s="55">
        <f t="shared" si="207"/>
        <v>7.372</v>
      </c>
      <c r="BV90" s="55">
        <f t="shared" si="207"/>
        <v>7.372</v>
      </c>
      <c r="BW90" s="55">
        <f t="shared" si="207"/>
        <v>7.372</v>
      </c>
      <c r="BX90" s="6" t="s">
        <v>35</v>
      </c>
      <c r="BY90" s="54">
        <f t="shared" si="184"/>
        <v>5.489</v>
      </c>
      <c r="BZ90" s="54">
        <f t="shared" si="185"/>
        <v>4.794</v>
      </c>
      <c r="CA90" s="54">
        <f t="shared" si="186"/>
        <v>5.258</v>
      </c>
      <c r="CB90" s="54">
        <f t="shared" si="187"/>
        <v>4.093</v>
      </c>
      <c r="CC90" s="54">
        <f t="shared" si="188"/>
        <v>4.273</v>
      </c>
      <c r="CD90" s="54">
        <f t="shared" si="189"/>
        <v>5.706</v>
      </c>
      <c r="CE90" s="54">
        <f t="shared" si="190"/>
        <v>8.953</v>
      </c>
      <c r="CF90" s="54">
        <f t="shared" si="191"/>
        <v>7.492</v>
      </c>
      <c r="CG90" s="54">
        <f t="shared" si="192"/>
        <v>7.372</v>
      </c>
      <c r="CH90" s="54">
        <f t="shared" si="193"/>
        <v>7.372</v>
      </c>
      <c r="CI90" s="54">
        <f t="shared" si="194"/>
        <v>7.372</v>
      </c>
      <c r="CJ90" s="54">
        <f t="shared" si="195"/>
        <v>7.372</v>
      </c>
      <c r="CK90" s="54">
        <f t="shared" si="196"/>
        <v>7.372</v>
      </c>
      <c r="CL90" s="54">
        <f t="shared" si="197"/>
        <v>7.372</v>
      </c>
      <c r="CM90" s="54">
        <f t="shared" si="198"/>
        <v>7.372</v>
      </c>
      <c r="CN90" s="54">
        <f t="shared" si="199"/>
        <v>7.372</v>
      </c>
      <c r="CO90" s="54">
        <f t="shared" si="200"/>
        <v>7.372</v>
      </c>
      <c r="CP90" s="54">
        <f t="shared" si="201"/>
        <v>7.372</v>
      </c>
      <c r="CQ90" s="6" t="s">
        <v>35</v>
      </c>
      <c r="CW90" s="46"/>
      <c r="CX90" s="46">
        <f t="shared" ref="CX90:CY90" si="208">AH90-AG90</f>
        <v>-0.73</v>
      </c>
      <c r="CY90" s="46">
        <f t="shared" si="208"/>
        <v>-0.128</v>
      </c>
      <c r="DA90" s="46"/>
    </row>
    <row r="91" ht="14.25" customHeight="1">
      <c r="B91" s="53" t="str">
        <f>Inputs!B77</f>
        <v>Outros passivos não circulantes</v>
      </c>
      <c r="D91" s="54">
        <v>0.18000000000000016</v>
      </c>
      <c r="E91" s="54">
        <v>0.1769999999999996</v>
      </c>
      <c r="F91" s="54">
        <v>9.072</v>
      </c>
      <c r="G91" s="54">
        <v>10.777999999999999</v>
      </c>
      <c r="H91" s="54">
        <f>(Inputs!J78/1000)-SUM(Modelo!H87:H90)</f>
        <v>7.028</v>
      </c>
      <c r="I91" s="54">
        <f>(Inputs!K78/1000)-SUM(Modelo!I87:I90)</f>
        <v>6.196</v>
      </c>
      <c r="J91" s="54">
        <f>(Inputs!L78/1000)-SUM(Modelo!J87:J90)</f>
        <v>6.071</v>
      </c>
      <c r="K91" s="54">
        <f>-(Inputs!M78/1000)-SUM(Modelo!K87:K90)</f>
        <v>6.158</v>
      </c>
      <c r="L91" s="54">
        <f>(Inputs!N78/1000)-SUM(Modelo!L87:L90)</f>
        <v>3.644</v>
      </c>
      <c r="M91" s="54">
        <f>(Inputs!O78/1000)-SUM(Modelo!M87:M90)</f>
        <v>1.782</v>
      </c>
      <c r="N91" s="54">
        <f>(Inputs!P78/1000)-SUM(Modelo!N87:N90)</f>
        <v>0.45</v>
      </c>
      <c r="O91" s="54">
        <f>(Inputs!Q78/1000)-SUM(Modelo!O87:O90)</f>
        <v>0.432</v>
      </c>
      <c r="P91" s="54">
        <f>(Inputs!R78/1000)-SUM(Modelo!P87:P90)</f>
        <v>0.419</v>
      </c>
      <c r="Q91" s="54">
        <f>(Inputs!S78/1000)-SUM(Modelo!Q87:Q90)</f>
        <v>0.33</v>
      </c>
      <c r="R91" s="54">
        <f>(Inputs!T78/1000)-SUM(Modelo!R87:R90)</f>
        <v>0.313</v>
      </c>
      <c r="S91" s="54">
        <f>(Inputs!U78/1000)-SUM(Modelo!S87:S90)</f>
        <v>0.152</v>
      </c>
      <c r="T91" s="54">
        <f>(Inputs!V78/1000)-SUM(Modelo!T87:T90)</f>
        <v>1.137</v>
      </c>
      <c r="U91" s="54">
        <f>(Inputs!W78/1000)-SUM(Modelo!U87:U90)</f>
        <v>1.223</v>
      </c>
      <c r="V91" s="54">
        <f>(Inputs!X78/1000)-SUM(Modelo!V87:V90)</f>
        <v>0.101</v>
      </c>
      <c r="W91" s="54">
        <f>(Inputs!Y78/1000)-SUM(Modelo!W87:W90)</f>
        <v>0.084</v>
      </c>
      <c r="X91" s="54">
        <f>(Inputs!Z78/1000)-SUM(Modelo!X87:X90)</f>
        <v>1.024</v>
      </c>
      <c r="Y91" s="54">
        <f>(Inputs!AA78/1000)-SUM(Modelo!Y87:Y90)</f>
        <v>2.08</v>
      </c>
      <c r="Z91" s="54">
        <f>(Inputs!AB78/1000)-SUM(Modelo!Z87:Z90)</f>
        <v>2.275</v>
      </c>
      <c r="AA91" s="54">
        <f>(Inputs!AC78/1000)-SUM(Modelo!AA87:AA90)</f>
        <v>1.3</v>
      </c>
      <c r="AB91" s="54">
        <f>(Inputs!AD78/1000)-SUM(Modelo!AB87:AB90)</f>
        <v>1.309</v>
      </c>
      <c r="AC91" s="54">
        <f>(Inputs!AE78/1000)-SUM(Modelo!AC87:AC90)</f>
        <v>0.237</v>
      </c>
      <c r="AD91" s="54">
        <f>(Inputs!AF78/1000)-SUM(Modelo!AD87:AD90)</f>
        <v>0.259</v>
      </c>
      <c r="AE91" s="54">
        <f>(Inputs!AG78/1000)-SUM(Modelo!AE87:AE90)</f>
        <v>0.376</v>
      </c>
      <c r="AF91" s="54">
        <f>(Inputs!AH78/1000)-SUM(Modelo!AF87:AF90)</f>
        <v>0.359</v>
      </c>
      <c r="AG91" s="54">
        <f>(Inputs!AI78/1000)-SUM(Modelo!AG87:AG90)</f>
        <v>1.304</v>
      </c>
      <c r="AH91" s="54">
        <f>(Inputs!AJ78/1000)-SUM(Modelo!AH87:AH90)</f>
        <v>3.488</v>
      </c>
      <c r="AI91" s="54">
        <f>(Inputs!AK78/1000)-SUM(Modelo!AI87:AI90)</f>
        <v>6.164</v>
      </c>
      <c r="AJ91" s="54">
        <f>(Inputs!AL78/1000)-SUM(Modelo!AJ87:AJ90)</f>
        <v>6.182</v>
      </c>
      <c r="AK91" s="55">
        <f t="shared" ref="AK91:BW91" si="209">AJ91</f>
        <v>6.182</v>
      </c>
      <c r="AL91" s="55">
        <f t="shared" si="209"/>
        <v>6.182</v>
      </c>
      <c r="AM91" s="55">
        <f t="shared" si="209"/>
        <v>6.182</v>
      </c>
      <c r="AN91" s="55">
        <f t="shared" si="209"/>
        <v>6.182</v>
      </c>
      <c r="AO91" s="55">
        <f t="shared" si="209"/>
        <v>6.182</v>
      </c>
      <c r="AP91" s="55">
        <f t="shared" si="209"/>
        <v>6.182</v>
      </c>
      <c r="AQ91" s="55">
        <f t="shared" si="209"/>
        <v>6.182</v>
      </c>
      <c r="AR91" s="55">
        <f t="shared" si="209"/>
        <v>6.182</v>
      </c>
      <c r="AS91" s="55">
        <f t="shared" si="209"/>
        <v>6.182</v>
      </c>
      <c r="AT91" s="55">
        <f t="shared" si="209"/>
        <v>6.182</v>
      </c>
      <c r="AU91" s="55">
        <f t="shared" si="209"/>
        <v>6.182</v>
      </c>
      <c r="AV91" s="55">
        <f t="shared" si="209"/>
        <v>6.182</v>
      </c>
      <c r="AW91" s="55">
        <f t="shared" si="209"/>
        <v>6.182</v>
      </c>
      <c r="AX91" s="55">
        <f t="shared" si="209"/>
        <v>6.182</v>
      </c>
      <c r="AY91" s="55">
        <f t="shared" si="209"/>
        <v>6.182</v>
      </c>
      <c r="AZ91" s="55">
        <f t="shared" si="209"/>
        <v>6.182</v>
      </c>
      <c r="BA91" s="55">
        <f t="shared" si="209"/>
        <v>6.182</v>
      </c>
      <c r="BB91" s="55">
        <f t="shared" si="209"/>
        <v>6.182</v>
      </c>
      <c r="BC91" s="55">
        <f t="shared" si="209"/>
        <v>6.182</v>
      </c>
      <c r="BD91" s="55">
        <f t="shared" si="209"/>
        <v>6.182</v>
      </c>
      <c r="BE91" s="55">
        <f t="shared" si="209"/>
        <v>6.182</v>
      </c>
      <c r="BF91" s="55">
        <f t="shared" si="209"/>
        <v>6.182</v>
      </c>
      <c r="BG91" s="55">
        <f t="shared" si="209"/>
        <v>6.182</v>
      </c>
      <c r="BH91" s="55">
        <f t="shared" si="209"/>
        <v>6.182</v>
      </c>
      <c r="BI91" s="55">
        <f t="shared" si="209"/>
        <v>6.182</v>
      </c>
      <c r="BJ91" s="55">
        <f t="shared" si="209"/>
        <v>6.182</v>
      </c>
      <c r="BK91" s="55">
        <f t="shared" si="209"/>
        <v>6.182</v>
      </c>
      <c r="BL91" s="55">
        <f t="shared" si="209"/>
        <v>6.182</v>
      </c>
      <c r="BM91" s="55">
        <f t="shared" si="209"/>
        <v>6.182</v>
      </c>
      <c r="BN91" s="55">
        <f t="shared" si="209"/>
        <v>6.182</v>
      </c>
      <c r="BO91" s="55">
        <f t="shared" si="209"/>
        <v>6.182</v>
      </c>
      <c r="BP91" s="55">
        <f t="shared" si="209"/>
        <v>6.182</v>
      </c>
      <c r="BQ91" s="55">
        <f t="shared" si="209"/>
        <v>6.182</v>
      </c>
      <c r="BR91" s="55">
        <f t="shared" si="209"/>
        <v>6.182</v>
      </c>
      <c r="BS91" s="55">
        <f t="shared" si="209"/>
        <v>6.182</v>
      </c>
      <c r="BT91" s="55">
        <f t="shared" si="209"/>
        <v>6.182</v>
      </c>
      <c r="BU91" s="55">
        <f t="shared" si="209"/>
        <v>6.182</v>
      </c>
      <c r="BV91" s="55">
        <f t="shared" si="209"/>
        <v>6.182</v>
      </c>
      <c r="BW91" s="55">
        <f t="shared" si="209"/>
        <v>6.182</v>
      </c>
      <c r="BX91" s="6" t="s">
        <v>35</v>
      </c>
      <c r="BY91" s="54">
        <f t="shared" si="184"/>
        <v>10.778</v>
      </c>
      <c r="BZ91" s="54">
        <f t="shared" si="185"/>
        <v>6.158</v>
      </c>
      <c r="CA91" s="54">
        <f t="shared" si="186"/>
        <v>0.432</v>
      </c>
      <c r="CB91" s="54">
        <f t="shared" si="187"/>
        <v>0.152</v>
      </c>
      <c r="CC91" s="54">
        <f t="shared" si="188"/>
        <v>0.084</v>
      </c>
      <c r="CD91" s="54">
        <f t="shared" si="189"/>
        <v>1.3</v>
      </c>
      <c r="CE91" s="54">
        <f t="shared" si="190"/>
        <v>0.376</v>
      </c>
      <c r="CF91" s="54">
        <f t="shared" si="191"/>
        <v>6.164</v>
      </c>
      <c r="CG91" s="54">
        <f t="shared" si="192"/>
        <v>6.182</v>
      </c>
      <c r="CH91" s="54">
        <f t="shared" si="193"/>
        <v>6.182</v>
      </c>
      <c r="CI91" s="54">
        <f t="shared" si="194"/>
        <v>6.182</v>
      </c>
      <c r="CJ91" s="54">
        <f t="shared" si="195"/>
        <v>6.182</v>
      </c>
      <c r="CK91" s="54">
        <f t="shared" si="196"/>
        <v>6.182</v>
      </c>
      <c r="CL91" s="54">
        <f t="shared" si="197"/>
        <v>6.182</v>
      </c>
      <c r="CM91" s="54">
        <f t="shared" si="198"/>
        <v>6.182</v>
      </c>
      <c r="CN91" s="54">
        <f t="shared" si="199"/>
        <v>6.182</v>
      </c>
      <c r="CO91" s="54">
        <f t="shared" si="200"/>
        <v>6.182</v>
      </c>
      <c r="CP91" s="54">
        <f t="shared" si="201"/>
        <v>6.182</v>
      </c>
      <c r="CQ91" s="6" t="s">
        <v>35</v>
      </c>
      <c r="CW91" s="46"/>
      <c r="CX91" s="46">
        <f t="shared" ref="CX91:CY91" si="210">AH91-AG91</f>
        <v>2.184</v>
      </c>
      <c r="CY91" s="46">
        <f t="shared" si="210"/>
        <v>2.676</v>
      </c>
      <c r="DA91" s="46"/>
    </row>
    <row r="92" ht="14.25" customHeight="1"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" t="s">
        <v>35</v>
      </c>
      <c r="BY92" s="54"/>
      <c r="BZ92" s="54"/>
      <c r="CA92" s="54"/>
      <c r="CB92" s="54"/>
      <c r="CC92" s="54"/>
      <c r="CD92" s="54"/>
      <c r="CE92" s="54"/>
      <c r="CQ92" s="6" t="s">
        <v>35</v>
      </c>
      <c r="CY92" s="46">
        <f>AI92-AH92</f>
        <v>0</v>
      </c>
      <c r="DA92" s="46"/>
    </row>
    <row r="93" ht="14.25" customHeight="1">
      <c r="B93" s="51" t="s">
        <v>73</v>
      </c>
      <c r="C93" s="15" t="s">
        <v>39</v>
      </c>
      <c r="D93" s="52">
        <f t="shared" ref="D93:BW93" si="211">+D94+D95+D96+D97+D98+D99+D100+D101+D102</f>
        <v>58.177</v>
      </c>
      <c r="E93" s="52">
        <f t="shared" si="211"/>
        <v>57.004</v>
      </c>
      <c r="F93" s="52">
        <f t="shared" si="211"/>
        <v>62.809</v>
      </c>
      <c r="G93" s="52">
        <f t="shared" si="211"/>
        <v>54.774</v>
      </c>
      <c r="H93" s="52">
        <f t="shared" si="211"/>
        <v>55.229</v>
      </c>
      <c r="I93" s="52">
        <f t="shared" si="211"/>
        <v>61.867</v>
      </c>
      <c r="J93" s="52">
        <f t="shared" si="211"/>
        <v>60.675</v>
      </c>
      <c r="K93" s="52">
        <f t="shared" si="211"/>
        <v>66.129</v>
      </c>
      <c r="L93" s="52">
        <f t="shared" si="211"/>
        <v>65.624</v>
      </c>
      <c r="M93" s="52">
        <f t="shared" si="211"/>
        <v>62.916</v>
      </c>
      <c r="N93" s="52">
        <f t="shared" si="211"/>
        <v>59.973</v>
      </c>
      <c r="O93" s="52">
        <f t="shared" si="211"/>
        <v>74.609</v>
      </c>
      <c r="P93" s="52">
        <f t="shared" si="211"/>
        <v>235.391</v>
      </c>
      <c r="Q93" s="52">
        <f t="shared" si="211"/>
        <v>218.169</v>
      </c>
      <c r="R93" s="52">
        <f t="shared" si="211"/>
        <v>209.663</v>
      </c>
      <c r="S93" s="52">
        <f t="shared" si="211"/>
        <v>225.586</v>
      </c>
      <c r="T93" s="52">
        <f t="shared" si="211"/>
        <v>224.555</v>
      </c>
      <c r="U93" s="52">
        <f t="shared" si="211"/>
        <v>228.478</v>
      </c>
      <c r="V93" s="52">
        <f t="shared" si="211"/>
        <v>230.468</v>
      </c>
      <c r="W93" s="52">
        <f t="shared" si="211"/>
        <v>229.0798056</v>
      </c>
      <c r="X93" s="52">
        <f t="shared" si="211"/>
        <v>234.769</v>
      </c>
      <c r="Y93" s="52">
        <f t="shared" si="211"/>
        <v>251.642</v>
      </c>
      <c r="Z93" s="52">
        <f t="shared" si="211"/>
        <v>291.582</v>
      </c>
      <c r="AA93" s="52">
        <f t="shared" si="211"/>
        <v>221.762</v>
      </c>
      <c r="AB93" s="52">
        <f t="shared" si="211"/>
        <v>229.32</v>
      </c>
      <c r="AC93" s="52">
        <f t="shared" si="211"/>
        <v>239.387202</v>
      </c>
      <c r="AD93" s="52">
        <f t="shared" si="211"/>
        <v>242.021</v>
      </c>
      <c r="AE93" s="52">
        <f t="shared" si="211"/>
        <v>238.704</v>
      </c>
      <c r="AF93" s="52">
        <f t="shared" si="211"/>
        <v>326.5993987</v>
      </c>
      <c r="AG93" s="52">
        <f t="shared" si="211"/>
        <v>319.796</v>
      </c>
      <c r="AH93" s="52">
        <f t="shared" si="211"/>
        <v>362.068</v>
      </c>
      <c r="AI93" s="52">
        <f t="shared" si="211"/>
        <v>369.088</v>
      </c>
      <c r="AJ93" s="52">
        <f t="shared" si="211"/>
        <v>360.101</v>
      </c>
      <c r="AK93" s="52">
        <f t="shared" si="211"/>
        <v>362.3166413</v>
      </c>
      <c r="AL93" s="52">
        <f t="shared" si="211"/>
        <v>374.8799246</v>
      </c>
      <c r="AM93" s="52">
        <f t="shared" si="211"/>
        <v>387.7624226</v>
      </c>
      <c r="AN93" s="52">
        <f t="shared" si="211"/>
        <v>403.2685957</v>
      </c>
      <c r="AO93" s="52">
        <f t="shared" si="211"/>
        <v>416.9686642</v>
      </c>
      <c r="AP93" s="52">
        <f t="shared" si="211"/>
        <v>431.7098882</v>
      </c>
      <c r="AQ93" s="52">
        <f t="shared" si="211"/>
        <v>452.431862</v>
      </c>
      <c r="AR93" s="52">
        <f t="shared" si="211"/>
        <v>472.7519881</v>
      </c>
      <c r="AS93" s="52">
        <f t="shared" si="211"/>
        <v>491.420075</v>
      </c>
      <c r="AT93" s="52">
        <f t="shared" si="211"/>
        <v>511.3188233</v>
      </c>
      <c r="AU93" s="52">
        <f t="shared" si="211"/>
        <v>536.9496685</v>
      </c>
      <c r="AV93" s="52">
        <f t="shared" si="211"/>
        <v>561.6775866</v>
      </c>
      <c r="AW93" s="52">
        <f t="shared" si="211"/>
        <v>585.6759971</v>
      </c>
      <c r="AX93" s="52">
        <f t="shared" si="211"/>
        <v>611.1629866</v>
      </c>
      <c r="AY93" s="52">
        <f t="shared" si="211"/>
        <v>641.6261793</v>
      </c>
      <c r="AZ93" s="52">
        <f t="shared" si="211"/>
        <v>669.7125804</v>
      </c>
      <c r="BA93" s="52">
        <f t="shared" si="211"/>
        <v>697.3978618</v>
      </c>
      <c r="BB93" s="52">
        <f t="shared" si="211"/>
        <v>726.7142645</v>
      </c>
      <c r="BC93" s="52">
        <f t="shared" si="211"/>
        <v>761.0221085</v>
      </c>
      <c r="BD93" s="52">
        <f t="shared" si="211"/>
        <v>792.7426415</v>
      </c>
      <c r="BE93" s="52">
        <f t="shared" si="211"/>
        <v>824.0292985</v>
      </c>
      <c r="BF93" s="52">
        <f t="shared" si="211"/>
        <v>857.1032414</v>
      </c>
      <c r="BG93" s="52">
        <f t="shared" si="211"/>
        <v>895.6365596</v>
      </c>
      <c r="BH93" s="52">
        <f t="shared" si="211"/>
        <v>931.3487063</v>
      </c>
      <c r="BI93" s="52">
        <f t="shared" si="211"/>
        <v>966.5928536</v>
      </c>
      <c r="BJ93" s="52">
        <f t="shared" si="211"/>
        <v>1003.79619</v>
      </c>
      <c r="BK93" s="52">
        <f t="shared" si="211"/>
        <v>1046.97126</v>
      </c>
      <c r="BL93" s="52">
        <f t="shared" si="211"/>
        <v>1087.07083</v>
      </c>
      <c r="BM93" s="52">
        <f t="shared" si="211"/>
        <v>1126.666404</v>
      </c>
      <c r="BN93" s="52">
        <f t="shared" si="211"/>
        <v>1168.410324</v>
      </c>
      <c r="BO93" s="52">
        <f t="shared" si="211"/>
        <v>1216.687117</v>
      </c>
      <c r="BP93" s="52">
        <f t="shared" si="211"/>
        <v>1261.611754</v>
      </c>
      <c r="BQ93" s="52">
        <f t="shared" si="211"/>
        <v>1305.994248</v>
      </c>
      <c r="BR93" s="52">
        <f t="shared" si="211"/>
        <v>1352.826275</v>
      </c>
      <c r="BS93" s="52">
        <f t="shared" si="211"/>
        <v>1406.89528</v>
      </c>
      <c r="BT93" s="52">
        <f t="shared" si="211"/>
        <v>1457.402616</v>
      </c>
      <c r="BU93" s="52">
        <f t="shared" si="211"/>
        <v>1507.429422</v>
      </c>
      <c r="BV93" s="52">
        <f t="shared" si="211"/>
        <v>1560.133606</v>
      </c>
      <c r="BW93" s="52">
        <f t="shared" si="211"/>
        <v>1620.748119</v>
      </c>
      <c r="BX93" s="6" t="s">
        <v>35</v>
      </c>
      <c r="BY93" s="52">
        <f t="shared" ref="BY93:BY102" si="214">G93</f>
        <v>54.774</v>
      </c>
      <c r="BZ93" s="52">
        <f t="shared" ref="BZ93:BZ102" si="215">K93</f>
        <v>66.129</v>
      </c>
      <c r="CA93" s="52">
        <f t="shared" ref="CA93:CA102" si="216">O93</f>
        <v>74.609</v>
      </c>
      <c r="CB93" s="52">
        <f t="shared" ref="CB93:CB102" si="217">S93</f>
        <v>225.586</v>
      </c>
      <c r="CC93" s="52">
        <f t="shared" ref="CC93:CC102" si="218">W93</f>
        <v>229.0798056</v>
      </c>
      <c r="CD93" s="52">
        <f t="shared" ref="CD93:CD102" si="219">AA93</f>
        <v>221.762</v>
      </c>
      <c r="CE93" s="52">
        <f t="shared" ref="CE93:CE102" si="220">AE93</f>
        <v>238.704</v>
      </c>
      <c r="CF93" s="52">
        <f t="shared" ref="CF93:CF102" si="221">AI93</f>
        <v>369.088</v>
      </c>
      <c r="CG93" s="52">
        <f t="shared" ref="CG93:CG102" si="222">AM93</f>
        <v>387.7624226</v>
      </c>
      <c r="CH93" s="52">
        <f t="shared" ref="CH93:CH102" si="223">AQ93</f>
        <v>452.431862</v>
      </c>
      <c r="CI93" s="52">
        <f t="shared" ref="CI93:CI102" si="224">AU93</f>
        <v>536.9496685</v>
      </c>
      <c r="CJ93" s="52">
        <f t="shared" ref="CJ93:CJ102" si="225">AY93</f>
        <v>641.6261793</v>
      </c>
      <c r="CK93" s="52">
        <f t="shared" ref="CK93:CK102" si="226">BC93</f>
        <v>761.0221085</v>
      </c>
      <c r="CL93" s="52">
        <f t="shared" ref="CL93:CL102" si="227">BG93</f>
        <v>895.6365596</v>
      </c>
      <c r="CM93" s="52">
        <f t="shared" ref="CM93:CM102" si="228">BK93</f>
        <v>1046.97126</v>
      </c>
      <c r="CN93" s="52">
        <f t="shared" ref="CN93:CN102" si="229">BO93</f>
        <v>1216.687117</v>
      </c>
      <c r="CO93" s="52">
        <f t="shared" ref="CO93:CO102" si="230">BS93</f>
        <v>1406.89528</v>
      </c>
      <c r="CP93" s="52">
        <f t="shared" ref="CP93:CP102" si="231">BW93</f>
        <v>1620.748119</v>
      </c>
      <c r="CQ93" s="6" t="s">
        <v>35</v>
      </c>
      <c r="CW93" s="46"/>
      <c r="CX93" s="46">
        <f t="shared" ref="CX93:CY93" si="212">AH93-AG93</f>
        <v>42.272</v>
      </c>
      <c r="CY93" s="46">
        <f t="shared" si="212"/>
        <v>7.02</v>
      </c>
      <c r="DA93" s="46"/>
    </row>
    <row r="94" ht="14.25" customHeight="1">
      <c r="B94" s="53" t="str">
        <f>Inputs!B80</f>
        <v>Capital social</v>
      </c>
      <c r="D94" s="54">
        <v>41.861</v>
      </c>
      <c r="E94" s="54">
        <v>41.861</v>
      </c>
      <c r="F94" s="54">
        <v>41.861</v>
      </c>
      <c r="G94" s="54">
        <v>41.867</v>
      </c>
      <c r="H94" s="54">
        <f>Inputs!J80/1000</f>
        <v>41.867</v>
      </c>
      <c r="I94" s="54">
        <f>Inputs!K80/1000</f>
        <v>53.367</v>
      </c>
      <c r="J94" s="54">
        <f>Inputs!L80/1000</f>
        <v>53.367</v>
      </c>
      <c r="K94" s="54">
        <f>(Inputs!M80/1000)*-1</f>
        <v>53.367</v>
      </c>
      <c r="L94" s="54">
        <f>Inputs!N80/1000</f>
        <v>53.367</v>
      </c>
      <c r="M94" s="54">
        <f>Inputs!O80/1000</f>
        <v>53.367</v>
      </c>
      <c r="N94" s="54">
        <f>Inputs!P80/1000</f>
        <v>53.367</v>
      </c>
      <c r="O94" s="54">
        <f>Inputs!Q80/1000</f>
        <v>73.367</v>
      </c>
      <c r="P94" s="54">
        <f>Inputs!R80/1000</f>
        <v>230.879</v>
      </c>
      <c r="Q94" s="54">
        <f>Inputs!S80/1000</f>
        <v>230.774</v>
      </c>
      <c r="R94" s="54">
        <f>Inputs!T80/1000</f>
        <v>233.049</v>
      </c>
      <c r="S94" s="54">
        <f>Inputs!U80/1000</f>
        <v>233.146</v>
      </c>
      <c r="T94" s="54">
        <f>Inputs!V80/1000</f>
        <v>233.146</v>
      </c>
      <c r="U94" s="54">
        <f>Inputs!W80/1000</f>
        <v>233.451</v>
      </c>
      <c r="V94" s="54">
        <f>Inputs!X80/1000</f>
        <v>233.451</v>
      </c>
      <c r="W94" s="54">
        <f>Inputs!Y80/1000</f>
        <v>233.451</v>
      </c>
      <c r="X94" s="54">
        <f>Inputs!Z80/1000</f>
        <v>233.681</v>
      </c>
      <c r="Y94" s="54">
        <f>Inputs!AA80/1000</f>
        <v>233.681</v>
      </c>
      <c r="Z94" s="54">
        <f>Inputs!AB80/1000</f>
        <v>233.681</v>
      </c>
      <c r="AA94" s="54">
        <f>Inputs!AC80/1000</f>
        <v>233.681</v>
      </c>
      <c r="AB94" s="54">
        <f>Inputs!AD80/1000</f>
        <v>233.681</v>
      </c>
      <c r="AC94" s="54">
        <f>Inputs!AE80/1000</f>
        <v>233.681</v>
      </c>
      <c r="AD94" s="54">
        <f>Inputs!AF80/1000</f>
        <v>233.681</v>
      </c>
      <c r="AE94" s="54">
        <f>Inputs!AG80/1000</f>
        <v>233.681</v>
      </c>
      <c r="AF94" s="54">
        <f>Inputs!AH80/1000</f>
        <v>318.397</v>
      </c>
      <c r="AG94" s="54">
        <f>Inputs!AI80/1000</f>
        <v>318.378</v>
      </c>
      <c r="AH94" s="54">
        <f>Inputs!AJ80/1000</f>
        <v>318.378</v>
      </c>
      <c r="AI94" s="54">
        <f>Inputs!AK80/1000</f>
        <v>318.284</v>
      </c>
      <c r="AJ94" s="54">
        <f>Inputs!AL80/1000</f>
        <v>318.284</v>
      </c>
      <c r="AK94" s="55">
        <f t="shared" ref="AK94:BW94" si="213">AJ94+AK149</f>
        <v>318.284</v>
      </c>
      <c r="AL94" s="55">
        <f t="shared" si="213"/>
        <v>318.284</v>
      </c>
      <c r="AM94" s="55">
        <f t="shared" si="213"/>
        <v>318.284</v>
      </c>
      <c r="AN94" s="55">
        <f t="shared" si="213"/>
        <v>318.284</v>
      </c>
      <c r="AO94" s="55">
        <f t="shared" si="213"/>
        <v>318.284</v>
      </c>
      <c r="AP94" s="55">
        <f t="shared" si="213"/>
        <v>318.284</v>
      </c>
      <c r="AQ94" s="55">
        <f t="shared" si="213"/>
        <v>318.284</v>
      </c>
      <c r="AR94" s="55">
        <f t="shared" si="213"/>
        <v>318.284</v>
      </c>
      <c r="AS94" s="55">
        <f t="shared" si="213"/>
        <v>318.284</v>
      </c>
      <c r="AT94" s="55">
        <f t="shared" si="213"/>
        <v>318.284</v>
      </c>
      <c r="AU94" s="55">
        <f t="shared" si="213"/>
        <v>318.284</v>
      </c>
      <c r="AV94" s="55">
        <f t="shared" si="213"/>
        <v>318.284</v>
      </c>
      <c r="AW94" s="55">
        <f t="shared" si="213"/>
        <v>318.284</v>
      </c>
      <c r="AX94" s="55">
        <f t="shared" si="213"/>
        <v>318.284</v>
      </c>
      <c r="AY94" s="55">
        <f t="shared" si="213"/>
        <v>318.284</v>
      </c>
      <c r="AZ94" s="55">
        <f t="shared" si="213"/>
        <v>318.284</v>
      </c>
      <c r="BA94" s="55">
        <f t="shared" si="213"/>
        <v>318.284</v>
      </c>
      <c r="BB94" s="55">
        <f t="shared" si="213"/>
        <v>318.284</v>
      </c>
      <c r="BC94" s="55">
        <f t="shared" si="213"/>
        <v>318.284</v>
      </c>
      <c r="BD94" s="55">
        <f t="shared" si="213"/>
        <v>318.284</v>
      </c>
      <c r="BE94" s="55">
        <f t="shared" si="213"/>
        <v>318.284</v>
      </c>
      <c r="BF94" s="55">
        <f t="shared" si="213"/>
        <v>318.284</v>
      </c>
      <c r="BG94" s="55">
        <f t="shared" si="213"/>
        <v>318.284</v>
      </c>
      <c r="BH94" s="55">
        <f t="shared" si="213"/>
        <v>318.284</v>
      </c>
      <c r="BI94" s="55">
        <f t="shared" si="213"/>
        <v>318.284</v>
      </c>
      <c r="BJ94" s="55">
        <f t="shared" si="213"/>
        <v>318.284</v>
      </c>
      <c r="BK94" s="55">
        <f t="shared" si="213"/>
        <v>318.284</v>
      </c>
      <c r="BL94" s="55">
        <f t="shared" si="213"/>
        <v>318.284</v>
      </c>
      <c r="BM94" s="55">
        <f t="shared" si="213"/>
        <v>318.284</v>
      </c>
      <c r="BN94" s="55">
        <f t="shared" si="213"/>
        <v>318.284</v>
      </c>
      <c r="BO94" s="55">
        <f t="shared" si="213"/>
        <v>318.284</v>
      </c>
      <c r="BP94" s="55">
        <f t="shared" si="213"/>
        <v>318.284</v>
      </c>
      <c r="BQ94" s="55">
        <f t="shared" si="213"/>
        <v>318.284</v>
      </c>
      <c r="BR94" s="55">
        <f t="shared" si="213"/>
        <v>318.284</v>
      </c>
      <c r="BS94" s="55">
        <f t="shared" si="213"/>
        <v>318.284</v>
      </c>
      <c r="BT94" s="55">
        <f t="shared" si="213"/>
        <v>318.284</v>
      </c>
      <c r="BU94" s="55">
        <f t="shared" si="213"/>
        <v>318.284</v>
      </c>
      <c r="BV94" s="55">
        <f t="shared" si="213"/>
        <v>318.284</v>
      </c>
      <c r="BW94" s="55">
        <f t="shared" si="213"/>
        <v>318.284</v>
      </c>
      <c r="BX94" s="6" t="s">
        <v>35</v>
      </c>
      <c r="BY94" s="54">
        <f t="shared" si="214"/>
        <v>41.867</v>
      </c>
      <c r="BZ94" s="54">
        <f t="shared" si="215"/>
        <v>53.367</v>
      </c>
      <c r="CA94" s="54">
        <f t="shared" si="216"/>
        <v>73.367</v>
      </c>
      <c r="CB94" s="54">
        <f t="shared" si="217"/>
        <v>233.146</v>
      </c>
      <c r="CC94" s="54">
        <f t="shared" si="218"/>
        <v>233.451</v>
      </c>
      <c r="CD94" s="54">
        <f t="shared" si="219"/>
        <v>233.681</v>
      </c>
      <c r="CE94" s="54">
        <f t="shared" si="220"/>
        <v>233.681</v>
      </c>
      <c r="CF94" s="54">
        <f t="shared" si="221"/>
        <v>318.284</v>
      </c>
      <c r="CG94" s="54">
        <f t="shared" si="222"/>
        <v>318.284</v>
      </c>
      <c r="CH94" s="54">
        <f t="shared" si="223"/>
        <v>318.284</v>
      </c>
      <c r="CI94" s="54">
        <f t="shared" si="224"/>
        <v>318.284</v>
      </c>
      <c r="CJ94" s="54">
        <f t="shared" si="225"/>
        <v>318.284</v>
      </c>
      <c r="CK94" s="54">
        <f t="shared" si="226"/>
        <v>318.284</v>
      </c>
      <c r="CL94" s="54">
        <f t="shared" si="227"/>
        <v>318.284</v>
      </c>
      <c r="CM94" s="54">
        <f t="shared" si="228"/>
        <v>318.284</v>
      </c>
      <c r="CN94" s="54">
        <f t="shared" si="229"/>
        <v>318.284</v>
      </c>
      <c r="CO94" s="54">
        <f t="shared" si="230"/>
        <v>318.284</v>
      </c>
      <c r="CP94" s="54">
        <f t="shared" si="231"/>
        <v>318.284</v>
      </c>
      <c r="CQ94" s="6" t="s">
        <v>35</v>
      </c>
      <c r="CW94" s="46"/>
      <c r="CX94" s="46">
        <f t="shared" ref="CX94:CY94" si="232">AH94-AG94</f>
        <v>0</v>
      </c>
      <c r="CY94" s="46">
        <f t="shared" si="232"/>
        <v>-0.094</v>
      </c>
      <c r="DA94" s="46"/>
    </row>
    <row r="95" ht="14.25" customHeight="1">
      <c r="B95" s="53" t="str">
        <f>Inputs!B81</f>
        <v>Reserva de capital</v>
      </c>
      <c r="D95" s="54">
        <v>1.734</v>
      </c>
      <c r="E95" s="54">
        <v>1.914</v>
      </c>
      <c r="F95" s="54">
        <v>2.096</v>
      </c>
      <c r="G95" s="54">
        <v>2.298</v>
      </c>
      <c r="H95" s="54">
        <f>Inputs!J81/1000</f>
        <v>2.298</v>
      </c>
      <c r="I95" s="54">
        <f>Inputs!K81/1000</f>
        <v>2.298</v>
      </c>
      <c r="J95" s="54">
        <f>Inputs!L81/1000</f>
        <v>2.298</v>
      </c>
      <c r="K95" s="54">
        <f>(Inputs!M81/1000)*-1</f>
        <v>2.298</v>
      </c>
      <c r="L95" s="54">
        <f>Inputs!N81/1000</f>
        <v>2.298</v>
      </c>
      <c r="M95" s="54">
        <f>Inputs!O81/1000</f>
        <v>2.298</v>
      </c>
      <c r="N95" s="54">
        <f>Inputs!P81/1000</f>
        <v>2.298</v>
      </c>
      <c r="O95" s="54">
        <f>Inputs!Q81/1000</f>
        <v>2.298</v>
      </c>
      <c r="P95" s="54">
        <f>Inputs!R81/1000</f>
        <v>2.298</v>
      </c>
      <c r="Q95" s="54">
        <f>Inputs!S81/1000</f>
        <v>2.298</v>
      </c>
      <c r="R95" s="54">
        <f>Inputs!T81/1000</f>
        <v>8.104</v>
      </c>
      <c r="S95" s="54">
        <f>Inputs!U81/1000</f>
        <v>8.104</v>
      </c>
      <c r="T95" s="54">
        <f>Inputs!V81/1000</f>
        <v>8.104</v>
      </c>
      <c r="U95" s="54">
        <f>Inputs!W81/1000</f>
        <v>5.518</v>
      </c>
      <c r="V95" s="54">
        <f>Inputs!X81/1000</f>
        <v>3.728</v>
      </c>
      <c r="W95" s="54">
        <f>Inputs!Y81/1000</f>
        <v>8.104</v>
      </c>
      <c r="X95" s="54">
        <f>Inputs!Z81/1000</f>
        <v>8.104</v>
      </c>
      <c r="Y95" s="54">
        <f>Inputs!AA81/1000</f>
        <v>8.104</v>
      </c>
      <c r="Z95" s="54">
        <f>Inputs!AB81/1000</f>
        <v>8.104</v>
      </c>
      <c r="AA95" s="54">
        <f>Inputs!AC81/1000</f>
        <v>8.104</v>
      </c>
      <c r="AB95" s="54">
        <f>Inputs!AD81/1000</f>
        <v>8.104</v>
      </c>
      <c r="AC95" s="54">
        <f>Inputs!AE81/1000</f>
        <v>8.104</v>
      </c>
      <c r="AD95" s="54">
        <f>Inputs!AF81/1000</f>
        <v>8.104</v>
      </c>
      <c r="AE95" s="54">
        <f>Inputs!AG81/1000</f>
        <v>8.104</v>
      </c>
      <c r="AF95" s="54">
        <f>Inputs!AH81/1000</f>
        <v>8.10439866</v>
      </c>
      <c r="AG95" s="54">
        <f>Inputs!AI81/1000</f>
        <v>8.104</v>
      </c>
      <c r="AH95" s="54">
        <f>Inputs!AJ81/1000</f>
        <v>18.356</v>
      </c>
      <c r="AI95" s="54">
        <f>Inputs!AK81/1000</f>
        <v>19.79</v>
      </c>
      <c r="AJ95" s="54">
        <f>Inputs!AL81/1000</f>
        <v>21.224</v>
      </c>
      <c r="AK95" s="55">
        <f t="shared" ref="AK95:BW95" si="233">AJ95</f>
        <v>21.224</v>
      </c>
      <c r="AL95" s="55">
        <f t="shared" si="233"/>
        <v>21.224</v>
      </c>
      <c r="AM95" s="55">
        <f t="shared" si="233"/>
        <v>21.224</v>
      </c>
      <c r="AN95" s="55">
        <f t="shared" si="233"/>
        <v>21.224</v>
      </c>
      <c r="AO95" s="55">
        <f t="shared" si="233"/>
        <v>21.224</v>
      </c>
      <c r="AP95" s="55">
        <f t="shared" si="233"/>
        <v>21.224</v>
      </c>
      <c r="AQ95" s="55">
        <f t="shared" si="233"/>
        <v>21.224</v>
      </c>
      <c r="AR95" s="55">
        <f t="shared" si="233"/>
        <v>21.224</v>
      </c>
      <c r="AS95" s="55">
        <f t="shared" si="233"/>
        <v>21.224</v>
      </c>
      <c r="AT95" s="55">
        <f t="shared" si="233"/>
        <v>21.224</v>
      </c>
      <c r="AU95" s="55">
        <f t="shared" si="233"/>
        <v>21.224</v>
      </c>
      <c r="AV95" s="55">
        <f t="shared" si="233"/>
        <v>21.224</v>
      </c>
      <c r="AW95" s="55">
        <f t="shared" si="233"/>
        <v>21.224</v>
      </c>
      <c r="AX95" s="55">
        <f t="shared" si="233"/>
        <v>21.224</v>
      </c>
      <c r="AY95" s="55">
        <f t="shared" si="233"/>
        <v>21.224</v>
      </c>
      <c r="AZ95" s="55">
        <f t="shared" si="233"/>
        <v>21.224</v>
      </c>
      <c r="BA95" s="55">
        <f t="shared" si="233"/>
        <v>21.224</v>
      </c>
      <c r="BB95" s="55">
        <f t="shared" si="233"/>
        <v>21.224</v>
      </c>
      <c r="BC95" s="55">
        <f t="shared" si="233"/>
        <v>21.224</v>
      </c>
      <c r="BD95" s="55">
        <f t="shared" si="233"/>
        <v>21.224</v>
      </c>
      <c r="BE95" s="55">
        <f t="shared" si="233"/>
        <v>21.224</v>
      </c>
      <c r="BF95" s="55">
        <f t="shared" si="233"/>
        <v>21.224</v>
      </c>
      <c r="BG95" s="55">
        <f t="shared" si="233"/>
        <v>21.224</v>
      </c>
      <c r="BH95" s="55">
        <f t="shared" si="233"/>
        <v>21.224</v>
      </c>
      <c r="BI95" s="55">
        <f t="shared" si="233"/>
        <v>21.224</v>
      </c>
      <c r="BJ95" s="55">
        <f t="shared" si="233"/>
        <v>21.224</v>
      </c>
      <c r="BK95" s="55">
        <f t="shared" si="233"/>
        <v>21.224</v>
      </c>
      <c r="BL95" s="55">
        <f t="shared" si="233"/>
        <v>21.224</v>
      </c>
      <c r="BM95" s="55">
        <f t="shared" si="233"/>
        <v>21.224</v>
      </c>
      <c r="BN95" s="55">
        <f t="shared" si="233"/>
        <v>21.224</v>
      </c>
      <c r="BO95" s="55">
        <f t="shared" si="233"/>
        <v>21.224</v>
      </c>
      <c r="BP95" s="55">
        <f t="shared" si="233"/>
        <v>21.224</v>
      </c>
      <c r="BQ95" s="55">
        <f t="shared" si="233"/>
        <v>21.224</v>
      </c>
      <c r="BR95" s="55">
        <f t="shared" si="233"/>
        <v>21.224</v>
      </c>
      <c r="BS95" s="55">
        <f t="shared" si="233"/>
        <v>21.224</v>
      </c>
      <c r="BT95" s="55">
        <f t="shared" si="233"/>
        <v>21.224</v>
      </c>
      <c r="BU95" s="55">
        <f t="shared" si="233"/>
        <v>21.224</v>
      </c>
      <c r="BV95" s="55">
        <f t="shared" si="233"/>
        <v>21.224</v>
      </c>
      <c r="BW95" s="55">
        <f t="shared" si="233"/>
        <v>21.224</v>
      </c>
      <c r="BX95" s="6" t="s">
        <v>35</v>
      </c>
      <c r="BY95" s="54">
        <f t="shared" si="214"/>
        <v>2.298</v>
      </c>
      <c r="BZ95" s="54">
        <f t="shared" si="215"/>
        <v>2.298</v>
      </c>
      <c r="CA95" s="54">
        <f t="shared" si="216"/>
        <v>2.298</v>
      </c>
      <c r="CB95" s="54">
        <f t="shared" si="217"/>
        <v>8.104</v>
      </c>
      <c r="CC95" s="54">
        <f t="shared" si="218"/>
        <v>8.104</v>
      </c>
      <c r="CD95" s="54">
        <f t="shared" si="219"/>
        <v>8.104</v>
      </c>
      <c r="CE95" s="54">
        <f t="shared" si="220"/>
        <v>8.104</v>
      </c>
      <c r="CF95" s="54">
        <f t="shared" si="221"/>
        <v>19.79</v>
      </c>
      <c r="CG95" s="54">
        <f t="shared" si="222"/>
        <v>21.224</v>
      </c>
      <c r="CH95" s="54">
        <f t="shared" si="223"/>
        <v>21.224</v>
      </c>
      <c r="CI95" s="54">
        <f t="shared" si="224"/>
        <v>21.224</v>
      </c>
      <c r="CJ95" s="54">
        <f t="shared" si="225"/>
        <v>21.224</v>
      </c>
      <c r="CK95" s="54">
        <f t="shared" si="226"/>
        <v>21.224</v>
      </c>
      <c r="CL95" s="54">
        <f t="shared" si="227"/>
        <v>21.224</v>
      </c>
      <c r="CM95" s="54">
        <f t="shared" si="228"/>
        <v>21.224</v>
      </c>
      <c r="CN95" s="54">
        <f t="shared" si="229"/>
        <v>21.224</v>
      </c>
      <c r="CO95" s="54">
        <f t="shared" si="230"/>
        <v>21.224</v>
      </c>
      <c r="CP95" s="54">
        <f t="shared" si="231"/>
        <v>21.224</v>
      </c>
      <c r="CQ95" s="6" t="s">
        <v>35</v>
      </c>
      <c r="CW95" s="46"/>
      <c r="CX95" s="46">
        <f t="shared" ref="CX95:CY95" si="234">AH95-AG95</f>
        <v>10.252</v>
      </c>
      <c r="CY95" s="46">
        <f t="shared" si="234"/>
        <v>1.434</v>
      </c>
      <c r="DA95" s="46"/>
    </row>
    <row r="96" ht="14.25" customHeight="1">
      <c r="B96" s="53" t="str">
        <f>Inputs!B82</f>
        <v>(-) Ações em tesouraria</v>
      </c>
      <c r="D96" s="54"/>
      <c r="E96" s="54"/>
      <c r="F96" s="54"/>
      <c r="G96" s="54"/>
      <c r="H96" s="54">
        <f>Inputs!J82/1000</f>
        <v>0</v>
      </c>
      <c r="I96" s="54">
        <f>Inputs!K82/1000</f>
        <v>0</v>
      </c>
      <c r="J96" s="54">
        <f>Inputs!L82/1000</f>
        <v>0</v>
      </c>
      <c r="K96" s="54">
        <f>(Inputs!M82/1000)*-1</f>
        <v>0</v>
      </c>
      <c r="L96" s="54">
        <f>Inputs!N82/1000</f>
        <v>0</v>
      </c>
      <c r="M96" s="54">
        <f>Inputs!O82/1000</f>
        <v>0</v>
      </c>
      <c r="N96" s="54">
        <f>Inputs!P82/1000</f>
        <v>0</v>
      </c>
      <c r="O96" s="54">
        <f>Inputs!Q82/1000</f>
        <v>0</v>
      </c>
      <c r="P96" s="54">
        <f>Inputs!R82/1000</f>
        <v>0</v>
      </c>
      <c r="Q96" s="54">
        <f>Inputs!S82/1000</f>
        <v>0</v>
      </c>
      <c r="R96" s="54">
        <f>Inputs!T82/1000</f>
        <v>0</v>
      </c>
      <c r="S96" s="54">
        <f>Inputs!U82/1000</f>
        <v>0</v>
      </c>
      <c r="T96" s="54">
        <f>Inputs!V82/1000</f>
        <v>0</v>
      </c>
      <c r="U96" s="54">
        <f>Inputs!W82/1000</f>
        <v>0</v>
      </c>
      <c r="V96" s="54">
        <f>Inputs!X82/1000</f>
        <v>0</v>
      </c>
      <c r="W96" s="54">
        <f>Inputs!Y82/1000</f>
        <v>-6.581</v>
      </c>
      <c r="X96" s="54">
        <f>Inputs!Z82/1000</f>
        <v>-6.581</v>
      </c>
      <c r="Y96" s="54">
        <f>Inputs!AA82/1000</f>
        <v>-9.303</v>
      </c>
      <c r="Z96" s="54">
        <f>Inputs!AB82/1000</f>
        <v>-11.978</v>
      </c>
      <c r="AA96" s="54">
        <f>Inputs!AC82/1000</f>
        <v>-11.978</v>
      </c>
      <c r="AB96" s="54">
        <f>Inputs!AD82/1000</f>
        <v>-11.978</v>
      </c>
      <c r="AC96" s="54">
        <f>Inputs!AE82/1000</f>
        <v>-11.978</v>
      </c>
      <c r="AD96" s="54">
        <f>Inputs!AF82/1000</f>
        <v>-11.978</v>
      </c>
      <c r="AE96" s="54">
        <f>Inputs!AG82/1000</f>
        <v>-11.978</v>
      </c>
      <c r="AF96" s="54">
        <f>Inputs!AH82/1000</f>
        <v>-11.978</v>
      </c>
      <c r="AG96" s="62">
        <f>Inputs!AI82/1000</f>
        <v>-11.978</v>
      </c>
      <c r="AH96" s="62">
        <f>Inputs!AJ82/1000</f>
        <v>0</v>
      </c>
      <c r="AI96" s="62">
        <f>Inputs!AK82/1000</f>
        <v>0</v>
      </c>
      <c r="AJ96" s="62">
        <f>Inputs!AL82/1000</f>
        <v>0</v>
      </c>
      <c r="AK96" s="55">
        <f t="shared" ref="AK96:BW96" si="235">AJ96</f>
        <v>0</v>
      </c>
      <c r="AL96" s="55">
        <f t="shared" si="235"/>
        <v>0</v>
      </c>
      <c r="AM96" s="55">
        <f t="shared" si="235"/>
        <v>0</v>
      </c>
      <c r="AN96" s="55">
        <f t="shared" si="235"/>
        <v>0</v>
      </c>
      <c r="AO96" s="55">
        <f t="shared" si="235"/>
        <v>0</v>
      </c>
      <c r="AP96" s="55">
        <f t="shared" si="235"/>
        <v>0</v>
      </c>
      <c r="AQ96" s="55">
        <f t="shared" si="235"/>
        <v>0</v>
      </c>
      <c r="AR96" s="55">
        <f t="shared" si="235"/>
        <v>0</v>
      </c>
      <c r="AS96" s="55">
        <f t="shared" si="235"/>
        <v>0</v>
      </c>
      <c r="AT96" s="55">
        <f t="shared" si="235"/>
        <v>0</v>
      </c>
      <c r="AU96" s="55">
        <f t="shared" si="235"/>
        <v>0</v>
      </c>
      <c r="AV96" s="55">
        <f t="shared" si="235"/>
        <v>0</v>
      </c>
      <c r="AW96" s="55">
        <f t="shared" si="235"/>
        <v>0</v>
      </c>
      <c r="AX96" s="55">
        <f t="shared" si="235"/>
        <v>0</v>
      </c>
      <c r="AY96" s="55">
        <f t="shared" si="235"/>
        <v>0</v>
      </c>
      <c r="AZ96" s="55">
        <f t="shared" si="235"/>
        <v>0</v>
      </c>
      <c r="BA96" s="55">
        <f t="shared" si="235"/>
        <v>0</v>
      </c>
      <c r="BB96" s="55">
        <f t="shared" si="235"/>
        <v>0</v>
      </c>
      <c r="BC96" s="55">
        <f t="shared" si="235"/>
        <v>0</v>
      </c>
      <c r="BD96" s="55">
        <f t="shared" si="235"/>
        <v>0</v>
      </c>
      <c r="BE96" s="55">
        <f t="shared" si="235"/>
        <v>0</v>
      </c>
      <c r="BF96" s="55">
        <f t="shared" si="235"/>
        <v>0</v>
      </c>
      <c r="BG96" s="55">
        <f t="shared" si="235"/>
        <v>0</v>
      </c>
      <c r="BH96" s="55">
        <f t="shared" si="235"/>
        <v>0</v>
      </c>
      <c r="BI96" s="55">
        <f t="shared" si="235"/>
        <v>0</v>
      </c>
      <c r="BJ96" s="55">
        <f t="shared" si="235"/>
        <v>0</v>
      </c>
      <c r="BK96" s="55">
        <f t="shared" si="235"/>
        <v>0</v>
      </c>
      <c r="BL96" s="55">
        <f t="shared" si="235"/>
        <v>0</v>
      </c>
      <c r="BM96" s="55">
        <f t="shared" si="235"/>
        <v>0</v>
      </c>
      <c r="BN96" s="55">
        <f t="shared" si="235"/>
        <v>0</v>
      </c>
      <c r="BO96" s="55">
        <f t="shared" si="235"/>
        <v>0</v>
      </c>
      <c r="BP96" s="55">
        <f t="shared" si="235"/>
        <v>0</v>
      </c>
      <c r="BQ96" s="55">
        <f t="shared" si="235"/>
        <v>0</v>
      </c>
      <c r="BR96" s="55">
        <f t="shared" si="235"/>
        <v>0</v>
      </c>
      <c r="BS96" s="55">
        <f t="shared" si="235"/>
        <v>0</v>
      </c>
      <c r="BT96" s="55">
        <f t="shared" si="235"/>
        <v>0</v>
      </c>
      <c r="BU96" s="55">
        <f t="shared" si="235"/>
        <v>0</v>
      </c>
      <c r="BV96" s="55">
        <f t="shared" si="235"/>
        <v>0</v>
      </c>
      <c r="BW96" s="55">
        <f t="shared" si="235"/>
        <v>0</v>
      </c>
      <c r="BX96" s="6" t="s">
        <v>35</v>
      </c>
      <c r="BY96" s="54" t="str">
        <f t="shared" si="214"/>
        <v/>
      </c>
      <c r="BZ96" s="54">
        <f t="shared" si="215"/>
        <v>0</v>
      </c>
      <c r="CA96" s="54">
        <f t="shared" si="216"/>
        <v>0</v>
      </c>
      <c r="CB96" s="54">
        <f t="shared" si="217"/>
        <v>0</v>
      </c>
      <c r="CC96" s="54">
        <f t="shared" si="218"/>
        <v>-6.581</v>
      </c>
      <c r="CD96" s="54">
        <f t="shared" si="219"/>
        <v>-11.978</v>
      </c>
      <c r="CE96" s="54">
        <f t="shared" si="220"/>
        <v>-11.978</v>
      </c>
      <c r="CF96" s="54">
        <f t="shared" si="221"/>
        <v>0</v>
      </c>
      <c r="CG96" s="54">
        <f t="shared" si="222"/>
        <v>0</v>
      </c>
      <c r="CH96" s="54">
        <f t="shared" si="223"/>
        <v>0</v>
      </c>
      <c r="CI96" s="54">
        <f t="shared" si="224"/>
        <v>0</v>
      </c>
      <c r="CJ96" s="54">
        <f t="shared" si="225"/>
        <v>0</v>
      </c>
      <c r="CK96" s="54">
        <f t="shared" si="226"/>
        <v>0</v>
      </c>
      <c r="CL96" s="54">
        <f t="shared" si="227"/>
        <v>0</v>
      </c>
      <c r="CM96" s="54">
        <f t="shared" si="228"/>
        <v>0</v>
      </c>
      <c r="CN96" s="54">
        <f t="shared" si="229"/>
        <v>0</v>
      </c>
      <c r="CO96" s="54">
        <f t="shared" si="230"/>
        <v>0</v>
      </c>
      <c r="CP96" s="54">
        <f t="shared" si="231"/>
        <v>0</v>
      </c>
      <c r="CQ96" s="6" t="s">
        <v>35</v>
      </c>
      <c r="CW96" s="46"/>
      <c r="CX96" s="46">
        <f t="shared" ref="CX96:CY96" si="236">AH96-AG96</f>
        <v>11.978</v>
      </c>
      <c r="CY96" s="46">
        <f t="shared" si="236"/>
        <v>0</v>
      </c>
      <c r="DA96" s="46"/>
    </row>
    <row r="97" ht="14.25" customHeight="1">
      <c r="B97" s="53" t="str">
        <f>Inputs!B83</f>
        <v>Ajuste avaliação patrimonial</v>
      </c>
      <c r="D97" s="54"/>
      <c r="E97" s="54"/>
      <c r="F97" s="54"/>
      <c r="G97" s="54"/>
      <c r="H97" s="54">
        <f>Inputs!J83/1000</f>
        <v>0</v>
      </c>
      <c r="I97" s="54">
        <f>Inputs!K83/1000</f>
        <v>0</v>
      </c>
      <c r="J97" s="54">
        <f>Inputs!L83/1000</f>
        <v>0</v>
      </c>
      <c r="K97" s="54">
        <f>(Inputs!M83/1000)*-1</f>
        <v>0</v>
      </c>
      <c r="L97" s="54">
        <f>Inputs!N83/1000</f>
        <v>0</v>
      </c>
      <c r="M97" s="54">
        <f>Inputs!O83/1000</f>
        <v>0</v>
      </c>
      <c r="N97" s="54">
        <f>Inputs!P83/1000</f>
        <v>0</v>
      </c>
      <c r="O97" s="54">
        <f>Inputs!Q83/1000</f>
        <v>0</v>
      </c>
      <c r="P97" s="54">
        <f>Inputs!R83/1000</f>
        <v>0</v>
      </c>
      <c r="Q97" s="54">
        <f>Inputs!S83/1000</f>
        <v>0</v>
      </c>
      <c r="R97" s="54">
        <f>Inputs!T83/1000</f>
        <v>-11.278</v>
      </c>
      <c r="S97" s="54">
        <f>Inputs!U83/1000</f>
        <v>-12.09</v>
      </c>
      <c r="T97" s="54">
        <f>Inputs!V83/1000</f>
        <v>-12.09</v>
      </c>
      <c r="U97" s="54">
        <f>Inputs!W83/1000</f>
        <v>-12.09</v>
      </c>
      <c r="V97" s="54">
        <f>Inputs!X83/1000</f>
        <v>-12.09</v>
      </c>
      <c r="W97" s="54">
        <f>Inputs!Y83/1000</f>
        <v>-13.346</v>
      </c>
      <c r="X97" s="54">
        <f>Inputs!Z83/1000</f>
        <v>-13.346</v>
      </c>
      <c r="Y97" s="54">
        <f>Inputs!AA83/1000</f>
        <v>-13.346</v>
      </c>
      <c r="Z97" s="54">
        <f>Inputs!AB83/1000</f>
        <v>-13.346</v>
      </c>
      <c r="AA97" s="54">
        <f>Inputs!AC83/1000</f>
        <v>-32.314</v>
      </c>
      <c r="AB97" s="54">
        <f>Inputs!AD83/1000</f>
        <v>-33.621</v>
      </c>
      <c r="AC97" s="54">
        <f>Inputs!AE83/1000</f>
        <v>-33.621</v>
      </c>
      <c r="AD97" s="54">
        <f>Inputs!AF83/1000</f>
        <v>-33.621</v>
      </c>
      <c r="AE97" s="54">
        <f>Inputs!AG83/1000</f>
        <v>-33.621</v>
      </c>
      <c r="AF97" s="54">
        <f>Inputs!AH83/1000</f>
        <v>-33.621</v>
      </c>
      <c r="AG97" s="54">
        <f>Inputs!AI83/1000</f>
        <v>-33.621</v>
      </c>
      <c r="AH97" s="54">
        <f>Inputs!AJ83/1000</f>
        <v>-33.621</v>
      </c>
      <c r="AI97" s="54">
        <f>Inputs!AK83/1000</f>
        <v>-33.621</v>
      </c>
      <c r="AJ97" s="54">
        <f>Inputs!AL83/1000</f>
        <v>-33.621</v>
      </c>
      <c r="AK97" s="55">
        <f t="shared" ref="AK97:BW97" si="237">AJ97</f>
        <v>-33.621</v>
      </c>
      <c r="AL97" s="55">
        <f t="shared" si="237"/>
        <v>-33.621</v>
      </c>
      <c r="AM97" s="55">
        <f t="shared" si="237"/>
        <v>-33.621</v>
      </c>
      <c r="AN97" s="55">
        <f t="shared" si="237"/>
        <v>-33.621</v>
      </c>
      <c r="AO97" s="55">
        <f t="shared" si="237"/>
        <v>-33.621</v>
      </c>
      <c r="AP97" s="55">
        <f t="shared" si="237"/>
        <v>-33.621</v>
      </c>
      <c r="AQ97" s="55">
        <f t="shared" si="237"/>
        <v>-33.621</v>
      </c>
      <c r="AR97" s="55">
        <f t="shared" si="237"/>
        <v>-33.621</v>
      </c>
      <c r="AS97" s="55">
        <f t="shared" si="237"/>
        <v>-33.621</v>
      </c>
      <c r="AT97" s="55">
        <f t="shared" si="237"/>
        <v>-33.621</v>
      </c>
      <c r="AU97" s="55">
        <f t="shared" si="237"/>
        <v>-33.621</v>
      </c>
      <c r="AV97" s="55">
        <f t="shared" si="237"/>
        <v>-33.621</v>
      </c>
      <c r="AW97" s="55">
        <f t="shared" si="237"/>
        <v>-33.621</v>
      </c>
      <c r="AX97" s="55">
        <f t="shared" si="237"/>
        <v>-33.621</v>
      </c>
      <c r="AY97" s="55">
        <f t="shared" si="237"/>
        <v>-33.621</v>
      </c>
      <c r="AZ97" s="55">
        <f t="shared" si="237"/>
        <v>-33.621</v>
      </c>
      <c r="BA97" s="55">
        <f t="shared" si="237"/>
        <v>-33.621</v>
      </c>
      <c r="BB97" s="55">
        <f t="shared" si="237"/>
        <v>-33.621</v>
      </c>
      <c r="BC97" s="55">
        <f t="shared" si="237"/>
        <v>-33.621</v>
      </c>
      <c r="BD97" s="55">
        <f t="shared" si="237"/>
        <v>-33.621</v>
      </c>
      <c r="BE97" s="55">
        <f t="shared" si="237"/>
        <v>-33.621</v>
      </c>
      <c r="BF97" s="55">
        <f t="shared" si="237"/>
        <v>-33.621</v>
      </c>
      <c r="BG97" s="55">
        <f t="shared" si="237"/>
        <v>-33.621</v>
      </c>
      <c r="BH97" s="55">
        <f t="shared" si="237"/>
        <v>-33.621</v>
      </c>
      <c r="BI97" s="55">
        <f t="shared" si="237"/>
        <v>-33.621</v>
      </c>
      <c r="BJ97" s="55">
        <f t="shared" si="237"/>
        <v>-33.621</v>
      </c>
      <c r="BK97" s="55">
        <f t="shared" si="237"/>
        <v>-33.621</v>
      </c>
      <c r="BL97" s="55">
        <f t="shared" si="237"/>
        <v>-33.621</v>
      </c>
      <c r="BM97" s="55">
        <f t="shared" si="237"/>
        <v>-33.621</v>
      </c>
      <c r="BN97" s="55">
        <f t="shared" si="237"/>
        <v>-33.621</v>
      </c>
      <c r="BO97" s="55">
        <f t="shared" si="237"/>
        <v>-33.621</v>
      </c>
      <c r="BP97" s="55">
        <f t="shared" si="237"/>
        <v>-33.621</v>
      </c>
      <c r="BQ97" s="55">
        <f t="shared" si="237"/>
        <v>-33.621</v>
      </c>
      <c r="BR97" s="55">
        <f t="shared" si="237"/>
        <v>-33.621</v>
      </c>
      <c r="BS97" s="55">
        <f t="shared" si="237"/>
        <v>-33.621</v>
      </c>
      <c r="BT97" s="55">
        <f t="shared" si="237"/>
        <v>-33.621</v>
      </c>
      <c r="BU97" s="55">
        <f t="shared" si="237"/>
        <v>-33.621</v>
      </c>
      <c r="BV97" s="55">
        <f t="shared" si="237"/>
        <v>-33.621</v>
      </c>
      <c r="BW97" s="55">
        <f t="shared" si="237"/>
        <v>-33.621</v>
      </c>
      <c r="BX97" s="6" t="s">
        <v>35</v>
      </c>
      <c r="BY97" s="54" t="str">
        <f t="shared" si="214"/>
        <v/>
      </c>
      <c r="BZ97" s="54">
        <f t="shared" si="215"/>
        <v>0</v>
      </c>
      <c r="CA97" s="54">
        <f t="shared" si="216"/>
        <v>0</v>
      </c>
      <c r="CB97" s="54">
        <f t="shared" si="217"/>
        <v>-12.09</v>
      </c>
      <c r="CC97" s="54">
        <f t="shared" si="218"/>
        <v>-13.346</v>
      </c>
      <c r="CD97" s="54">
        <f t="shared" si="219"/>
        <v>-32.314</v>
      </c>
      <c r="CE97" s="54">
        <f t="shared" si="220"/>
        <v>-33.621</v>
      </c>
      <c r="CF97" s="54">
        <f t="shared" si="221"/>
        <v>-33.621</v>
      </c>
      <c r="CG97" s="54">
        <f t="shared" si="222"/>
        <v>-33.621</v>
      </c>
      <c r="CH97" s="54">
        <f t="shared" si="223"/>
        <v>-33.621</v>
      </c>
      <c r="CI97" s="54">
        <f t="shared" si="224"/>
        <v>-33.621</v>
      </c>
      <c r="CJ97" s="54">
        <f t="shared" si="225"/>
        <v>-33.621</v>
      </c>
      <c r="CK97" s="54">
        <f t="shared" si="226"/>
        <v>-33.621</v>
      </c>
      <c r="CL97" s="54">
        <f t="shared" si="227"/>
        <v>-33.621</v>
      </c>
      <c r="CM97" s="54">
        <f t="shared" si="228"/>
        <v>-33.621</v>
      </c>
      <c r="CN97" s="54">
        <f t="shared" si="229"/>
        <v>-33.621</v>
      </c>
      <c r="CO97" s="54">
        <f t="shared" si="230"/>
        <v>-33.621</v>
      </c>
      <c r="CP97" s="54">
        <f t="shared" si="231"/>
        <v>-33.621</v>
      </c>
      <c r="CQ97" s="6" t="s">
        <v>35</v>
      </c>
      <c r="CW97" s="46"/>
      <c r="CX97" s="46">
        <f t="shared" ref="CX97:CY97" si="238">AH97-AG97</f>
        <v>0</v>
      </c>
      <c r="CY97" s="46">
        <f t="shared" si="238"/>
        <v>0</v>
      </c>
      <c r="DA97" s="46"/>
    </row>
    <row r="98" ht="14.25" customHeight="1">
      <c r="B98" s="53" t="str">
        <f>Inputs!B84</f>
        <v>Reservas de lucros</v>
      </c>
      <c r="D98" s="54"/>
      <c r="E98" s="54"/>
      <c r="F98" s="54"/>
      <c r="G98" s="54"/>
      <c r="H98" s="54">
        <f>Inputs!J84/1000</f>
        <v>2.453</v>
      </c>
      <c r="I98" s="54">
        <f>Inputs!K84/1000</f>
        <v>2.453</v>
      </c>
      <c r="J98" s="54">
        <f>Inputs!L84/1000</f>
        <v>2.453</v>
      </c>
      <c r="K98" s="54">
        <f>(Inputs!M84/1000)*-1</f>
        <v>4.772</v>
      </c>
      <c r="L98" s="54">
        <f>Inputs!N84/1000</f>
        <v>4.772</v>
      </c>
      <c r="M98" s="54">
        <f>Inputs!O84/1000</f>
        <v>4.772</v>
      </c>
      <c r="N98" s="54">
        <f>Inputs!P84/1000</f>
        <v>4.772</v>
      </c>
      <c r="O98" s="54">
        <f>Inputs!Q84/1000</f>
        <v>0</v>
      </c>
      <c r="P98" s="54">
        <f>Inputs!R84/1000</f>
        <v>0</v>
      </c>
      <c r="Q98" s="54">
        <f>Inputs!S84/1000</f>
        <v>0</v>
      </c>
      <c r="R98" s="54">
        <f>Inputs!T84/1000</f>
        <v>0</v>
      </c>
      <c r="S98" s="54">
        <f>Inputs!U84/1000</f>
        <v>0</v>
      </c>
      <c r="T98" s="54">
        <f>Inputs!V84/1000</f>
        <v>0</v>
      </c>
      <c r="U98" s="54">
        <f>Inputs!W84/1000</f>
        <v>0</v>
      </c>
      <c r="V98" s="54">
        <f>Inputs!X84/1000</f>
        <v>0</v>
      </c>
      <c r="W98" s="54">
        <f>Inputs!Y84/1000</f>
        <v>7.45180562</v>
      </c>
      <c r="X98" s="54">
        <f>Inputs!Z84/1000</f>
        <v>7.452</v>
      </c>
      <c r="Y98" s="54">
        <f>Inputs!AA84/1000</f>
        <v>7.452</v>
      </c>
      <c r="Z98" s="54">
        <f>Inputs!AB84/1000</f>
        <v>7.452</v>
      </c>
      <c r="AA98" s="54">
        <f>Inputs!AC84/1000</f>
        <v>18.102</v>
      </c>
      <c r="AB98" s="54">
        <f>Inputs!AD84/1000</f>
        <v>18.102</v>
      </c>
      <c r="AC98" s="54">
        <f>Inputs!AE84/1000</f>
        <v>18.10220199</v>
      </c>
      <c r="AD98" s="54">
        <f>Inputs!AF84/1000</f>
        <v>18.102</v>
      </c>
      <c r="AE98" s="54">
        <f>Inputs!AG84/1000</f>
        <v>28.549</v>
      </c>
      <c r="AF98" s="54">
        <f>Inputs!AH84/1000</f>
        <v>28.549</v>
      </c>
      <c r="AG98" s="54">
        <f>Inputs!AI84/1000</f>
        <v>28.549</v>
      </c>
      <c r="AH98" s="54">
        <f>Inputs!AJ84/1000</f>
        <v>28.549</v>
      </c>
      <c r="AI98" s="54">
        <f>Inputs!AK84/1000</f>
        <v>36.289</v>
      </c>
      <c r="AJ98" s="54">
        <f>Inputs!AL84/1000</f>
        <v>36.289</v>
      </c>
      <c r="AK98" s="55">
        <f t="shared" ref="AK98:BW98" si="239">AJ98</f>
        <v>36.289</v>
      </c>
      <c r="AL98" s="55">
        <f t="shared" si="239"/>
        <v>36.289</v>
      </c>
      <c r="AM98" s="55">
        <f t="shared" si="239"/>
        <v>36.289</v>
      </c>
      <c r="AN98" s="55">
        <f t="shared" si="239"/>
        <v>36.289</v>
      </c>
      <c r="AO98" s="55">
        <f t="shared" si="239"/>
        <v>36.289</v>
      </c>
      <c r="AP98" s="55">
        <f t="shared" si="239"/>
        <v>36.289</v>
      </c>
      <c r="AQ98" s="55">
        <f t="shared" si="239"/>
        <v>36.289</v>
      </c>
      <c r="AR98" s="55">
        <f t="shared" si="239"/>
        <v>36.289</v>
      </c>
      <c r="AS98" s="55">
        <f t="shared" si="239"/>
        <v>36.289</v>
      </c>
      <c r="AT98" s="55">
        <f t="shared" si="239"/>
        <v>36.289</v>
      </c>
      <c r="AU98" s="55">
        <f t="shared" si="239"/>
        <v>36.289</v>
      </c>
      <c r="AV98" s="55">
        <f t="shared" si="239"/>
        <v>36.289</v>
      </c>
      <c r="AW98" s="55">
        <f t="shared" si="239"/>
        <v>36.289</v>
      </c>
      <c r="AX98" s="55">
        <f t="shared" si="239"/>
        <v>36.289</v>
      </c>
      <c r="AY98" s="55">
        <f t="shared" si="239"/>
        <v>36.289</v>
      </c>
      <c r="AZ98" s="55">
        <f t="shared" si="239"/>
        <v>36.289</v>
      </c>
      <c r="BA98" s="55">
        <f t="shared" si="239"/>
        <v>36.289</v>
      </c>
      <c r="BB98" s="55">
        <f t="shared" si="239"/>
        <v>36.289</v>
      </c>
      <c r="BC98" s="55">
        <f t="shared" si="239"/>
        <v>36.289</v>
      </c>
      <c r="BD98" s="55">
        <f t="shared" si="239"/>
        <v>36.289</v>
      </c>
      <c r="BE98" s="55">
        <f t="shared" si="239"/>
        <v>36.289</v>
      </c>
      <c r="BF98" s="55">
        <f t="shared" si="239"/>
        <v>36.289</v>
      </c>
      <c r="BG98" s="55">
        <f t="shared" si="239"/>
        <v>36.289</v>
      </c>
      <c r="BH98" s="55">
        <f t="shared" si="239"/>
        <v>36.289</v>
      </c>
      <c r="BI98" s="55">
        <f t="shared" si="239"/>
        <v>36.289</v>
      </c>
      <c r="BJ98" s="55">
        <f t="shared" si="239"/>
        <v>36.289</v>
      </c>
      <c r="BK98" s="55">
        <f t="shared" si="239"/>
        <v>36.289</v>
      </c>
      <c r="BL98" s="55">
        <f t="shared" si="239"/>
        <v>36.289</v>
      </c>
      <c r="BM98" s="55">
        <f t="shared" si="239"/>
        <v>36.289</v>
      </c>
      <c r="BN98" s="55">
        <f t="shared" si="239"/>
        <v>36.289</v>
      </c>
      <c r="BO98" s="55">
        <f t="shared" si="239"/>
        <v>36.289</v>
      </c>
      <c r="BP98" s="55">
        <f t="shared" si="239"/>
        <v>36.289</v>
      </c>
      <c r="BQ98" s="55">
        <f t="shared" si="239"/>
        <v>36.289</v>
      </c>
      <c r="BR98" s="55">
        <f t="shared" si="239"/>
        <v>36.289</v>
      </c>
      <c r="BS98" s="55">
        <f t="shared" si="239"/>
        <v>36.289</v>
      </c>
      <c r="BT98" s="55">
        <f t="shared" si="239"/>
        <v>36.289</v>
      </c>
      <c r="BU98" s="55">
        <f t="shared" si="239"/>
        <v>36.289</v>
      </c>
      <c r="BV98" s="55">
        <f t="shared" si="239"/>
        <v>36.289</v>
      </c>
      <c r="BW98" s="55">
        <f t="shared" si="239"/>
        <v>36.289</v>
      </c>
      <c r="BX98" s="6" t="s">
        <v>35</v>
      </c>
      <c r="BY98" s="54" t="str">
        <f t="shared" si="214"/>
        <v/>
      </c>
      <c r="BZ98" s="54">
        <f t="shared" si="215"/>
        <v>4.772</v>
      </c>
      <c r="CA98" s="54">
        <f t="shared" si="216"/>
        <v>0</v>
      </c>
      <c r="CB98" s="54">
        <f t="shared" si="217"/>
        <v>0</v>
      </c>
      <c r="CC98" s="54">
        <f t="shared" si="218"/>
        <v>7.45180562</v>
      </c>
      <c r="CD98" s="54">
        <f t="shared" si="219"/>
        <v>18.102</v>
      </c>
      <c r="CE98" s="54">
        <f t="shared" si="220"/>
        <v>28.549</v>
      </c>
      <c r="CF98" s="54">
        <f t="shared" si="221"/>
        <v>36.289</v>
      </c>
      <c r="CG98" s="54">
        <f t="shared" si="222"/>
        <v>36.289</v>
      </c>
      <c r="CH98" s="54">
        <f t="shared" si="223"/>
        <v>36.289</v>
      </c>
      <c r="CI98" s="54">
        <f t="shared" si="224"/>
        <v>36.289</v>
      </c>
      <c r="CJ98" s="54">
        <f t="shared" si="225"/>
        <v>36.289</v>
      </c>
      <c r="CK98" s="54">
        <f t="shared" si="226"/>
        <v>36.289</v>
      </c>
      <c r="CL98" s="54">
        <f t="shared" si="227"/>
        <v>36.289</v>
      </c>
      <c r="CM98" s="54">
        <f t="shared" si="228"/>
        <v>36.289</v>
      </c>
      <c r="CN98" s="54">
        <f t="shared" si="229"/>
        <v>36.289</v>
      </c>
      <c r="CO98" s="54">
        <f t="shared" si="230"/>
        <v>36.289</v>
      </c>
      <c r="CP98" s="54">
        <f t="shared" si="231"/>
        <v>36.289</v>
      </c>
      <c r="CQ98" s="6" t="s">
        <v>35</v>
      </c>
      <c r="CW98" s="46"/>
      <c r="CX98" s="46">
        <f t="shared" ref="CX98:CY98" si="240">AH98-AG98</f>
        <v>0</v>
      </c>
      <c r="CY98" s="46">
        <f t="shared" si="240"/>
        <v>7.74</v>
      </c>
      <c r="DA98" s="46"/>
    </row>
    <row r="99" ht="14.25" customHeight="1">
      <c r="B99" s="53" t="str">
        <f>Inputs!B85</f>
        <v>Dividendos propostos</v>
      </c>
      <c r="D99" s="54"/>
      <c r="E99" s="54"/>
      <c r="F99" s="54"/>
      <c r="G99" s="54"/>
      <c r="H99" s="54">
        <f>Inputs!J85/1000</f>
        <v>0</v>
      </c>
      <c r="I99" s="54">
        <f>Inputs!K85/1000</f>
        <v>0</v>
      </c>
      <c r="J99" s="54">
        <f>Inputs!L85/1000</f>
        <v>0</v>
      </c>
      <c r="K99" s="54">
        <f>(Inputs!M85/1000)*-1</f>
        <v>0.722</v>
      </c>
      <c r="L99" s="54">
        <f>Inputs!N85/1000</f>
        <v>0.722</v>
      </c>
      <c r="M99" s="54">
        <f>Inputs!O85/1000</f>
        <v>0</v>
      </c>
      <c r="N99" s="54">
        <f>Inputs!P85/1000</f>
        <v>0</v>
      </c>
      <c r="O99" s="54">
        <f>Inputs!Q85/1000</f>
        <v>0</v>
      </c>
      <c r="P99" s="54">
        <f>Inputs!R85/1000</f>
        <v>0</v>
      </c>
      <c r="Q99" s="54">
        <f>Inputs!S85/1000</f>
        <v>0</v>
      </c>
      <c r="R99" s="54">
        <f>Inputs!T85/1000</f>
        <v>0</v>
      </c>
      <c r="S99" s="54">
        <f>Inputs!U85/1000</f>
        <v>0</v>
      </c>
      <c r="T99" s="54">
        <f>Inputs!V85/1000</f>
        <v>0</v>
      </c>
      <c r="U99" s="54">
        <f>Inputs!W85/1000</f>
        <v>0</v>
      </c>
      <c r="V99" s="54">
        <f>Inputs!X85/1000</f>
        <v>0</v>
      </c>
      <c r="W99" s="54">
        <f>Inputs!Y85/1000</f>
        <v>0</v>
      </c>
      <c r="X99" s="54">
        <f>Inputs!Z85/1000</f>
        <v>0</v>
      </c>
      <c r="Y99" s="54">
        <f>Inputs!AA85/1000</f>
        <v>0</v>
      </c>
      <c r="Z99" s="54">
        <f>Inputs!AB85/1000</f>
        <v>0</v>
      </c>
      <c r="AA99" s="54">
        <f>Inputs!AC85/1000</f>
        <v>0</v>
      </c>
      <c r="AB99" s="54">
        <f>Inputs!AD85/1000</f>
        <v>0</v>
      </c>
      <c r="AC99" s="54">
        <f>Inputs!AE85/1000</f>
        <v>0</v>
      </c>
      <c r="AD99" s="54">
        <f>Inputs!AF85/1000</f>
        <v>0</v>
      </c>
      <c r="AE99" s="54">
        <f>Inputs!AG85/1000</f>
        <v>0</v>
      </c>
      <c r="AF99" s="54">
        <f>Inputs!AH85/1000</f>
        <v>0</v>
      </c>
      <c r="AG99" s="54">
        <f>Inputs!AI85/1000</f>
        <v>0</v>
      </c>
      <c r="AH99" s="54">
        <f>Inputs!AJ85/1000</f>
        <v>0</v>
      </c>
      <c r="AI99" s="54">
        <f>Inputs!AK85/1000</f>
        <v>0</v>
      </c>
      <c r="AJ99" s="54">
        <f>Inputs!AL85/1000</f>
        <v>0</v>
      </c>
      <c r="AK99" s="55">
        <f t="shared" ref="AK99:BW99" si="241">AJ99</f>
        <v>0</v>
      </c>
      <c r="AL99" s="55">
        <f t="shared" si="241"/>
        <v>0</v>
      </c>
      <c r="AM99" s="55">
        <f t="shared" si="241"/>
        <v>0</v>
      </c>
      <c r="AN99" s="55">
        <f t="shared" si="241"/>
        <v>0</v>
      </c>
      <c r="AO99" s="55">
        <f t="shared" si="241"/>
        <v>0</v>
      </c>
      <c r="AP99" s="55">
        <f t="shared" si="241"/>
        <v>0</v>
      </c>
      <c r="AQ99" s="55">
        <f t="shared" si="241"/>
        <v>0</v>
      </c>
      <c r="AR99" s="55">
        <f t="shared" si="241"/>
        <v>0</v>
      </c>
      <c r="AS99" s="55">
        <f t="shared" si="241"/>
        <v>0</v>
      </c>
      <c r="AT99" s="55">
        <f t="shared" si="241"/>
        <v>0</v>
      </c>
      <c r="AU99" s="55">
        <f t="shared" si="241"/>
        <v>0</v>
      </c>
      <c r="AV99" s="55">
        <f t="shared" si="241"/>
        <v>0</v>
      </c>
      <c r="AW99" s="55">
        <f t="shared" si="241"/>
        <v>0</v>
      </c>
      <c r="AX99" s="55">
        <f t="shared" si="241"/>
        <v>0</v>
      </c>
      <c r="AY99" s="55">
        <f t="shared" si="241"/>
        <v>0</v>
      </c>
      <c r="AZ99" s="55">
        <f t="shared" si="241"/>
        <v>0</v>
      </c>
      <c r="BA99" s="55">
        <f t="shared" si="241"/>
        <v>0</v>
      </c>
      <c r="BB99" s="55">
        <f t="shared" si="241"/>
        <v>0</v>
      </c>
      <c r="BC99" s="55">
        <f t="shared" si="241"/>
        <v>0</v>
      </c>
      <c r="BD99" s="55">
        <f t="shared" si="241"/>
        <v>0</v>
      </c>
      <c r="BE99" s="55">
        <f t="shared" si="241"/>
        <v>0</v>
      </c>
      <c r="BF99" s="55">
        <f t="shared" si="241"/>
        <v>0</v>
      </c>
      <c r="BG99" s="55">
        <f t="shared" si="241"/>
        <v>0</v>
      </c>
      <c r="BH99" s="55">
        <f t="shared" si="241"/>
        <v>0</v>
      </c>
      <c r="BI99" s="55">
        <f t="shared" si="241"/>
        <v>0</v>
      </c>
      <c r="BJ99" s="55">
        <f t="shared" si="241"/>
        <v>0</v>
      </c>
      <c r="BK99" s="55">
        <f t="shared" si="241"/>
        <v>0</v>
      </c>
      <c r="BL99" s="55">
        <f t="shared" si="241"/>
        <v>0</v>
      </c>
      <c r="BM99" s="55">
        <f t="shared" si="241"/>
        <v>0</v>
      </c>
      <c r="BN99" s="55">
        <f t="shared" si="241"/>
        <v>0</v>
      </c>
      <c r="BO99" s="55">
        <f t="shared" si="241"/>
        <v>0</v>
      </c>
      <c r="BP99" s="55">
        <f t="shared" si="241"/>
        <v>0</v>
      </c>
      <c r="BQ99" s="55">
        <f t="shared" si="241"/>
        <v>0</v>
      </c>
      <c r="BR99" s="55">
        <f t="shared" si="241"/>
        <v>0</v>
      </c>
      <c r="BS99" s="55">
        <f t="shared" si="241"/>
        <v>0</v>
      </c>
      <c r="BT99" s="55">
        <f t="shared" si="241"/>
        <v>0</v>
      </c>
      <c r="BU99" s="55">
        <f t="shared" si="241"/>
        <v>0</v>
      </c>
      <c r="BV99" s="55">
        <f t="shared" si="241"/>
        <v>0</v>
      </c>
      <c r="BW99" s="55">
        <f t="shared" si="241"/>
        <v>0</v>
      </c>
      <c r="BX99" s="6" t="s">
        <v>35</v>
      </c>
      <c r="BY99" s="54" t="str">
        <f t="shared" si="214"/>
        <v/>
      </c>
      <c r="BZ99" s="54">
        <f t="shared" si="215"/>
        <v>0.722</v>
      </c>
      <c r="CA99" s="54">
        <f t="shared" si="216"/>
        <v>0</v>
      </c>
      <c r="CB99" s="54">
        <f t="shared" si="217"/>
        <v>0</v>
      </c>
      <c r="CC99" s="54">
        <f t="shared" si="218"/>
        <v>0</v>
      </c>
      <c r="CD99" s="54">
        <f t="shared" si="219"/>
        <v>0</v>
      </c>
      <c r="CE99" s="54">
        <f t="shared" si="220"/>
        <v>0</v>
      </c>
      <c r="CF99" s="54">
        <f t="shared" si="221"/>
        <v>0</v>
      </c>
      <c r="CG99" s="54">
        <f t="shared" si="222"/>
        <v>0</v>
      </c>
      <c r="CH99" s="54">
        <f t="shared" si="223"/>
        <v>0</v>
      </c>
      <c r="CI99" s="54">
        <f t="shared" si="224"/>
        <v>0</v>
      </c>
      <c r="CJ99" s="54">
        <f t="shared" si="225"/>
        <v>0</v>
      </c>
      <c r="CK99" s="54">
        <f t="shared" si="226"/>
        <v>0</v>
      </c>
      <c r="CL99" s="54">
        <f t="shared" si="227"/>
        <v>0</v>
      </c>
      <c r="CM99" s="54">
        <f t="shared" si="228"/>
        <v>0</v>
      </c>
      <c r="CN99" s="54">
        <f t="shared" si="229"/>
        <v>0</v>
      </c>
      <c r="CO99" s="54">
        <f t="shared" si="230"/>
        <v>0</v>
      </c>
      <c r="CP99" s="54">
        <f t="shared" si="231"/>
        <v>0</v>
      </c>
      <c r="CQ99" s="6" t="s">
        <v>35</v>
      </c>
      <c r="CW99" s="46"/>
      <c r="CX99" s="46">
        <f t="shared" ref="CX99:CY99" si="242">AH99-AG99</f>
        <v>0</v>
      </c>
      <c r="CY99" s="46">
        <f t="shared" si="242"/>
        <v>0</v>
      </c>
      <c r="DA99" s="46"/>
    </row>
    <row r="100" ht="14.25" customHeight="1">
      <c r="B100" s="53" t="str">
        <f>Inputs!B86</f>
        <v>Lucros (Prejuízo) acumulados do período</v>
      </c>
      <c r="D100" s="54"/>
      <c r="E100" s="54"/>
      <c r="F100" s="54"/>
      <c r="G100" s="54"/>
      <c r="H100" s="54">
        <f>Inputs!J86/1000</f>
        <v>1.154</v>
      </c>
      <c r="I100" s="54">
        <f>Inputs!K86/1000</f>
        <v>-2.616</v>
      </c>
      <c r="J100" s="54">
        <f>Inputs!L86/1000</f>
        <v>-3.368</v>
      </c>
      <c r="K100" s="54">
        <f>(Inputs!M86/1000)*-1</f>
        <v>0</v>
      </c>
      <c r="L100" s="54">
        <f>Inputs!N86/1000</f>
        <v>0.128</v>
      </c>
      <c r="M100" s="54">
        <f>Inputs!O86/1000</f>
        <v>-1.163</v>
      </c>
      <c r="N100" s="54">
        <f>Inputs!P86/1000</f>
        <v>-3.155</v>
      </c>
      <c r="O100" s="54">
        <f>Inputs!Q86/1000</f>
        <v>-1.337</v>
      </c>
      <c r="P100" s="54">
        <f>Inputs!R86/1000</f>
        <v>2.707</v>
      </c>
      <c r="Q100" s="54">
        <f>Inputs!S86/1000</f>
        <v>-13.977</v>
      </c>
      <c r="R100" s="54">
        <f>Inputs!T86/1000</f>
        <v>-18.901</v>
      </c>
      <c r="S100" s="54">
        <f>Inputs!U86/1000</f>
        <v>-3.473</v>
      </c>
      <c r="T100" s="54">
        <f>Inputs!V86/1000</f>
        <v>-4.185</v>
      </c>
      <c r="U100" s="54">
        <f>Inputs!W86/1000</f>
        <v>1.952</v>
      </c>
      <c r="V100" s="54">
        <f>Inputs!X86/1000</f>
        <v>5.857</v>
      </c>
      <c r="W100" s="54">
        <f>Inputs!Y86/1000</f>
        <v>0</v>
      </c>
      <c r="X100" s="54">
        <f>Inputs!Z86/1000</f>
        <v>5.188</v>
      </c>
      <c r="Y100" s="54">
        <f>Inputs!AA86/1000</f>
        <v>12.586</v>
      </c>
      <c r="Z100" s="54">
        <f>Inputs!AB86/1000</f>
        <v>33.403</v>
      </c>
      <c r="AA100" s="54">
        <f>Inputs!AC86/1000</f>
        <v>0</v>
      </c>
      <c r="AB100" s="54">
        <f>Inputs!AD86/1000</f>
        <v>7.07</v>
      </c>
      <c r="AC100" s="54">
        <f>Inputs!AE86/1000</f>
        <v>13.419</v>
      </c>
      <c r="AD100" s="54">
        <f>Inputs!AF86/1000</f>
        <v>12.896</v>
      </c>
      <c r="AE100" s="54">
        <f>Inputs!AG86/1000</f>
        <v>0</v>
      </c>
      <c r="AF100" s="54">
        <f>Inputs!AH86/1000</f>
        <v>1.571</v>
      </c>
      <c r="AG100" s="54">
        <f>Inputs!AI86/1000</f>
        <v>-3.428</v>
      </c>
      <c r="AH100" s="54">
        <f>Inputs!AJ86/1000</f>
        <v>13.157</v>
      </c>
      <c r="AI100" s="54">
        <f>Inputs!AK86/1000</f>
        <v>14.438</v>
      </c>
      <c r="AJ100" s="54">
        <f>Inputs!AL86/1000</f>
        <v>1.803</v>
      </c>
      <c r="AK100" s="54">
        <f t="shared" ref="AK100:BW100" si="243">AJ100+AK47+AK250</f>
        <v>4.018641281</v>
      </c>
      <c r="AL100" s="54">
        <f t="shared" si="243"/>
        <v>16.58192457</v>
      </c>
      <c r="AM100" s="54">
        <f t="shared" si="243"/>
        <v>29.46442264</v>
      </c>
      <c r="AN100" s="54">
        <f t="shared" si="243"/>
        <v>44.97059568</v>
      </c>
      <c r="AO100" s="54">
        <f t="shared" si="243"/>
        <v>58.6706642</v>
      </c>
      <c r="AP100" s="54">
        <f t="shared" si="243"/>
        <v>73.41188822</v>
      </c>
      <c r="AQ100" s="54">
        <f t="shared" si="243"/>
        <v>94.13386196</v>
      </c>
      <c r="AR100" s="54">
        <f t="shared" si="243"/>
        <v>114.4539881</v>
      </c>
      <c r="AS100" s="54">
        <f t="shared" si="243"/>
        <v>133.122075</v>
      </c>
      <c r="AT100" s="54">
        <f t="shared" si="243"/>
        <v>153.0208233</v>
      </c>
      <c r="AU100" s="54">
        <f t="shared" si="243"/>
        <v>178.6516685</v>
      </c>
      <c r="AV100" s="54">
        <f t="shared" si="243"/>
        <v>203.3795866</v>
      </c>
      <c r="AW100" s="54">
        <f t="shared" si="243"/>
        <v>227.3779971</v>
      </c>
      <c r="AX100" s="54">
        <f t="shared" si="243"/>
        <v>252.8649866</v>
      </c>
      <c r="AY100" s="54">
        <f t="shared" si="243"/>
        <v>283.3281793</v>
      </c>
      <c r="AZ100" s="54">
        <f t="shared" si="243"/>
        <v>311.4145804</v>
      </c>
      <c r="BA100" s="54">
        <f t="shared" si="243"/>
        <v>339.0998618</v>
      </c>
      <c r="BB100" s="54">
        <f t="shared" si="243"/>
        <v>368.4162645</v>
      </c>
      <c r="BC100" s="54">
        <f t="shared" si="243"/>
        <v>402.7241085</v>
      </c>
      <c r="BD100" s="54">
        <f t="shared" si="243"/>
        <v>434.4446415</v>
      </c>
      <c r="BE100" s="54">
        <f t="shared" si="243"/>
        <v>465.7312985</v>
      </c>
      <c r="BF100" s="54">
        <f t="shared" si="243"/>
        <v>498.8052414</v>
      </c>
      <c r="BG100" s="54">
        <f t="shared" si="243"/>
        <v>537.3385596</v>
      </c>
      <c r="BH100" s="54">
        <f t="shared" si="243"/>
        <v>573.0507063</v>
      </c>
      <c r="BI100" s="54">
        <f t="shared" si="243"/>
        <v>608.2948536</v>
      </c>
      <c r="BJ100" s="54">
        <f t="shared" si="243"/>
        <v>645.4981904</v>
      </c>
      <c r="BK100" s="54">
        <f t="shared" si="243"/>
        <v>688.6732604</v>
      </c>
      <c r="BL100" s="54">
        <f t="shared" si="243"/>
        <v>728.7728297</v>
      </c>
      <c r="BM100" s="54">
        <f t="shared" si="243"/>
        <v>768.368404</v>
      </c>
      <c r="BN100" s="54">
        <f t="shared" si="243"/>
        <v>810.1123243</v>
      </c>
      <c r="BO100" s="54">
        <f t="shared" si="243"/>
        <v>858.389117</v>
      </c>
      <c r="BP100" s="54">
        <f t="shared" si="243"/>
        <v>903.3137544</v>
      </c>
      <c r="BQ100" s="54">
        <f t="shared" si="243"/>
        <v>947.6962481</v>
      </c>
      <c r="BR100" s="54">
        <f t="shared" si="243"/>
        <v>994.5282754</v>
      </c>
      <c r="BS100" s="54">
        <f t="shared" si="243"/>
        <v>1048.59728</v>
      </c>
      <c r="BT100" s="54">
        <f t="shared" si="243"/>
        <v>1099.104616</v>
      </c>
      <c r="BU100" s="54">
        <f t="shared" si="243"/>
        <v>1149.131422</v>
      </c>
      <c r="BV100" s="54">
        <f t="shared" si="243"/>
        <v>1201.835606</v>
      </c>
      <c r="BW100" s="54">
        <f t="shared" si="243"/>
        <v>1262.450119</v>
      </c>
      <c r="BX100" s="6" t="s">
        <v>35</v>
      </c>
      <c r="BY100" s="54" t="str">
        <f t="shared" si="214"/>
        <v/>
      </c>
      <c r="BZ100" s="54">
        <f t="shared" si="215"/>
        <v>0</v>
      </c>
      <c r="CA100" s="54">
        <f t="shared" si="216"/>
        <v>-1.337</v>
      </c>
      <c r="CB100" s="54">
        <f t="shared" si="217"/>
        <v>-3.473</v>
      </c>
      <c r="CC100" s="54">
        <f t="shared" si="218"/>
        <v>0</v>
      </c>
      <c r="CD100" s="54">
        <f t="shared" si="219"/>
        <v>0</v>
      </c>
      <c r="CE100" s="54">
        <f t="shared" si="220"/>
        <v>0</v>
      </c>
      <c r="CF100" s="54">
        <f t="shared" si="221"/>
        <v>14.438</v>
      </c>
      <c r="CG100" s="54">
        <f t="shared" si="222"/>
        <v>29.46442264</v>
      </c>
      <c r="CH100" s="54">
        <f t="shared" si="223"/>
        <v>94.13386196</v>
      </c>
      <c r="CI100" s="54">
        <f t="shared" si="224"/>
        <v>178.6516685</v>
      </c>
      <c r="CJ100" s="54">
        <f t="shared" si="225"/>
        <v>283.3281793</v>
      </c>
      <c r="CK100" s="54">
        <f t="shared" si="226"/>
        <v>402.7241085</v>
      </c>
      <c r="CL100" s="54">
        <f t="shared" si="227"/>
        <v>537.3385596</v>
      </c>
      <c r="CM100" s="54">
        <f t="shared" si="228"/>
        <v>688.6732604</v>
      </c>
      <c r="CN100" s="54">
        <f t="shared" si="229"/>
        <v>858.389117</v>
      </c>
      <c r="CO100" s="54">
        <f t="shared" si="230"/>
        <v>1048.59728</v>
      </c>
      <c r="CP100" s="54">
        <f t="shared" si="231"/>
        <v>1262.450119</v>
      </c>
      <c r="CQ100" s="6" t="s">
        <v>35</v>
      </c>
      <c r="CW100" s="46"/>
      <c r="CX100" s="46">
        <f t="shared" ref="CX100:CY100" si="244">AH100-AG100</f>
        <v>16.585</v>
      </c>
      <c r="CY100" s="46">
        <f t="shared" si="244"/>
        <v>1.281</v>
      </c>
      <c r="DA100" s="46"/>
    </row>
    <row r="101" ht="14.25" customHeight="1">
      <c r="B101" s="53" t="str">
        <f>Inputs!B89</f>
        <v>Participações não controladores</v>
      </c>
      <c r="D101" s="54"/>
      <c r="E101" s="54"/>
      <c r="F101" s="54"/>
      <c r="G101" s="54">
        <v>8.156</v>
      </c>
      <c r="H101" s="54">
        <f>Inputs!J89/1000</f>
        <v>7.457</v>
      </c>
      <c r="I101" s="54">
        <f>Inputs!K89/1000</f>
        <v>6.365</v>
      </c>
      <c r="J101" s="54">
        <f>Inputs!L89/1000</f>
        <v>5.925</v>
      </c>
      <c r="K101" s="54">
        <f>(Inputs!M89/1000)*-1</f>
        <v>4.97</v>
      </c>
      <c r="L101" s="54">
        <f>Inputs!N89/1000</f>
        <v>4.337</v>
      </c>
      <c r="M101" s="54">
        <f>Inputs!O89/1000</f>
        <v>3.642</v>
      </c>
      <c r="N101" s="54">
        <f>Inputs!P89/1000</f>
        <v>2.691</v>
      </c>
      <c r="O101" s="54">
        <f>Inputs!Q89/1000</f>
        <v>0.281</v>
      </c>
      <c r="P101" s="54">
        <f>Inputs!R89/1000</f>
        <v>-0.493</v>
      </c>
      <c r="Q101" s="54">
        <f>Inputs!S89/1000</f>
        <v>-0.926</v>
      </c>
      <c r="R101" s="54">
        <f>Inputs!T89/1000</f>
        <v>-1.311</v>
      </c>
      <c r="S101" s="54">
        <f>Inputs!U89/1000</f>
        <v>-0.101</v>
      </c>
      <c r="T101" s="54">
        <f>Inputs!V89/1000</f>
        <v>-0.42</v>
      </c>
      <c r="U101" s="54">
        <f>Inputs!W89/1000</f>
        <v>-0.353</v>
      </c>
      <c r="V101" s="54">
        <f>Inputs!X89/1000</f>
        <v>-0.478</v>
      </c>
      <c r="W101" s="54">
        <f>Inputs!Y89/1000</f>
        <v>0</v>
      </c>
      <c r="X101" s="54">
        <f>Inputs!Z89/1000</f>
        <v>0.271</v>
      </c>
      <c r="Y101" s="54">
        <f>Inputs!AA89/1000</f>
        <v>12.468</v>
      </c>
      <c r="Z101" s="54">
        <f>Inputs!AB89/1000</f>
        <v>34.266</v>
      </c>
      <c r="AA101" s="54">
        <f>Inputs!AC89/1000</f>
        <v>6.167</v>
      </c>
      <c r="AB101" s="54">
        <f>Inputs!AD89/1000</f>
        <v>7.962</v>
      </c>
      <c r="AC101" s="54">
        <f>Inputs!AE89/1000</f>
        <v>11.68</v>
      </c>
      <c r="AD101" s="54">
        <f>Inputs!AF89/1000</f>
        <v>14.837</v>
      </c>
      <c r="AE101" s="54">
        <f>Inputs!AG89/1000</f>
        <v>13.969</v>
      </c>
      <c r="AF101" s="54">
        <f>Inputs!AH89/1000</f>
        <v>15.577</v>
      </c>
      <c r="AG101" s="54">
        <f>Inputs!AI89/1000</f>
        <v>13.792</v>
      </c>
      <c r="AH101" s="54">
        <f>Inputs!AJ89/1000</f>
        <v>17.249</v>
      </c>
      <c r="AI101" s="54">
        <f>Inputs!AK89/1000</f>
        <v>13.908</v>
      </c>
      <c r="AJ101" s="54">
        <f>Inputs!AL89/1000</f>
        <v>16.122</v>
      </c>
      <c r="AK101" s="55">
        <f t="shared" ref="AK101:BW101" si="245">AJ101</f>
        <v>16.122</v>
      </c>
      <c r="AL101" s="55">
        <f t="shared" si="245"/>
        <v>16.122</v>
      </c>
      <c r="AM101" s="55">
        <f t="shared" si="245"/>
        <v>16.122</v>
      </c>
      <c r="AN101" s="55">
        <f t="shared" si="245"/>
        <v>16.122</v>
      </c>
      <c r="AO101" s="55">
        <f t="shared" si="245"/>
        <v>16.122</v>
      </c>
      <c r="AP101" s="55">
        <f t="shared" si="245"/>
        <v>16.122</v>
      </c>
      <c r="AQ101" s="55">
        <f t="shared" si="245"/>
        <v>16.122</v>
      </c>
      <c r="AR101" s="55">
        <f t="shared" si="245"/>
        <v>16.122</v>
      </c>
      <c r="AS101" s="55">
        <f t="shared" si="245"/>
        <v>16.122</v>
      </c>
      <c r="AT101" s="55">
        <f t="shared" si="245"/>
        <v>16.122</v>
      </c>
      <c r="AU101" s="55">
        <f t="shared" si="245"/>
        <v>16.122</v>
      </c>
      <c r="AV101" s="55">
        <f t="shared" si="245"/>
        <v>16.122</v>
      </c>
      <c r="AW101" s="55">
        <f t="shared" si="245"/>
        <v>16.122</v>
      </c>
      <c r="AX101" s="55">
        <f t="shared" si="245"/>
        <v>16.122</v>
      </c>
      <c r="AY101" s="55">
        <f t="shared" si="245"/>
        <v>16.122</v>
      </c>
      <c r="AZ101" s="55">
        <f t="shared" si="245"/>
        <v>16.122</v>
      </c>
      <c r="BA101" s="55">
        <f t="shared" si="245"/>
        <v>16.122</v>
      </c>
      <c r="BB101" s="55">
        <f t="shared" si="245"/>
        <v>16.122</v>
      </c>
      <c r="BC101" s="55">
        <f t="shared" si="245"/>
        <v>16.122</v>
      </c>
      <c r="BD101" s="55">
        <f t="shared" si="245"/>
        <v>16.122</v>
      </c>
      <c r="BE101" s="55">
        <f t="shared" si="245"/>
        <v>16.122</v>
      </c>
      <c r="BF101" s="55">
        <f t="shared" si="245"/>
        <v>16.122</v>
      </c>
      <c r="BG101" s="55">
        <f t="shared" si="245"/>
        <v>16.122</v>
      </c>
      <c r="BH101" s="55">
        <f t="shared" si="245"/>
        <v>16.122</v>
      </c>
      <c r="BI101" s="55">
        <f t="shared" si="245"/>
        <v>16.122</v>
      </c>
      <c r="BJ101" s="55">
        <f t="shared" si="245"/>
        <v>16.122</v>
      </c>
      <c r="BK101" s="55">
        <f t="shared" si="245"/>
        <v>16.122</v>
      </c>
      <c r="BL101" s="55">
        <f t="shared" si="245"/>
        <v>16.122</v>
      </c>
      <c r="BM101" s="55">
        <f t="shared" si="245"/>
        <v>16.122</v>
      </c>
      <c r="BN101" s="55">
        <f t="shared" si="245"/>
        <v>16.122</v>
      </c>
      <c r="BO101" s="55">
        <f t="shared" si="245"/>
        <v>16.122</v>
      </c>
      <c r="BP101" s="55">
        <f t="shared" si="245"/>
        <v>16.122</v>
      </c>
      <c r="BQ101" s="55">
        <f t="shared" si="245"/>
        <v>16.122</v>
      </c>
      <c r="BR101" s="55">
        <f t="shared" si="245"/>
        <v>16.122</v>
      </c>
      <c r="BS101" s="55">
        <f t="shared" si="245"/>
        <v>16.122</v>
      </c>
      <c r="BT101" s="55">
        <f t="shared" si="245"/>
        <v>16.122</v>
      </c>
      <c r="BU101" s="55">
        <f t="shared" si="245"/>
        <v>16.122</v>
      </c>
      <c r="BV101" s="55">
        <f t="shared" si="245"/>
        <v>16.122</v>
      </c>
      <c r="BW101" s="55">
        <f t="shared" si="245"/>
        <v>16.122</v>
      </c>
      <c r="BX101" s="6" t="s">
        <v>35</v>
      </c>
      <c r="BY101" s="54">
        <f t="shared" si="214"/>
        <v>8.156</v>
      </c>
      <c r="BZ101" s="54">
        <f t="shared" si="215"/>
        <v>4.97</v>
      </c>
      <c r="CA101" s="54">
        <f t="shared" si="216"/>
        <v>0.281</v>
      </c>
      <c r="CB101" s="54">
        <f t="shared" si="217"/>
        <v>-0.101</v>
      </c>
      <c r="CC101" s="54">
        <f t="shared" si="218"/>
        <v>0</v>
      </c>
      <c r="CD101" s="54">
        <f t="shared" si="219"/>
        <v>6.167</v>
      </c>
      <c r="CE101" s="54">
        <f t="shared" si="220"/>
        <v>13.969</v>
      </c>
      <c r="CF101" s="54">
        <f t="shared" si="221"/>
        <v>13.908</v>
      </c>
      <c r="CG101" s="54">
        <f t="shared" si="222"/>
        <v>16.122</v>
      </c>
      <c r="CH101" s="54">
        <f t="shared" si="223"/>
        <v>16.122</v>
      </c>
      <c r="CI101" s="54">
        <f t="shared" si="224"/>
        <v>16.122</v>
      </c>
      <c r="CJ101" s="54">
        <f t="shared" si="225"/>
        <v>16.122</v>
      </c>
      <c r="CK101" s="54">
        <f t="shared" si="226"/>
        <v>16.122</v>
      </c>
      <c r="CL101" s="54">
        <f t="shared" si="227"/>
        <v>16.122</v>
      </c>
      <c r="CM101" s="54">
        <f t="shared" si="228"/>
        <v>16.122</v>
      </c>
      <c r="CN101" s="54">
        <f t="shared" si="229"/>
        <v>16.122</v>
      </c>
      <c r="CO101" s="54">
        <f t="shared" si="230"/>
        <v>16.122</v>
      </c>
      <c r="CP101" s="54">
        <f t="shared" si="231"/>
        <v>16.122</v>
      </c>
      <c r="CQ101" s="6" t="s">
        <v>35</v>
      </c>
      <c r="CW101" s="46"/>
      <c r="CX101" s="46">
        <f t="shared" ref="CX101:CY101" si="246">AH101-AG101</f>
        <v>3.457</v>
      </c>
      <c r="CY101" s="46">
        <f t="shared" si="246"/>
        <v>-3.341</v>
      </c>
      <c r="DA101" s="46"/>
    </row>
    <row r="102" ht="14.25" customHeight="1">
      <c r="B102" s="53" t="s">
        <v>74</v>
      </c>
      <c r="D102" s="54">
        <v>14.582</v>
      </c>
      <c r="E102" s="54">
        <v>13.229</v>
      </c>
      <c r="F102" s="54">
        <v>18.851999999999997</v>
      </c>
      <c r="G102" s="54">
        <v>2.453000000000003</v>
      </c>
      <c r="H102" s="54">
        <v>0.0</v>
      </c>
      <c r="I102" s="54">
        <v>0.0</v>
      </c>
      <c r="J102" s="54">
        <v>0.0</v>
      </c>
      <c r="K102" s="54">
        <v>0.0</v>
      </c>
      <c r="L102" s="54">
        <v>0.0</v>
      </c>
      <c r="M102" s="54">
        <v>0.0</v>
      </c>
      <c r="N102" s="54">
        <v>0.0</v>
      </c>
      <c r="O102" s="54">
        <v>0.0</v>
      </c>
      <c r="P102" s="54">
        <v>0.0</v>
      </c>
      <c r="Q102" s="54">
        <v>0.0</v>
      </c>
      <c r="R102" s="54">
        <v>0.0</v>
      </c>
      <c r="S102" s="54">
        <v>0.0</v>
      </c>
      <c r="T102" s="54">
        <v>0.0</v>
      </c>
      <c r="U102" s="54">
        <v>0.0</v>
      </c>
      <c r="V102" s="54">
        <v>0.0</v>
      </c>
      <c r="W102" s="54">
        <v>0.0</v>
      </c>
      <c r="X102" s="54">
        <v>0.0</v>
      </c>
      <c r="Y102" s="54">
        <v>0.0</v>
      </c>
      <c r="Z102" s="54">
        <v>0.0</v>
      </c>
      <c r="AA102" s="54">
        <v>0.0</v>
      </c>
      <c r="AB102" s="54">
        <v>0.0</v>
      </c>
      <c r="AC102" s="54">
        <v>0.0</v>
      </c>
      <c r="AD102" s="54">
        <v>0.0</v>
      </c>
      <c r="AE102" s="54">
        <v>0.0</v>
      </c>
      <c r="AF102" s="54">
        <v>0.0</v>
      </c>
      <c r="AG102" s="54">
        <v>0.0</v>
      </c>
      <c r="AH102" s="54">
        <v>0.0</v>
      </c>
      <c r="AI102" s="54">
        <v>0.0</v>
      </c>
      <c r="AJ102" s="54">
        <v>0.0</v>
      </c>
      <c r="AK102" s="55">
        <f t="shared" ref="AK102:BW102" si="247">AJ102</f>
        <v>0</v>
      </c>
      <c r="AL102" s="55">
        <f t="shared" si="247"/>
        <v>0</v>
      </c>
      <c r="AM102" s="55">
        <f t="shared" si="247"/>
        <v>0</v>
      </c>
      <c r="AN102" s="55">
        <f t="shared" si="247"/>
        <v>0</v>
      </c>
      <c r="AO102" s="55">
        <f t="shared" si="247"/>
        <v>0</v>
      </c>
      <c r="AP102" s="55">
        <f t="shared" si="247"/>
        <v>0</v>
      </c>
      <c r="AQ102" s="55">
        <f t="shared" si="247"/>
        <v>0</v>
      </c>
      <c r="AR102" s="55">
        <f t="shared" si="247"/>
        <v>0</v>
      </c>
      <c r="AS102" s="55">
        <f t="shared" si="247"/>
        <v>0</v>
      </c>
      <c r="AT102" s="55">
        <f t="shared" si="247"/>
        <v>0</v>
      </c>
      <c r="AU102" s="55">
        <f t="shared" si="247"/>
        <v>0</v>
      </c>
      <c r="AV102" s="55">
        <f t="shared" si="247"/>
        <v>0</v>
      </c>
      <c r="AW102" s="55">
        <f t="shared" si="247"/>
        <v>0</v>
      </c>
      <c r="AX102" s="55">
        <f t="shared" si="247"/>
        <v>0</v>
      </c>
      <c r="AY102" s="55">
        <f t="shared" si="247"/>
        <v>0</v>
      </c>
      <c r="AZ102" s="55">
        <f t="shared" si="247"/>
        <v>0</v>
      </c>
      <c r="BA102" s="55">
        <f t="shared" si="247"/>
        <v>0</v>
      </c>
      <c r="BB102" s="55">
        <f t="shared" si="247"/>
        <v>0</v>
      </c>
      <c r="BC102" s="55">
        <f t="shared" si="247"/>
        <v>0</v>
      </c>
      <c r="BD102" s="55">
        <f t="shared" si="247"/>
        <v>0</v>
      </c>
      <c r="BE102" s="55">
        <f t="shared" si="247"/>
        <v>0</v>
      </c>
      <c r="BF102" s="55">
        <f t="shared" si="247"/>
        <v>0</v>
      </c>
      <c r="BG102" s="55">
        <f t="shared" si="247"/>
        <v>0</v>
      </c>
      <c r="BH102" s="55">
        <f t="shared" si="247"/>
        <v>0</v>
      </c>
      <c r="BI102" s="55">
        <f t="shared" si="247"/>
        <v>0</v>
      </c>
      <c r="BJ102" s="55">
        <f t="shared" si="247"/>
        <v>0</v>
      </c>
      <c r="BK102" s="55">
        <f t="shared" si="247"/>
        <v>0</v>
      </c>
      <c r="BL102" s="55">
        <f t="shared" si="247"/>
        <v>0</v>
      </c>
      <c r="BM102" s="55">
        <f t="shared" si="247"/>
        <v>0</v>
      </c>
      <c r="BN102" s="55">
        <f t="shared" si="247"/>
        <v>0</v>
      </c>
      <c r="BO102" s="55">
        <f t="shared" si="247"/>
        <v>0</v>
      </c>
      <c r="BP102" s="55">
        <f t="shared" si="247"/>
        <v>0</v>
      </c>
      <c r="BQ102" s="55">
        <f t="shared" si="247"/>
        <v>0</v>
      </c>
      <c r="BR102" s="55">
        <f t="shared" si="247"/>
        <v>0</v>
      </c>
      <c r="BS102" s="55">
        <f t="shared" si="247"/>
        <v>0</v>
      </c>
      <c r="BT102" s="55">
        <f t="shared" si="247"/>
        <v>0</v>
      </c>
      <c r="BU102" s="55">
        <f t="shared" si="247"/>
        <v>0</v>
      </c>
      <c r="BV102" s="55">
        <f t="shared" si="247"/>
        <v>0</v>
      </c>
      <c r="BW102" s="55">
        <f t="shared" si="247"/>
        <v>0</v>
      </c>
      <c r="BX102" s="55" t="s">
        <v>35</v>
      </c>
      <c r="BY102" s="55">
        <f t="shared" si="214"/>
        <v>2.453</v>
      </c>
      <c r="BZ102" s="55">
        <f t="shared" si="215"/>
        <v>0</v>
      </c>
      <c r="CA102" s="55">
        <f t="shared" si="216"/>
        <v>0</v>
      </c>
      <c r="CB102" s="55">
        <f t="shared" si="217"/>
        <v>0</v>
      </c>
      <c r="CC102" s="55">
        <f t="shared" si="218"/>
        <v>0</v>
      </c>
      <c r="CD102" s="55">
        <f t="shared" si="219"/>
        <v>0</v>
      </c>
      <c r="CE102" s="55">
        <f t="shared" si="220"/>
        <v>0</v>
      </c>
      <c r="CF102" s="54">
        <f t="shared" si="221"/>
        <v>0</v>
      </c>
      <c r="CG102" s="54">
        <f t="shared" si="222"/>
        <v>0</v>
      </c>
      <c r="CH102" s="54">
        <f t="shared" si="223"/>
        <v>0</v>
      </c>
      <c r="CI102" s="54">
        <f t="shared" si="224"/>
        <v>0</v>
      </c>
      <c r="CJ102" s="54">
        <f t="shared" si="225"/>
        <v>0</v>
      </c>
      <c r="CK102" s="54">
        <f t="shared" si="226"/>
        <v>0</v>
      </c>
      <c r="CL102" s="54">
        <f t="shared" si="227"/>
        <v>0</v>
      </c>
      <c r="CM102" s="54">
        <f t="shared" si="228"/>
        <v>0</v>
      </c>
      <c r="CN102" s="54">
        <f t="shared" si="229"/>
        <v>0</v>
      </c>
      <c r="CO102" s="54">
        <f t="shared" si="230"/>
        <v>0</v>
      </c>
      <c r="CP102" s="54">
        <f t="shared" si="231"/>
        <v>0</v>
      </c>
      <c r="CQ102" s="6" t="s">
        <v>35</v>
      </c>
      <c r="CW102" s="46"/>
      <c r="CX102" s="46">
        <f t="shared" ref="CX102:CY102" si="248">AH102-AG102</f>
        <v>0</v>
      </c>
      <c r="CY102" s="46">
        <f t="shared" si="248"/>
        <v>0</v>
      </c>
      <c r="DA102" s="46"/>
    </row>
    <row r="103" ht="14.25" customHeight="1"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6" t="s">
        <v>35</v>
      </c>
      <c r="CQ103" s="6" t="s">
        <v>35</v>
      </c>
    </row>
    <row r="104" ht="14.25" customHeight="1">
      <c r="B104" s="63" t="s">
        <v>75</v>
      </c>
      <c r="D104" s="64">
        <f t="shared" ref="D104:BW104" si="249">+D58-D74-D93</f>
        <v>0</v>
      </c>
      <c r="E104" s="64">
        <f t="shared" si="249"/>
        <v>0</v>
      </c>
      <c r="F104" s="64">
        <f t="shared" si="249"/>
        <v>0</v>
      </c>
      <c r="G104" s="64">
        <f t="shared" si="249"/>
        <v>0</v>
      </c>
      <c r="H104" s="64">
        <f t="shared" si="249"/>
        <v>0</v>
      </c>
      <c r="I104" s="64">
        <f t="shared" si="249"/>
        <v>0</v>
      </c>
      <c r="J104" s="64">
        <f t="shared" si="249"/>
        <v>0</v>
      </c>
      <c r="K104" s="64">
        <f t="shared" si="249"/>
        <v>0</v>
      </c>
      <c r="L104" s="64">
        <f t="shared" si="249"/>
        <v>0</v>
      </c>
      <c r="M104" s="64">
        <f t="shared" si="249"/>
        <v>0</v>
      </c>
      <c r="N104" s="64">
        <f t="shared" si="249"/>
        <v>0</v>
      </c>
      <c r="O104" s="64">
        <f t="shared" si="249"/>
        <v>0</v>
      </c>
      <c r="P104" s="64">
        <f t="shared" si="249"/>
        <v>0</v>
      </c>
      <c r="Q104" s="64">
        <f t="shared" si="249"/>
        <v>0</v>
      </c>
      <c r="R104" s="64">
        <f t="shared" si="249"/>
        <v>0</v>
      </c>
      <c r="S104" s="64">
        <f t="shared" si="249"/>
        <v>0</v>
      </c>
      <c r="T104" s="64">
        <f t="shared" si="249"/>
        <v>0</v>
      </c>
      <c r="U104" s="64">
        <f t="shared" si="249"/>
        <v>0</v>
      </c>
      <c r="V104" s="64">
        <f t="shared" si="249"/>
        <v>0</v>
      </c>
      <c r="W104" s="64">
        <f t="shared" si="249"/>
        <v>0.00019438</v>
      </c>
      <c r="X104" s="64">
        <f t="shared" si="249"/>
        <v>-0.00000001000000793</v>
      </c>
      <c r="Y104" s="64">
        <f t="shared" si="249"/>
        <v>-0.00038029</v>
      </c>
      <c r="Z104" s="64">
        <f t="shared" si="249"/>
        <v>-0.0000001100000304</v>
      </c>
      <c r="AA104" s="64">
        <f t="shared" si="249"/>
        <v>0.0001882799999</v>
      </c>
      <c r="AB104" s="64">
        <f t="shared" si="249"/>
        <v>0</v>
      </c>
      <c r="AC104" s="64">
        <f t="shared" si="249"/>
        <v>-0.0002019900001</v>
      </c>
      <c r="AD104" s="64">
        <f t="shared" si="249"/>
        <v>0</v>
      </c>
      <c r="AE104" s="64">
        <f t="shared" si="249"/>
        <v>-0.000000009999951089</v>
      </c>
      <c r="AF104" s="64">
        <f t="shared" si="249"/>
        <v>-0.0007092399999</v>
      </c>
      <c r="AG104" s="64">
        <f t="shared" si="249"/>
        <v>0</v>
      </c>
      <c r="AH104" s="64">
        <f t="shared" si="249"/>
        <v>0</v>
      </c>
      <c r="AI104" s="64">
        <f t="shared" si="249"/>
        <v>0</v>
      </c>
      <c r="AJ104" s="65">
        <f t="shared" si="249"/>
        <v>0</v>
      </c>
      <c r="AK104" s="66">
        <f t="shared" si="249"/>
        <v>0</v>
      </c>
      <c r="AL104" s="66">
        <f t="shared" si="249"/>
        <v>0</v>
      </c>
      <c r="AM104" s="66">
        <f t="shared" si="249"/>
        <v>0</v>
      </c>
      <c r="AN104" s="66">
        <f t="shared" si="249"/>
        <v>0</v>
      </c>
      <c r="AO104" s="66">
        <f t="shared" si="249"/>
        <v>0</v>
      </c>
      <c r="AP104" s="66">
        <f t="shared" si="249"/>
        <v>0</v>
      </c>
      <c r="AQ104" s="66">
        <f t="shared" si="249"/>
        <v>0</v>
      </c>
      <c r="AR104" s="66">
        <f t="shared" si="249"/>
        <v>0</v>
      </c>
      <c r="AS104" s="66">
        <f t="shared" si="249"/>
        <v>0</v>
      </c>
      <c r="AT104" s="66">
        <f t="shared" si="249"/>
        <v>0</v>
      </c>
      <c r="AU104" s="66">
        <f t="shared" si="249"/>
        <v>0</v>
      </c>
      <c r="AV104" s="66">
        <f t="shared" si="249"/>
        <v>0</v>
      </c>
      <c r="AW104" s="66">
        <f t="shared" si="249"/>
        <v>0</v>
      </c>
      <c r="AX104" s="66">
        <f t="shared" si="249"/>
        <v>0</v>
      </c>
      <c r="AY104" s="66">
        <f t="shared" si="249"/>
        <v>0</v>
      </c>
      <c r="AZ104" s="66">
        <f t="shared" si="249"/>
        <v>0</v>
      </c>
      <c r="BA104" s="66">
        <f t="shared" si="249"/>
        <v>0</v>
      </c>
      <c r="BB104" s="66">
        <f t="shared" si="249"/>
        <v>0</v>
      </c>
      <c r="BC104" s="66">
        <f t="shared" si="249"/>
        <v>0</v>
      </c>
      <c r="BD104" s="66">
        <f t="shared" si="249"/>
        <v>0</v>
      </c>
      <c r="BE104" s="66">
        <f t="shared" si="249"/>
        <v>0</v>
      </c>
      <c r="BF104" s="66">
        <f t="shared" si="249"/>
        <v>0</v>
      </c>
      <c r="BG104" s="66">
        <f t="shared" si="249"/>
        <v>0</v>
      </c>
      <c r="BH104" s="66">
        <f t="shared" si="249"/>
        <v>0</v>
      </c>
      <c r="BI104" s="66">
        <f t="shared" si="249"/>
        <v>0</v>
      </c>
      <c r="BJ104" s="66">
        <f t="shared" si="249"/>
        <v>0</v>
      </c>
      <c r="BK104" s="66">
        <f t="shared" si="249"/>
        <v>0</v>
      </c>
      <c r="BL104" s="66">
        <f t="shared" si="249"/>
        <v>0</v>
      </c>
      <c r="BM104" s="66">
        <f t="shared" si="249"/>
        <v>0</v>
      </c>
      <c r="BN104" s="66">
        <f t="shared" si="249"/>
        <v>0</v>
      </c>
      <c r="BO104" s="66">
        <f t="shared" si="249"/>
        <v>0</v>
      </c>
      <c r="BP104" s="66">
        <f t="shared" si="249"/>
        <v>0</v>
      </c>
      <c r="BQ104" s="66">
        <f t="shared" si="249"/>
        <v>0</v>
      </c>
      <c r="BR104" s="66">
        <f t="shared" si="249"/>
        <v>0</v>
      </c>
      <c r="BS104" s="66">
        <f t="shared" si="249"/>
        <v>0</v>
      </c>
      <c r="BT104" s="66">
        <f t="shared" si="249"/>
        <v>0</v>
      </c>
      <c r="BU104" s="66">
        <f t="shared" si="249"/>
        <v>0</v>
      </c>
      <c r="BV104" s="66">
        <f t="shared" si="249"/>
        <v>0</v>
      </c>
      <c r="BW104" s="66">
        <f t="shared" si="249"/>
        <v>0</v>
      </c>
      <c r="BX104" s="6" t="s">
        <v>35</v>
      </c>
      <c r="BY104" s="64">
        <f t="shared" ref="BY104:CP104" si="250">BY58-BY74-BY93</f>
        <v>0</v>
      </c>
      <c r="BZ104" s="64">
        <f t="shared" si="250"/>
        <v>0</v>
      </c>
      <c r="CA104" s="64">
        <f t="shared" si="250"/>
        <v>0</v>
      </c>
      <c r="CB104" s="64">
        <f t="shared" si="250"/>
        <v>0</v>
      </c>
      <c r="CC104" s="64">
        <f t="shared" si="250"/>
        <v>0.00019438</v>
      </c>
      <c r="CD104" s="64">
        <f t="shared" si="250"/>
        <v>0.0001882799999</v>
      </c>
      <c r="CE104" s="64">
        <f t="shared" si="250"/>
        <v>-0.000000009999951089</v>
      </c>
      <c r="CF104" s="64">
        <f t="shared" si="250"/>
        <v>0</v>
      </c>
      <c r="CG104" s="64">
        <f t="shared" si="250"/>
        <v>0</v>
      </c>
      <c r="CH104" s="64">
        <f t="shared" si="250"/>
        <v>0</v>
      </c>
      <c r="CI104" s="64">
        <f t="shared" si="250"/>
        <v>0</v>
      </c>
      <c r="CJ104" s="64">
        <f t="shared" si="250"/>
        <v>0</v>
      </c>
      <c r="CK104" s="64">
        <f t="shared" si="250"/>
        <v>0</v>
      </c>
      <c r="CL104" s="64">
        <f t="shared" si="250"/>
        <v>0</v>
      </c>
      <c r="CM104" s="64">
        <f t="shared" si="250"/>
        <v>0</v>
      </c>
      <c r="CN104" s="64">
        <f t="shared" si="250"/>
        <v>0</v>
      </c>
      <c r="CO104" s="64">
        <f t="shared" si="250"/>
        <v>0</v>
      </c>
      <c r="CP104" s="64">
        <f t="shared" si="250"/>
        <v>0</v>
      </c>
      <c r="CQ104" s="6" t="s">
        <v>35</v>
      </c>
      <c r="CW104" s="67"/>
      <c r="CX104" s="67">
        <f t="shared" ref="CX104:CY104" si="251">AH104</f>
        <v>0</v>
      </c>
      <c r="CY104" s="67">
        <f t="shared" si="251"/>
        <v>0</v>
      </c>
    </row>
    <row r="105" ht="14.25" customHeight="1">
      <c r="B105" s="63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6" t="s">
        <v>35</v>
      </c>
      <c r="CQ105" s="6" t="s">
        <v>35</v>
      </c>
    </row>
    <row r="106" ht="14.25" customHeight="1">
      <c r="B106" s="53" t="s">
        <v>76</v>
      </c>
      <c r="D106" s="64">
        <f t="shared" ref="D106:AJ106" si="252">D78+D87</f>
        <v>12.892</v>
      </c>
      <c r="E106" s="64">
        <f t="shared" si="252"/>
        <v>34.816</v>
      </c>
      <c r="F106" s="64">
        <f t="shared" si="252"/>
        <v>48.589</v>
      </c>
      <c r="G106" s="64">
        <f t="shared" si="252"/>
        <v>65.476</v>
      </c>
      <c r="H106" s="64">
        <f t="shared" si="252"/>
        <v>67.711</v>
      </c>
      <c r="I106" s="64">
        <f t="shared" si="252"/>
        <v>60.742</v>
      </c>
      <c r="J106" s="64">
        <f t="shared" si="252"/>
        <v>62.45</v>
      </c>
      <c r="K106" s="64">
        <f t="shared" si="252"/>
        <v>67.637</v>
      </c>
      <c r="L106" s="64">
        <f t="shared" si="252"/>
        <v>67.101</v>
      </c>
      <c r="M106" s="64">
        <f t="shared" si="252"/>
        <v>83.143</v>
      </c>
      <c r="N106" s="64">
        <f t="shared" si="252"/>
        <v>78.388</v>
      </c>
      <c r="O106" s="64">
        <f t="shared" si="252"/>
        <v>77.811</v>
      </c>
      <c r="P106" s="64">
        <f t="shared" si="252"/>
        <v>71.756</v>
      </c>
      <c r="Q106" s="64">
        <f t="shared" si="252"/>
        <v>71.092</v>
      </c>
      <c r="R106" s="64">
        <f t="shared" si="252"/>
        <v>63.67</v>
      </c>
      <c r="S106" s="64">
        <f t="shared" si="252"/>
        <v>56.11</v>
      </c>
      <c r="T106" s="64">
        <f t="shared" si="252"/>
        <v>49.648</v>
      </c>
      <c r="U106" s="64">
        <f t="shared" si="252"/>
        <v>47.089</v>
      </c>
      <c r="V106" s="64">
        <f t="shared" si="252"/>
        <v>41.213</v>
      </c>
      <c r="W106" s="64">
        <f t="shared" si="252"/>
        <v>60.34</v>
      </c>
      <c r="X106" s="64">
        <f t="shared" si="252"/>
        <v>58.099</v>
      </c>
      <c r="Y106" s="64">
        <f t="shared" si="252"/>
        <v>63.358</v>
      </c>
      <c r="Z106" s="64">
        <f t="shared" si="252"/>
        <v>116.367</v>
      </c>
      <c r="AA106" s="64">
        <f t="shared" si="252"/>
        <v>136.348</v>
      </c>
      <c r="AB106" s="64">
        <f t="shared" si="252"/>
        <v>238.554</v>
      </c>
      <c r="AC106" s="64">
        <f t="shared" si="252"/>
        <v>254.512</v>
      </c>
      <c r="AD106" s="64">
        <f t="shared" si="252"/>
        <v>251.413</v>
      </c>
      <c r="AE106" s="64">
        <f t="shared" si="252"/>
        <v>348.561</v>
      </c>
      <c r="AF106" s="64">
        <f t="shared" si="252"/>
        <v>337.4</v>
      </c>
      <c r="AG106" s="64">
        <f t="shared" si="252"/>
        <v>379.563</v>
      </c>
      <c r="AH106" s="64">
        <f t="shared" si="252"/>
        <v>428.25</v>
      </c>
      <c r="AI106" s="64">
        <f t="shared" si="252"/>
        <v>463.583</v>
      </c>
      <c r="AJ106" s="64">
        <f t="shared" si="252"/>
        <v>647.362</v>
      </c>
      <c r="AK106" s="64">
        <f t="shared" ref="AK106:BW106" si="253">+AK233</f>
        <v>647.362</v>
      </c>
      <c r="AL106" s="64">
        <f t="shared" si="253"/>
        <v>647.362</v>
      </c>
      <c r="AM106" s="64">
        <f t="shared" si="253"/>
        <v>647.362</v>
      </c>
      <c r="AN106" s="64">
        <f t="shared" si="253"/>
        <v>647.362</v>
      </c>
      <c r="AO106" s="64">
        <f t="shared" si="253"/>
        <v>647.362</v>
      </c>
      <c r="AP106" s="64">
        <f t="shared" si="253"/>
        <v>647.362</v>
      </c>
      <c r="AQ106" s="64">
        <f t="shared" si="253"/>
        <v>647.362</v>
      </c>
      <c r="AR106" s="64">
        <f t="shared" si="253"/>
        <v>647.362</v>
      </c>
      <c r="AS106" s="64">
        <f t="shared" si="253"/>
        <v>647.362</v>
      </c>
      <c r="AT106" s="64">
        <f t="shared" si="253"/>
        <v>647.362</v>
      </c>
      <c r="AU106" s="64">
        <f t="shared" si="253"/>
        <v>647.362</v>
      </c>
      <c r="AV106" s="64">
        <f t="shared" si="253"/>
        <v>647.362</v>
      </c>
      <c r="AW106" s="64">
        <f t="shared" si="253"/>
        <v>647.362</v>
      </c>
      <c r="AX106" s="64">
        <f t="shared" si="253"/>
        <v>647.362</v>
      </c>
      <c r="AY106" s="64">
        <f t="shared" si="253"/>
        <v>647.362</v>
      </c>
      <c r="AZ106" s="64">
        <f t="shared" si="253"/>
        <v>647.362</v>
      </c>
      <c r="BA106" s="64">
        <f t="shared" si="253"/>
        <v>647.362</v>
      </c>
      <c r="BB106" s="64">
        <f t="shared" si="253"/>
        <v>647.362</v>
      </c>
      <c r="BC106" s="64">
        <f t="shared" si="253"/>
        <v>647.362</v>
      </c>
      <c r="BD106" s="64">
        <f t="shared" si="253"/>
        <v>647.362</v>
      </c>
      <c r="BE106" s="64">
        <f t="shared" si="253"/>
        <v>647.362</v>
      </c>
      <c r="BF106" s="64">
        <f t="shared" si="253"/>
        <v>647.362</v>
      </c>
      <c r="BG106" s="64">
        <f t="shared" si="253"/>
        <v>647.362</v>
      </c>
      <c r="BH106" s="64">
        <f t="shared" si="253"/>
        <v>647.362</v>
      </c>
      <c r="BI106" s="64">
        <f t="shared" si="253"/>
        <v>647.362</v>
      </c>
      <c r="BJ106" s="64">
        <f t="shared" si="253"/>
        <v>647.362</v>
      </c>
      <c r="BK106" s="64">
        <f t="shared" si="253"/>
        <v>647.362</v>
      </c>
      <c r="BL106" s="64">
        <f t="shared" si="253"/>
        <v>647.362</v>
      </c>
      <c r="BM106" s="64">
        <f t="shared" si="253"/>
        <v>647.362</v>
      </c>
      <c r="BN106" s="64">
        <f t="shared" si="253"/>
        <v>647.362</v>
      </c>
      <c r="BO106" s="64">
        <f t="shared" si="253"/>
        <v>647.362</v>
      </c>
      <c r="BP106" s="64">
        <f t="shared" si="253"/>
        <v>647.362</v>
      </c>
      <c r="BQ106" s="64">
        <f t="shared" si="253"/>
        <v>647.362</v>
      </c>
      <c r="BR106" s="64">
        <f t="shared" si="253"/>
        <v>647.362</v>
      </c>
      <c r="BS106" s="64">
        <f t="shared" si="253"/>
        <v>647.362</v>
      </c>
      <c r="BT106" s="64">
        <f t="shared" si="253"/>
        <v>647.362</v>
      </c>
      <c r="BU106" s="64">
        <f t="shared" si="253"/>
        <v>647.362</v>
      </c>
      <c r="BV106" s="64">
        <f t="shared" si="253"/>
        <v>647.362</v>
      </c>
      <c r="BW106" s="64">
        <f t="shared" si="253"/>
        <v>647.362</v>
      </c>
      <c r="BX106" s="6" t="s">
        <v>35</v>
      </c>
      <c r="BY106" s="64">
        <f t="shared" ref="BY106:CP106" si="254">BY78+BY87</f>
        <v>65.476</v>
      </c>
      <c r="BZ106" s="64">
        <f t="shared" si="254"/>
        <v>67.637</v>
      </c>
      <c r="CA106" s="64">
        <f t="shared" si="254"/>
        <v>77.811</v>
      </c>
      <c r="CB106" s="64">
        <f t="shared" si="254"/>
        <v>56.11</v>
      </c>
      <c r="CC106" s="64">
        <f t="shared" si="254"/>
        <v>60.34</v>
      </c>
      <c r="CD106" s="64">
        <f t="shared" si="254"/>
        <v>136.348</v>
      </c>
      <c r="CE106" s="64">
        <f t="shared" si="254"/>
        <v>348.561</v>
      </c>
      <c r="CF106" s="64">
        <f t="shared" si="254"/>
        <v>463.583</v>
      </c>
      <c r="CG106" s="64">
        <f t="shared" si="254"/>
        <v>647.362</v>
      </c>
      <c r="CH106" s="64">
        <f t="shared" si="254"/>
        <v>647.362</v>
      </c>
      <c r="CI106" s="64">
        <f t="shared" si="254"/>
        <v>647.362</v>
      </c>
      <c r="CJ106" s="64">
        <f t="shared" si="254"/>
        <v>647.362</v>
      </c>
      <c r="CK106" s="64">
        <f t="shared" si="254"/>
        <v>647.362</v>
      </c>
      <c r="CL106" s="64">
        <f t="shared" si="254"/>
        <v>647.362</v>
      </c>
      <c r="CM106" s="64">
        <f t="shared" si="254"/>
        <v>647.362</v>
      </c>
      <c r="CN106" s="64">
        <f t="shared" si="254"/>
        <v>647.362</v>
      </c>
      <c r="CO106" s="64">
        <f t="shared" si="254"/>
        <v>647.362</v>
      </c>
      <c r="CP106" s="64">
        <f t="shared" si="254"/>
        <v>647.362</v>
      </c>
      <c r="CQ106" s="6" t="s">
        <v>35</v>
      </c>
    </row>
    <row r="107" ht="14.25" customHeight="1">
      <c r="B107" s="53" t="s">
        <v>77</v>
      </c>
      <c r="D107" s="64">
        <f t="shared" ref="D107:BW107" si="255">D61</f>
        <v>9.843</v>
      </c>
      <c r="E107" s="64">
        <f t="shared" si="255"/>
        <v>36.073</v>
      </c>
      <c r="F107" s="64">
        <f t="shared" si="255"/>
        <v>4.845</v>
      </c>
      <c r="G107" s="64">
        <f t="shared" si="255"/>
        <v>2.508</v>
      </c>
      <c r="H107" s="64">
        <f t="shared" si="255"/>
        <v>2.408</v>
      </c>
      <c r="I107" s="64">
        <f t="shared" si="255"/>
        <v>5.296</v>
      </c>
      <c r="J107" s="64">
        <f t="shared" si="255"/>
        <v>5.107</v>
      </c>
      <c r="K107" s="64">
        <f t="shared" si="255"/>
        <v>3.428</v>
      </c>
      <c r="L107" s="64">
        <f t="shared" si="255"/>
        <v>5.104</v>
      </c>
      <c r="M107" s="64">
        <f t="shared" si="255"/>
        <v>26.91</v>
      </c>
      <c r="N107" s="64">
        <f t="shared" si="255"/>
        <v>26.669</v>
      </c>
      <c r="O107" s="64">
        <f t="shared" si="255"/>
        <v>44.528</v>
      </c>
      <c r="P107" s="64">
        <f t="shared" si="255"/>
        <v>147.452</v>
      </c>
      <c r="Q107" s="64">
        <f t="shared" si="255"/>
        <v>149.107</v>
      </c>
      <c r="R107" s="64">
        <f t="shared" si="255"/>
        <v>135.441</v>
      </c>
      <c r="S107" s="64">
        <f t="shared" si="255"/>
        <v>110.422</v>
      </c>
      <c r="T107" s="64">
        <f t="shared" si="255"/>
        <v>78.564</v>
      </c>
      <c r="U107" s="64">
        <f t="shared" si="255"/>
        <v>70.557</v>
      </c>
      <c r="V107" s="64">
        <f t="shared" si="255"/>
        <v>71.11</v>
      </c>
      <c r="W107" s="64">
        <f t="shared" si="255"/>
        <v>76.649</v>
      </c>
      <c r="X107" s="64">
        <f t="shared" si="255"/>
        <v>66.407</v>
      </c>
      <c r="Y107" s="64">
        <f t="shared" si="255"/>
        <v>57.448</v>
      </c>
      <c r="Z107" s="64">
        <f t="shared" si="255"/>
        <v>104.02</v>
      </c>
      <c r="AA107" s="64">
        <f t="shared" si="255"/>
        <v>115.887</v>
      </c>
      <c r="AB107" s="64">
        <f t="shared" si="255"/>
        <v>191.237</v>
      </c>
      <c r="AC107" s="64">
        <f t="shared" si="255"/>
        <v>78.864</v>
      </c>
      <c r="AD107" s="64">
        <f t="shared" si="255"/>
        <v>93.009</v>
      </c>
      <c r="AE107" s="64">
        <f t="shared" si="255"/>
        <v>136.902</v>
      </c>
      <c r="AF107" s="64">
        <f t="shared" si="255"/>
        <v>185.841</v>
      </c>
      <c r="AG107" s="64">
        <f t="shared" si="255"/>
        <v>191.546</v>
      </c>
      <c r="AH107" s="64">
        <f t="shared" si="255"/>
        <v>193.115</v>
      </c>
      <c r="AI107" s="64">
        <f t="shared" si="255"/>
        <v>243.739</v>
      </c>
      <c r="AJ107" s="64">
        <f t="shared" si="255"/>
        <v>360.461</v>
      </c>
      <c r="AK107" s="64">
        <f t="shared" si="255"/>
        <v>443.7771534</v>
      </c>
      <c r="AL107" s="64">
        <f t="shared" si="255"/>
        <v>466.4538818</v>
      </c>
      <c r="AM107" s="64">
        <f t="shared" si="255"/>
        <v>451.3483753</v>
      </c>
      <c r="AN107" s="64">
        <f t="shared" si="255"/>
        <v>363.045875</v>
      </c>
      <c r="AO107" s="64">
        <f t="shared" si="255"/>
        <v>457.7082591</v>
      </c>
      <c r="AP107" s="64">
        <f t="shared" si="255"/>
        <v>491.9781107</v>
      </c>
      <c r="AQ107" s="64">
        <f t="shared" si="255"/>
        <v>485.4559179</v>
      </c>
      <c r="AR107" s="64">
        <f t="shared" si="255"/>
        <v>381.0305312</v>
      </c>
      <c r="AS107" s="64">
        <f t="shared" si="255"/>
        <v>489.2525403</v>
      </c>
      <c r="AT107" s="64">
        <f t="shared" si="255"/>
        <v>530.7727589</v>
      </c>
      <c r="AU107" s="64">
        <f t="shared" si="255"/>
        <v>526.2033191</v>
      </c>
      <c r="AV107" s="64">
        <f t="shared" si="255"/>
        <v>413.9711281</v>
      </c>
      <c r="AW107" s="64">
        <f t="shared" si="255"/>
        <v>534.9312023</v>
      </c>
      <c r="AX107" s="64">
        <f t="shared" si="255"/>
        <v>583.3060654</v>
      </c>
      <c r="AY107" s="64">
        <f t="shared" si="255"/>
        <v>580.0551272</v>
      </c>
      <c r="AZ107" s="64">
        <f t="shared" si="255"/>
        <v>457.7872958</v>
      </c>
      <c r="BA107" s="64">
        <f t="shared" si="255"/>
        <v>590.716973</v>
      </c>
      <c r="BB107" s="64">
        <f t="shared" si="255"/>
        <v>644.3223378</v>
      </c>
      <c r="BC107" s="64">
        <f t="shared" si="255"/>
        <v>641.1119243</v>
      </c>
      <c r="BD107" s="64">
        <f t="shared" si="255"/>
        <v>507.9112491</v>
      </c>
      <c r="BE107" s="64">
        <f t="shared" si="255"/>
        <v>653.5860597</v>
      </c>
      <c r="BF107" s="64">
        <f t="shared" si="255"/>
        <v>712.6083785</v>
      </c>
      <c r="BG107" s="64">
        <f t="shared" si="255"/>
        <v>709.5716544</v>
      </c>
      <c r="BH107" s="64">
        <f t="shared" si="255"/>
        <v>564.5242057</v>
      </c>
      <c r="BI107" s="64">
        <f t="shared" si="255"/>
        <v>724.2084011</v>
      </c>
      <c r="BJ107" s="64">
        <f t="shared" si="255"/>
        <v>789.2422262</v>
      </c>
      <c r="BK107" s="64">
        <f t="shared" si="255"/>
        <v>786.4953269</v>
      </c>
      <c r="BL107" s="64">
        <f t="shared" si="255"/>
        <v>628.6068346</v>
      </c>
      <c r="BM107" s="64">
        <f t="shared" si="255"/>
        <v>803.7005929</v>
      </c>
      <c r="BN107" s="64">
        <f t="shared" si="255"/>
        <v>875.3985992</v>
      </c>
      <c r="BO107" s="64">
        <f t="shared" si="255"/>
        <v>873.0600926</v>
      </c>
      <c r="BP107" s="64">
        <f t="shared" si="255"/>
        <v>708.4777488</v>
      </c>
      <c r="BQ107" s="64">
        <f t="shared" si="255"/>
        <v>907.471704</v>
      </c>
      <c r="BR107" s="64">
        <f t="shared" si="255"/>
        <v>993.6529013</v>
      </c>
      <c r="BS107" s="64">
        <f t="shared" si="255"/>
        <v>999.7794711</v>
      </c>
      <c r="BT107" s="64">
        <f t="shared" si="255"/>
        <v>820.0236682</v>
      </c>
      <c r="BU107" s="64">
        <f t="shared" si="255"/>
        <v>1037.681093</v>
      </c>
      <c r="BV107" s="64">
        <f t="shared" si="255"/>
        <v>1132.120483</v>
      </c>
      <c r="BW107" s="64">
        <f t="shared" si="255"/>
        <v>1139.135084</v>
      </c>
      <c r="BX107" s="6" t="s">
        <v>35</v>
      </c>
      <c r="BY107" s="64">
        <f t="shared" ref="BY107:CP107" si="256">BY61</f>
        <v>2.508</v>
      </c>
      <c r="BZ107" s="64">
        <f t="shared" si="256"/>
        <v>3.428</v>
      </c>
      <c r="CA107" s="64">
        <f t="shared" si="256"/>
        <v>44.528</v>
      </c>
      <c r="CB107" s="64">
        <f t="shared" si="256"/>
        <v>110.422</v>
      </c>
      <c r="CC107" s="64">
        <f t="shared" si="256"/>
        <v>76.649</v>
      </c>
      <c r="CD107" s="64">
        <f t="shared" si="256"/>
        <v>115.887</v>
      </c>
      <c r="CE107" s="64">
        <f t="shared" si="256"/>
        <v>136.902</v>
      </c>
      <c r="CF107" s="64">
        <f t="shared" si="256"/>
        <v>243.739</v>
      </c>
      <c r="CG107" s="64">
        <f t="shared" si="256"/>
        <v>451.3483753</v>
      </c>
      <c r="CH107" s="64">
        <f t="shared" si="256"/>
        <v>485.4559179</v>
      </c>
      <c r="CI107" s="64">
        <f t="shared" si="256"/>
        <v>526.2033191</v>
      </c>
      <c r="CJ107" s="64">
        <f t="shared" si="256"/>
        <v>580.0551272</v>
      </c>
      <c r="CK107" s="64">
        <f t="shared" si="256"/>
        <v>641.1119243</v>
      </c>
      <c r="CL107" s="64">
        <f t="shared" si="256"/>
        <v>709.5716544</v>
      </c>
      <c r="CM107" s="64">
        <f t="shared" si="256"/>
        <v>786.4953269</v>
      </c>
      <c r="CN107" s="64">
        <f t="shared" si="256"/>
        <v>873.0600926</v>
      </c>
      <c r="CO107" s="64">
        <f t="shared" si="256"/>
        <v>999.7794711</v>
      </c>
      <c r="CP107" s="64">
        <f t="shared" si="256"/>
        <v>1139.135084</v>
      </c>
      <c r="CQ107" s="6" t="s">
        <v>35</v>
      </c>
    </row>
    <row r="108" ht="14.25" customHeight="1">
      <c r="B108" s="68" t="s">
        <v>78</v>
      </c>
      <c r="C108" s="69"/>
      <c r="D108" s="70">
        <f t="shared" ref="D108:BW108" si="257">D106-D107</f>
        <v>3.049</v>
      </c>
      <c r="E108" s="70">
        <f t="shared" si="257"/>
        <v>-1.257</v>
      </c>
      <c r="F108" s="70">
        <f t="shared" si="257"/>
        <v>43.744</v>
      </c>
      <c r="G108" s="70">
        <f t="shared" si="257"/>
        <v>62.968</v>
      </c>
      <c r="H108" s="70">
        <f t="shared" si="257"/>
        <v>65.303</v>
      </c>
      <c r="I108" s="70">
        <f t="shared" si="257"/>
        <v>55.446</v>
      </c>
      <c r="J108" s="70">
        <f t="shared" si="257"/>
        <v>57.343</v>
      </c>
      <c r="K108" s="70">
        <f t="shared" si="257"/>
        <v>64.209</v>
      </c>
      <c r="L108" s="70">
        <f t="shared" si="257"/>
        <v>61.997</v>
      </c>
      <c r="M108" s="70">
        <f t="shared" si="257"/>
        <v>56.233</v>
      </c>
      <c r="N108" s="70">
        <f t="shared" si="257"/>
        <v>51.719</v>
      </c>
      <c r="O108" s="70">
        <f t="shared" si="257"/>
        <v>33.283</v>
      </c>
      <c r="P108" s="70">
        <f t="shared" si="257"/>
        <v>-75.696</v>
      </c>
      <c r="Q108" s="70">
        <f t="shared" si="257"/>
        <v>-78.015</v>
      </c>
      <c r="R108" s="70">
        <f t="shared" si="257"/>
        <v>-71.771</v>
      </c>
      <c r="S108" s="70">
        <f t="shared" si="257"/>
        <v>-54.312</v>
      </c>
      <c r="T108" s="70">
        <f t="shared" si="257"/>
        <v>-28.916</v>
      </c>
      <c r="U108" s="70">
        <f t="shared" si="257"/>
        <v>-23.468</v>
      </c>
      <c r="V108" s="70">
        <f t="shared" si="257"/>
        <v>-29.897</v>
      </c>
      <c r="W108" s="70">
        <f t="shared" si="257"/>
        <v>-16.309</v>
      </c>
      <c r="X108" s="70">
        <f t="shared" si="257"/>
        <v>-8.308</v>
      </c>
      <c r="Y108" s="70">
        <f t="shared" si="257"/>
        <v>5.91</v>
      </c>
      <c r="Z108" s="70">
        <f t="shared" si="257"/>
        <v>12.347</v>
      </c>
      <c r="AA108" s="70">
        <f t="shared" si="257"/>
        <v>20.461</v>
      </c>
      <c r="AB108" s="70">
        <f t="shared" si="257"/>
        <v>47.317</v>
      </c>
      <c r="AC108" s="70">
        <f t="shared" si="257"/>
        <v>175.648</v>
      </c>
      <c r="AD108" s="70">
        <f t="shared" si="257"/>
        <v>158.404</v>
      </c>
      <c r="AE108" s="70">
        <f t="shared" si="257"/>
        <v>211.659</v>
      </c>
      <c r="AF108" s="70">
        <f t="shared" si="257"/>
        <v>151.559</v>
      </c>
      <c r="AG108" s="70">
        <f t="shared" si="257"/>
        <v>188.017</v>
      </c>
      <c r="AH108" s="70">
        <f t="shared" si="257"/>
        <v>235.135</v>
      </c>
      <c r="AI108" s="70">
        <f t="shared" si="257"/>
        <v>219.844</v>
      </c>
      <c r="AJ108" s="70">
        <f t="shared" si="257"/>
        <v>286.901</v>
      </c>
      <c r="AK108" s="70">
        <f t="shared" si="257"/>
        <v>203.5848466</v>
      </c>
      <c r="AL108" s="70">
        <f t="shared" si="257"/>
        <v>180.9081182</v>
      </c>
      <c r="AM108" s="70">
        <f t="shared" si="257"/>
        <v>196.0136247</v>
      </c>
      <c r="AN108" s="70">
        <f t="shared" si="257"/>
        <v>284.316125</v>
      </c>
      <c r="AO108" s="70">
        <f t="shared" si="257"/>
        <v>189.6537409</v>
      </c>
      <c r="AP108" s="70">
        <f t="shared" si="257"/>
        <v>155.3838893</v>
      </c>
      <c r="AQ108" s="70">
        <f t="shared" si="257"/>
        <v>161.9060821</v>
      </c>
      <c r="AR108" s="70">
        <f t="shared" si="257"/>
        <v>266.3314688</v>
      </c>
      <c r="AS108" s="70">
        <f t="shared" si="257"/>
        <v>158.1094597</v>
      </c>
      <c r="AT108" s="70">
        <f t="shared" si="257"/>
        <v>116.5892411</v>
      </c>
      <c r="AU108" s="70">
        <f t="shared" si="257"/>
        <v>121.1586809</v>
      </c>
      <c r="AV108" s="70">
        <f t="shared" si="257"/>
        <v>233.3908719</v>
      </c>
      <c r="AW108" s="70">
        <f t="shared" si="257"/>
        <v>112.4307977</v>
      </c>
      <c r="AX108" s="70">
        <f t="shared" si="257"/>
        <v>64.05593461</v>
      </c>
      <c r="AY108" s="70">
        <f t="shared" si="257"/>
        <v>67.30687275</v>
      </c>
      <c r="AZ108" s="70">
        <f t="shared" si="257"/>
        <v>189.5747042</v>
      </c>
      <c r="BA108" s="70">
        <f t="shared" si="257"/>
        <v>56.64502698</v>
      </c>
      <c r="BB108" s="70">
        <f t="shared" si="257"/>
        <v>3.039662195</v>
      </c>
      <c r="BC108" s="70">
        <f t="shared" si="257"/>
        <v>6.250075688</v>
      </c>
      <c r="BD108" s="70">
        <f t="shared" si="257"/>
        <v>139.4507509</v>
      </c>
      <c r="BE108" s="70">
        <f t="shared" si="257"/>
        <v>-6.224059723</v>
      </c>
      <c r="BF108" s="70">
        <f t="shared" si="257"/>
        <v>-65.24637848</v>
      </c>
      <c r="BG108" s="70">
        <f t="shared" si="257"/>
        <v>-62.20965439</v>
      </c>
      <c r="BH108" s="70">
        <f t="shared" si="257"/>
        <v>82.83779428</v>
      </c>
      <c r="BI108" s="70">
        <f t="shared" si="257"/>
        <v>-76.84640107</v>
      </c>
      <c r="BJ108" s="70">
        <f t="shared" si="257"/>
        <v>-141.8802262</v>
      </c>
      <c r="BK108" s="70">
        <f t="shared" si="257"/>
        <v>-139.1333269</v>
      </c>
      <c r="BL108" s="70">
        <f t="shared" si="257"/>
        <v>18.75516535</v>
      </c>
      <c r="BM108" s="70">
        <f t="shared" si="257"/>
        <v>-156.3385929</v>
      </c>
      <c r="BN108" s="70">
        <f t="shared" si="257"/>
        <v>-228.0365992</v>
      </c>
      <c r="BO108" s="70">
        <f t="shared" si="257"/>
        <v>-225.6980926</v>
      </c>
      <c r="BP108" s="70">
        <f t="shared" si="257"/>
        <v>-61.11574881</v>
      </c>
      <c r="BQ108" s="70">
        <f t="shared" si="257"/>
        <v>-260.109704</v>
      </c>
      <c r="BR108" s="70">
        <f t="shared" si="257"/>
        <v>-346.2909013</v>
      </c>
      <c r="BS108" s="70">
        <f t="shared" si="257"/>
        <v>-352.4174711</v>
      </c>
      <c r="BT108" s="70">
        <f t="shared" si="257"/>
        <v>-172.6616682</v>
      </c>
      <c r="BU108" s="70">
        <f t="shared" si="257"/>
        <v>-390.3190929</v>
      </c>
      <c r="BV108" s="70">
        <f t="shared" si="257"/>
        <v>-484.758483</v>
      </c>
      <c r="BW108" s="70">
        <f t="shared" si="257"/>
        <v>-491.7730844</v>
      </c>
      <c r="BX108" s="6" t="s">
        <v>35</v>
      </c>
      <c r="BY108" s="70">
        <f t="shared" ref="BY108:CP108" si="258">BY106-BY107</f>
        <v>62.968</v>
      </c>
      <c r="BZ108" s="70">
        <f t="shared" si="258"/>
        <v>64.209</v>
      </c>
      <c r="CA108" s="70">
        <f t="shared" si="258"/>
        <v>33.283</v>
      </c>
      <c r="CB108" s="70">
        <f t="shared" si="258"/>
        <v>-54.312</v>
      </c>
      <c r="CC108" s="70">
        <f t="shared" si="258"/>
        <v>-16.309</v>
      </c>
      <c r="CD108" s="70">
        <f t="shared" si="258"/>
        <v>20.461</v>
      </c>
      <c r="CE108" s="70">
        <f t="shared" si="258"/>
        <v>211.659</v>
      </c>
      <c r="CF108" s="70">
        <f t="shared" si="258"/>
        <v>219.844</v>
      </c>
      <c r="CG108" s="70">
        <f t="shared" si="258"/>
        <v>196.0136247</v>
      </c>
      <c r="CH108" s="70">
        <f t="shared" si="258"/>
        <v>161.9060821</v>
      </c>
      <c r="CI108" s="70">
        <f t="shared" si="258"/>
        <v>121.1586809</v>
      </c>
      <c r="CJ108" s="70">
        <f t="shared" si="258"/>
        <v>67.30687275</v>
      </c>
      <c r="CK108" s="70">
        <f t="shared" si="258"/>
        <v>6.250075688</v>
      </c>
      <c r="CL108" s="70">
        <f t="shared" si="258"/>
        <v>-62.20965439</v>
      </c>
      <c r="CM108" s="70">
        <f t="shared" si="258"/>
        <v>-139.1333269</v>
      </c>
      <c r="CN108" s="70">
        <f t="shared" si="258"/>
        <v>-225.6980926</v>
      </c>
      <c r="CO108" s="70">
        <f t="shared" si="258"/>
        <v>-352.4174711</v>
      </c>
      <c r="CP108" s="70">
        <f t="shared" si="258"/>
        <v>-491.7730844</v>
      </c>
      <c r="CQ108" s="6" t="s">
        <v>35</v>
      </c>
    </row>
    <row r="109" ht="14.25" customHeight="1">
      <c r="B109" s="53" t="s">
        <v>79</v>
      </c>
      <c r="D109" s="64"/>
      <c r="E109" s="64"/>
      <c r="F109" s="64"/>
      <c r="G109" s="64"/>
      <c r="H109" s="64">
        <f t="shared" ref="H109:BW109" si="259">SUM(E52:H52)</f>
        <v>5.3297</v>
      </c>
      <c r="I109" s="64">
        <f t="shared" si="259"/>
        <v>11.3003</v>
      </c>
      <c r="J109" s="64">
        <f t="shared" si="259"/>
        <v>19.02796169</v>
      </c>
      <c r="K109" s="64">
        <f t="shared" si="259"/>
        <v>29.777</v>
      </c>
      <c r="L109" s="64">
        <f t="shared" si="259"/>
        <v>28.47829017</v>
      </c>
      <c r="M109" s="64">
        <f t="shared" si="259"/>
        <v>28.10429017</v>
      </c>
      <c r="N109" s="64">
        <f t="shared" si="259"/>
        <v>25.13307707</v>
      </c>
      <c r="O109" s="64">
        <f t="shared" si="259"/>
        <v>27.465</v>
      </c>
      <c r="P109" s="64">
        <f t="shared" si="259"/>
        <v>37.73470983</v>
      </c>
      <c r="Q109" s="64">
        <f t="shared" si="259"/>
        <v>20.90370983</v>
      </c>
      <c r="R109" s="64">
        <f t="shared" si="259"/>
        <v>19.41926124</v>
      </c>
      <c r="S109" s="64">
        <f t="shared" si="259"/>
        <v>17.011</v>
      </c>
      <c r="T109" s="64">
        <f t="shared" si="259"/>
        <v>6.428</v>
      </c>
      <c r="U109" s="64">
        <f t="shared" si="259"/>
        <v>30.452102</v>
      </c>
      <c r="V109" s="64">
        <f t="shared" si="259"/>
        <v>40.41265922</v>
      </c>
      <c r="W109" s="64">
        <f t="shared" si="259"/>
        <v>41.40225755</v>
      </c>
      <c r="X109" s="64">
        <f t="shared" si="259"/>
        <v>52.58761228</v>
      </c>
      <c r="Y109" s="64">
        <f t="shared" si="259"/>
        <v>64.22651028</v>
      </c>
      <c r="Z109" s="64">
        <f t="shared" si="259"/>
        <v>108.8979531</v>
      </c>
      <c r="AA109" s="64">
        <f t="shared" si="259"/>
        <v>130.7548817</v>
      </c>
      <c r="AB109" s="64">
        <f t="shared" si="259"/>
        <v>147.0383639</v>
      </c>
      <c r="AC109" s="64">
        <f t="shared" si="259"/>
        <v>154.8054628</v>
      </c>
      <c r="AD109" s="64">
        <f t="shared" si="259"/>
        <v>126.9834628</v>
      </c>
      <c r="AE109" s="64">
        <f t="shared" si="259"/>
        <v>126.4589358</v>
      </c>
      <c r="AF109" s="64">
        <f t="shared" si="259"/>
        <v>118.4830988</v>
      </c>
      <c r="AG109" s="64">
        <f t="shared" si="259"/>
        <v>102.532</v>
      </c>
      <c r="AH109" s="64">
        <f t="shared" si="259"/>
        <v>131.052</v>
      </c>
      <c r="AI109" s="64">
        <f t="shared" si="259"/>
        <v>160.6183325</v>
      </c>
      <c r="AJ109" s="64">
        <f t="shared" si="259"/>
        <v>175.9223325</v>
      </c>
      <c r="AK109" s="64">
        <f t="shared" si="259"/>
        <v>200.4519683</v>
      </c>
      <c r="AL109" s="64">
        <f t="shared" si="259"/>
        <v>199.3453098</v>
      </c>
      <c r="AM109" s="64">
        <f t="shared" si="259"/>
        <v>193.946547</v>
      </c>
      <c r="AN109" s="64">
        <f t="shared" si="259"/>
        <v>212.9222141</v>
      </c>
      <c r="AO109" s="64">
        <f t="shared" si="259"/>
        <v>229.7771268</v>
      </c>
      <c r="AP109" s="64">
        <f t="shared" si="259"/>
        <v>236.5413316</v>
      </c>
      <c r="AQ109" s="64">
        <f t="shared" si="259"/>
        <v>250.9016734</v>
      </c>
      <c r="AR109" s="64">
        <f t="shared" si="259"/>
        <v>259.2051069</v>
      </c>
      <c r="AS109" s="64">
        <f t="shared" si="259"/>
        <v>267.092676</v>
      </c>
      <c r="AT109" s="64">
        <f t="shared" si="259"/>
        <v>275.5153512</v>
      </c>
      <c r="AU109" s="64">
        <f t="shared" si="259"/>
        <v>284.0488531</v>
      </c>
      <c r="AV109" s="64">
        <f t="shared" si="259"/>
        <v>291.6320634</v>
      </c>
      <c r="AW109" s="64">
        <f t="shared" si="259"/>
        <v>299.2638661</v>
      </c>
      <c r="AX109" s="64">
        <f t="shared" si="259"/>
        <v>307.6236498</v>
      </c>
      <c r="AY109" s="64">
        <f t="shared" si="259"/>
        <v>316.8013933</v>
      </c>
      <c r="AZ109" s="64">
        <f t="shared" si="259"/>
        <v>323.0393697</v>
      </c>
      <c r="BA109" s="64">
        <f t="shared" si="259"/>
        <v>329.2502688</v>
      </c>
      <c r="BB109" s="64">
        <f t="shared" si="259"/>
        <v>335.9951593</v>
      </c>
      <c r="BC109" s="64">
        <f t="shared" si="259"/>
        <v>343.341717</v>
      </c>
      <c r="BD109" s="64">
        <f t="shared" si="259"/>
        <v>350.2254452</v>
      </c>
      <c r="BE109" s="64">
        <f t="shared" si="259"/>
        <v>357.1054474</v>
      </c>
      <c r="BF109" s="64">
        <f t="shared" si="259"/>
        <v>364.6036819</v>
      </c>
      <c r="BG109" s="64">
        <f t="shared" si="259"/>
        <v>372.7355165</v>
      </c>
      <c r="BH109" s="64">
        <f t="shared" si="259"/>
        <v>380.3349022</v>
      </c>
      <c r="BI109" s="64">
        <f t="shared" si="259"/>
        <v>387.9133398</v>
      </c>
      <c r="BJ109" s="64">
        <f t="shared" si="259"/>
        <v>396.1751476</v>
      </c>
      <c r="BK109" s="64">
        <f t="shared" si="259"/>
        <v>405.1354598</v>
      </c>
      <c r="BL109" s="64">
        <f t="shared" si="259"/>
        <v>413.5159061</v>
      </c>
      <c r="BM109" s="64">
        <f t="shared" si="259"/>
        <v>421.8714584</v>
      </c>
      <c r="BN109" s="64">
        <f t="shared" si="259"/>
        <v>430.9657295</v>
      </c>
      <c r="BO109" s="64">
        <f t="shared" si="259"/>
        <v>440.8178075</v>
      </c>
      <c r="BP109" s="64">
        <f t="shared" si="259"/>
        <v>450.0343297</v>
      </c>
      <c r="BQ109" s="64">
        <f t="shared" si="259"/>
        <v>458.9792063</v>
      </c>
      <c r="BR109" s="64">
        <f t="shared" si="259"/>
        <v>468.4948483</v>
      </c>
      <c r="BS109" s="64">
        <f t="shared" si="259"/>
        <v>478.5994295</v>
      </c>
      <c r="BT109" s="64">
        <f t="shared" si="259"/>
        <v>487.7452566</v>
      </c>
      <c r="BU109" s="64">
        <f t="shared" si="259"/>
        <v>496.869537</v>
      </c>
      <c r="BV109" s="64">
        <f t="shared" si="259"/>
        <v>506.8831372</v>
      </c>
      <c r="BW109" s="64">
        <f t="shared" si="259"/>
        <v>517.8069018</v>
      </c>
      <c r="BX109" s="6" t="s">
        <v>35</v>
      </c>
      <c r="BY109" s="64">
        <f t="shared" ref="BY109:CP109" si="260">BY52</f>
        <v>4.6767</v>
      </c>
      <c r="BZ109" s="64">
        <f t="shared" si="260"/>
        <v>29.777</v>
      </c>
      <c r="CA109" s="64">
        <f t="shared" si="260"/>
        <v>27.465</v>
      </c>
      <c r="CB109" s="64">
        <f t="shared" si="260"/>
        <v>17.011</v>
      </c>
      <c r="CC109" s="64">
        <f t="shared" si="260"/>
        <v>41.40225755</v>
      </c>
      <c r="CD109" s="64">
        <f t="shared" si="260"/>
        <v>130.7548817</v>
      </c>
      <c r="CE109" s="64">
        <f t="shared" si="260"/>
        <v>126.4589358</v>
      </c>
      <c r="CF109" s="64">
        <f t="shared" si="260"/>
        <v>160.6183325</v>
      </c>
      <c r="CG109" s="64">
        <f t="shared" si="260"/>
        <v>193.946547</v>
      </c>
      <c r="CH109" s="64">
        <f t="shared" si="260"/>
        <v>250.9016734</v>
      </c>
      <c r="CI109" s="64">
        <f t="shared" si="260"/>
        <v>284.0488531</v>
      </c>
      <c r="CJ109" s="64">
        <f t="shared" si="260"/>
        <v>316.8013933</v>
      </c>
      <c r="CK109" s="64">
        <f t="shared" si="260"/>
        <v>343.341717</v>
      </c>
      <c r="CL109" s="64">
        <f t="shared" si="260"/>
        <v>372.7355165</v>
      </c>
      <c r="CM109" s="64">
        <f t="shared" si="260"/>
        <v>405.1354598</v>
      </c>
      <c r="CN109" s="64">
        <f t="shared" si="260"/>
        <v>440.8178075</v>
      </c>
      <c r="CO109" s="64">
        <f t="shared" si="260"/>
        <v>478.5994295</v>
      </c>
      <c r="CP109" s="64">
        <f t="shared" si="260"/>
        <v>517.8069018</v>
      </c>
      <c r="CQ109" s="6" t="s">
        <v>35</v>
      </c>
    </row>
    <row r="110" ht="14.25" customHeight="1">
      <c r="B110" s="53" t="s">
        <v>80</v>
      </c>
      <c r="D110" s="64"/>
      <c r="E110" s="64"/>
      <c r="F110" s="64"/>
      <c r="G110" s="64"/>
      <c r="H110" s="71">
        <f t="shared" ref="H110:BW110" si="261">H108/H109</f>
        <v>12.25265962</v>
      </c>
      <c r="I110" s="71">
        <f t="shared" si="261"/>
        <v>4.9065954</v>
      </c>
      <c r="J110" s="71">
        <f t="shared" si="261"/>
        <v>3.013617587</v>
      </c>
      <c r="K110" s="71">
        <f t="shared" si="261"/>
        <v>2.15632871</v>
      </c>
      <c r="L110" s="71">
        <f t="shared" si="261"/>
        <v>2.176991653</v>
      </c>
      <c r="M110" s="71">
        <f t="shared" si="261"/>
        <v>2.000868894</v>
      </c>
      <c r="N110" s="71">
        <f t="shared" si="261"/>
        <v>2.057806128</v>
      </c>
      <c r="O110" s="71">
        <f t="shared" si="261"/>
        <v>1.211833242</v>
      </c>
      <c r="P110" s="71">
        <f t="shared" si="261"/>
        <v>-2.00600456</v>
      </c>
      <c r="Q110" s="71">
        <f t="shared" si="261"/>
        <v>-3.732112655</v>
      </c>
      <c r="R110" s="71">
        <f t="shared" si="261"/>
        <v>-3.69586665</v>
      </c>
      <c r="S110" s="71">
        <f t="shared" si="261"/>
        <v>-3.192757627</v>
      </c>
      <c r="T110" s="71">
        <f t="shared" si="261"/>
        <v>-4.498444306</v>
      </c>
      <c r="U110" s="71">
        <f t="shared" si="261"/>
        <v>-0.7706528764</v>
      </c>
      <c r="V110" s="71">
        <f t="shared" si="261"/>
        <v>-0.7397929406</v>
      </c>
      <c r="W110" s="71">
        <f t="shared" si="261"/>
        <v>-0.3939157178</v>
      </c>
      <c r="X110" s="71">
        <f t="shared" si="261"/>
        <v>-0.1579839745</v>
      </c>
      <c r="Y110" s="71">
        <f t="shared" si="261"/>
        <v>0.09201807749</v>
      </c>
      <c r="Z110" s="71">
        <f t="shared" si="261"/>
        <v>0.1133813782</v>
      </c>
      <c r="AA110" s="71">
        <f t="shared" si="261"/>
        <v>0.1564836412</v>
      </c>
      <c r="AB110" s="71">
        <f t="shared" si="261"/>
        <v>0.3218003706</v>
      </c>
      <c r="AC110" s="71">
        <f t="shared" si="261"/>
        <v>1.134636962</v>
      </c>
      <c r="AD110" s="71">
        <f t="shared" si="261"/>
        <v>1.247438025</v>
      </c>
      <c r="AE110" s="71">
        <f t="shared" si="261"/>
        <v>1.673737002</v>
      </c>
      <c r="AF110" s="71">
        <f t="shared" si="261"/>
        <v>1.279161345</v>
      </c>
      <c r="AG110" s="71">
        <f t="shared" si="261"/>
        <v>1.833739711</v>
      </c>
      <c r="AH110" s="71">
        <f t="shared" si="261"/>
        <v>1.794211458</v>
      </c>
      <c r="AI110" s="71">
        <f t="shared" si="261"/>
        <v>1.368735415</v>
      </c>
      <c r="AJ110" s="71">
        <f t="shared" si="261"/>
        <v>1.630838995</v>
      </c>
      <c r="AK110" s="71">
        <f t="shared" si="261"/>
        <v>1.015629072</v>
      </c>
      <c r="AL110" s="71">
        <f t="shared" si="261"/>
        <v>0.9075112848</v>
      </c>
      <c r="AM110" s="71">
        <f t="shared" si="261"/>
        <v>1.010657976</v>
      </c>
      <c r="AN110" s="71">
        <f t="shared" si="261"/>
        <v>1.335305131</v>
      </c>
      <c r="AO110" s="71">
        <f t="shared" si="261"/>
        <v>0.8253812883</v>
      </c>
      <c r="AP110" s="71">
        <f t="shared" si="261"/>
        <v>0.656899529</v>
      </c>
      <c r="AQ110" s="71">
        <f t="shared" si="261"/>
        <v>0.6452969402</v>
      </c>
      <c r="AR110" s="71">
        <f t="shared" si="261"/>
        <v>1.027493138</v>
      </c>
      <c r="AS110" s="71">
        <f t="shared" si="261"/>
        <v>0.5919647896</v>
      </c>
      <c r="AT110" s="71">
        <f t="shared" si="261"/>
        <v>0.4231678584</v>
      </c>
      <c r="AU110" s="71">
        <f t="shared" si="261"/>
        <v>0.4265417008</v>
      </c>
      <c r="AV110" s="71">
        <f t="shared" si="261"/>
        <v>0.8002922218</v>
      </c>
      <c r="AW110" s="71">
        <f t="shared" si="261"/>
        <v>0.375691189</v>
      </c>
      <c r="AX110" s="71">
        <f t="shared" si="261"/>
        <v>0.2082282511</v>
      </c>
      <c r="AY110" s="71">
        <f t="shared" si="261"/>
        <v>0.2124576286</v>
      </c>
      <c r="AZ110" s="71">
        <f t="shared" si="261"/>
        <v>0.5868470593</v>
      </c>
      <c r="BA110" s="71">
        <f t="shared" si="261"/>
        <v>0.1720424623</v>
      </c>
      <c r="BB110" s="71">
        <f t="shared" si="261"/>
        <v>0.009046744013</v>
      </c>
      <c r="BC110" s="71">
        <f t="shared" si="261"/>
        <v>0.01820365944</v>
      </c>
      <c r="BD110" s="71">
        <f t="shared" si="261"/>
        <v>0.3981742412</v>
      </c>
      <c r="BE110" s="71">
        <f t="shared" si="261"/>
        <v>-0.01742919289</v>
      </c>
      <c r="BF110" s="71">
        <f t="shared" si="261"/>
        <v>-0.1789515074</v>
      </c>
      <c r="BG110" s="71">
        <f t="shared" si="261"/>
        <v>-0.1669002594</v>
      </c>
      <c r="BH110" s="71">
        <f t="shared" si="261"/>
        <v>0.2178022417</v>
      </c>
      <c r="BI110" s="71">
        <f t="shared" si="261"/>
        <v>-0.198101981</v>
      </c>
      <c r="BJ110" s="71">
        <f t="shared" si="261"/>
        <v>-0.3581250038</v>
      </c>
      <c r="BK110" s="71">
        <f t="shared" si="261"/>
        <v>-0.3434242141</v>
      </c>
      <c r="BL110" s="71">
        <f t="shared" si="261"/>
        <v>0.04535536621</v>
      </c>
      <c r="BM110" s="71">
        <f t="shared" si="261"/>
        <v>-0.3705834793</v>
      </c>
      <c r="BN110" s="71">
        <f t="shared" si="261"/>
        <v>-0.5291293104</v>
      </c>
      <c r="BO110" s="71">
        <f t="shared" si="261"/>
        <v>-0.5119985824</v>
      </c>
      <c r="BP110" s="71">
        <f t="shared" si="261"/>
        <v>-0.135802415</v>
      </c>
      <c r="BQ110" s="71">
        <f t="shared" si="261"/>
        <v>-0.5667134817</v>
      </c>
      <c r="BR110" s="71">
        <f t="shared" si="261"/>
        <v>-0.7391562631</v>
      </c>
      <c r="BS110" s="71">
        <f t="shared" si="261"/>
        <v>-0.7363516323</v>
      </c>
      <c r="BT110" s="71">
        <f t="shared" si="261"/>
        <v>-0.353999687</v>
      </c>
      <c r="BU110" s="71">
        <f t="shared" si="261"/>
        <v>-0.7855564969</v>
      </c>
      <c r="BV110" s="71">
        <f t="shared" si="261"/>
        <v>-0.9563515679</v>
      </c>
      <c r="BW110" s="71">
        <f t="shared" si="261"/>
        <v>-0.9497229232</v>
      </c>
      <c r="BX110" s="6" t="s">
        <v>35</v>
      </c>
      <c r="BY110" s="71">
        <f t="shared" ref="BY110:CP110" si="262">BY108/BY109</f>
        <v>13.46419484</v>
      </c>
      <c r="BZ110" s="71">
        <f t="shared" si="262"/>
        <v>2.15632871</v>
      </c>
      <c r="CA110" s="71">
        <f t="shared" si="262"/>
        <v>1.211833242</v>
      </c>
      <c r="CB110" s="71">
        <f t="shared" si="262"/>
        <v>-3.192757627</v>
      </c>
      <c r="CC110" s="71">
        <f t="shared" si="262"/>
        <v>-0.3939157178</v>
      </c>
      <c r="CD110" s="71">
        <f t="shared" si="262"/>
        <v>0.1564836412</v>
      </c>
      <c r="CE110" s="71">
        <f t="shared" si="262"/>
        <v>1.673737002</v>
      </c>
      <c r="CF110" s="71">
        <f t="shared" si="262"/>
        <v>1.368735415</v>
      </c>
      <c r="CG110" s="71">
        <f t="shared" si="262"/>
        <v>1.010657976</v>
      </c>
      <c r="CH110" s="71">
        <f t="shared" si="262"/>
        <v>0.6452969402</v>
      </c>
      <c r="CI110" s="71">
        <f t="shared" si="262"/>
        <v>0.4265417008</v>
      </c>
      <c r="CJ110" s="71">
        <f t="shared" si="262"/>
        <v>0.2124576286</v>
      </c>
      <c r="CK110" s="71">
        <f t="shared" si="262"/>
        <v>0.01820365944</v>
      </c>
      <c r="CL110" s="71">
        <f t="shared" si="262"/>
        <v>-0.1669002594</v>
      </c>
      <c r="CM110" s="71">
        <f t="shared" si="262"/>
        <v>-0.3434242141</v>
      </c>
      <c r="CN110" s="71">
        <f t="shared" si="262"/>
        <v>-0.5119985824</v>
      </c>
      <c r="CO110" s="71">
        <f t="shared" si="262"/>
        <v>-0.7363516323</v>
      </c>
      <c r="CP110" s="71">
        <f t="shared" si="262"/>
        <v>-0.9497229232</v>
      </c>
      <c r="CQ110" s="6" t="s">
        <v>35</v>
      </c>
    </row>
    <row r="111" ht="14.25" customHeight="1">
      <c r="B111" s="53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" t="s">
        <v>35</v>
      </c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" t="s">
        <v>35</v>
      </c>
    </row>
    <row r="112" ht="14.25" customHeight="1">
      <c r="B112" s="53" t="s">
        <v>81</v>
      </c>
      <c r="D112" s="64"/>
      <c r="E112" s="64"/>
      <c r="F112" s="64"/>
      <c r="G112" s="64">
        <f t="shared" ref="G112:BW112" si="263">+G133</f>
        <v>49.577</v>
      </c>
      <c r="H112" s="64">
        <f t="shared" si="263"/>
        <v>47.089</v>
      </c>
      <c r="I112" s="64">
        <f t="shared" si="263"/>
        <v>36.082</v>
      </c>
      <c r="J112" s="64">
        <f t="shared" si="263"/>
        <v>38.304</v>
      </c>
      <c r="K112" s="64">
        <f t="shared" si="263"/>
        <v>47.966</v>
      </c>
      <c r="L112" s="64">
        <f t="shared" si="263"/>
        <v>45.99</v>
      </c>
      <c r="M112" s="64">
        <f t="shared" si="263"/>
        <v>39.085</v>
      </c>
      <c r="N112" s="64">
        <f t="shared" si="263"/>
        <v>35.044</v>
      </c>
      <c r="O112" s="64">
        <f t="shared" si="263"/>
        <v>38.978</v>
      </c>
      <c r="P112" s="64">
        <f t="shared" si="263"/>
        <v>61.325</v>
      </c>
      <c r="Q112" s="64">
        <f t="shared" si="263"/>
        <v>44.879</v>
      </c>
      <c r="R112" s="64">
        <f t="shared" si="263"/>
        <v>50.593</v>
      </c>
      <c r="S112" s="64">
        <f t="shared" si="263"/>
        <v>53.571</v>
      </c>
      <c r="T112" s="64">
        <f t="shared" si="263"/>
        <v>62.283</v>
      </c>
      <c r="U112" s="64">
        <f t="shared" si="263"/>
        <v>74.135</v>
      </c>
      <c r="V112" s="64">
        <f t="shared" si="263"/>
        <v>63.186</v>
      </c>
      <c r="W112" s="64">
        <f t="shared" si="263"/>
        <v>70.32</v>
      </c>
      <c r="X112" s="64">
        <f t="shared" si="263"/>
        <v>70.85399999</v>
      </c>
      <c r="Y112" s="64">
        <f t="shared" si="263"/>
        <v>83.21700005</v>
      </c>
      <c r="Z112" s="64">
        <f t="shared" si="263"/>
        <v>108.38</v>
      </c>
      <c r="AA112" s="64">
        <f t="shared" si="263"/>
        <v>104.3109999</v>
      </c>
      <c r="AB112" s="64">
        <f t="shared" si="263"/>
        <v>119.154</v>
      </c>
      <c r="AC112" s="64">
        <f t="shared" si="263"/>
        <v>162.691</v>
      </c>
      <c r="AD112" s="64">
        <f t="shared" si="263"/>
        <v>118.183</v>
      </c>
      <c r="AE112" s="64">
        <f t="shared" si="263"/>
        <v>162.511</v>
      </c>
      <c r="AF112" s="64">
        <f t="shared" si="263"/>
        <v>159.215</v>
      </c>
      <c r="AG112" s="64">
        <f t="shared" si="263"/>
        <v>143.976</v>
      </c>
      <c r="AH112" s="64">
        <f t="shared" si="263"/>
        <v>181.101</v>
      </c>
      <c r="AI112" s="64">
        <f t="shared" si="263"/>
        <v>183.402</v>
      </c>
      <c r="AJ112" s="64">
        <f t="shared" si="263"/>
        <v>250.39</v>
      </c>
      <c r="AK112" s="64">
        <f t="shared" si="263"/>
        <v>163.8665278</v>
      </c>
      <c r="AL112" s="64">
        <f t="shared" si="263"/>
        <v>137.0298394</v>
      </c>
      <c r="AM112" s="64">
        <f t="shared" si="263"/>
        <v>156.2892492</v>
      </c>
      <c r="AN112" s="64">
        <f t="shared" si="263"/>
        <v>255.647444</v>
      </c>
      <c r="AO112" s="64">
        <f t="shared" si="263"/>
        <v>170.3269634</v>
      </c>
      <c r="AP112" s="64">
        <f t="shared" si="263"/>
        <v>145.3590595</v>
      </c>
      <c r="AQ112" s="64">
        <f t="shared" si="263"/>
        <v>164.5420038</v>
      </c>
      <c r="AR112" s="64">
        <f t="shared" si="263"/>
        <v>283.2734199</v>
      </c>
      <c r="AS112" s="64">
        <f t="shared" si="263"/>
        <v>187.963242</v>
      </c>
      <c r="AT112" s="64">
        <f t="shared" si="263"/>
        <v>159.7184063</v>
      </c>
      <c r="AU112" s="64">
        <f t="shared" si="263"/>
        <v>180.1109288</v>
      </c>
      <c r="AV112" s="64">
        <f t="shared" si="263"/>
        <v>309.5142295</v>
      </c>
      <c r="AW112" s="64">
        <f t="shared" si="263"/>
        <v>205.3750685</v>
      </c>
      <c r="AX112" s="64">
        <f t="shared" si="263"/>
        <v>174.5137948</v>
      </c>
      <c r="AY112" s="64">
        <f t="shared" si="263"/>
        <v>196.7953625</v>
      </c>
      <c r="AZ112" s="64">
        <f t="shared" si="263"/>
        <v>338.1858358</v>
      </c>
      <c r="BA112" s="64">
        <f t="shared" si="263"/>
        <v>224.3998258</v>
      </c>
      <c r="BB112" s="64">
        <f t="shared" si="263"/>
        <v>190.6797424</v>
      </c>
      <c r="BC112" s="64">
        <f t="shared" si="263"/>
        <v>215.0253455</v>
      </c>
      <c r="BD112" s="64">
        <f t="shared" si="263"/>
        <v>369.5134137</v>
      </c>
      <c r="BE112" s="64">
        <f t="shared" si="263"/>
        <v>245.1869265</v>
      </c>
      <c r="BF112" s="64">
        <f t="shared" si="263"/>
        <v>208.3432098</v>
      </c>
      <c r="BG112" s="64">
        <f t="shared" si="263"/>
        <v>234.9440486</v>
      </c>
      <c r="BH112" s="64">
        <f t="shared" si="263"/>
        <v>403.742997</v>
      </c>
      <c r="BI112" s="64">
        <f t="shared" si="263"/>
        <v>267.8996239</v>
      </c>
      <c r="BJ112" s="64">
        <f t="shared" si="263"/>
        <v>227.6429186</v>
      </c>
      <c r="BK112" s="64">
        <f t="shared" si="263"/>
        <v>256.7079051</v>
      </c>
      <c r="BL112" s="64">
        <f t="shared" si="263"/>
        <v>441.1434108</v>
      </c>
      <c r="BM112" s="64">
        <f t="shared" si="263"/>
        <v>292.716294</v>
      </c>
      <c r="BN112" s="64">
        <f t="shared" si="263"/>
        <v>248.7304406</v>
      </c>
      <c r="BO112" s="64">
        <f t="shared" si="263"/>
        <v>280.4878392</v>
      </c>
      <c r="BP112" s="64">
        <f t="shared" si="263"/>
        <v>482.0083824</v>
      </c>
      <c r="BQ112" s="64">
        <f t="shared" si="263"/>
        <v>319.8318368</v>
      </c>
      <c r="BR112" s="64">
        <f t="shared" si="263"/>
        <v>271.7713886</v>
      </c>
      <c r="BS112" s="64">
        <f t="shared" si="263"/>
        <v>306.4706087</v>
      </c>
      <c r="BT112" s="64">
        <f t="shared" si="263"/>
        <v>526.6588483</v>
      </c>
      <c r="BU112" s="64">
        <f t="shared" si="263"/>
        <v>349.4592065</v>
      </c>
      <c r="BV112" s="64">
        <f t="shared" si="263"/>
        <v>296.9467166</v>
      </c>
      <c r="BW112" s="64">
        <f t="shared" si="263"/>
        <v>334.8602716</v>
      </c>
      <c r="BX112" s="6" t="s">
        <v>35</v>
      </c>
      <c r="BY112" s="64">
        <f t="shared" ref="BY112:CP112" si="264">+BY133</f>
        <v>37.704</v>
      </c>
      <c r="BZ112" s="64">
        <f t="shared" si="264"/>
        <v>29.236</v>
      </c>
      <c r="CA112" s="64">
        <f t="shared" si="264"/>
        <v>18.571</v>
      </c>
      <c r="CB112" s="64">
        <f t="shared" si="264"/>
        <v>35.104</v>
      </c>
      <c r="CC112" s="64">
        <f t="shared" si="264"/>
        <v>62.207</v>
      </c>
      <c r="CD112" s="64">
        <f t="shared" si="264"/>
        <v>108.1349999</v>
      </c>
      <c r="CE112" s="64">
        <f t="shared" si="264"/>
        <v>164.09</v>
      </c>
      <c r="CF112" s="64">
        <f t="shared" si="264"/>
        <v>179.808</v>
      </c>
      <c r="CG112" s="64">
        <f t="shared" si="264"/>
        <v>152.7835487</v>
      </c>
      <c r="CH112" s="64">
        <f t="shared" si="264"/>
        <v>160.6448343</v>
      </c>
      <c r="CI112" s="64">
        <f t="shared" si="264"/>
        <v>175.8527481</v>
      </c>
      <c r="CJ112" s="64">
        <f t="shared" si="264"/>
        <v>192.1427286</v>
      </c>
      <c r="CK112" s="64">
        <f t="shared" si="264"/>
        <v>209.9417185</v>
      </c>
      <c r="CL112" s="64">
        <f t="shared" si="264"/>
        <v>229.3895039</v>
      </c>
      <c r="CM112" s="64">
        <f t="shared" si="264"/>
        <v>250.6388195</v>
      </c>
      <c r="CN112" s="64">
        <f t="shared" si="264"/>
        <v>273.8565486</v>
      </c>
      <c r="CO112" s="64">
        <f t="shared" si="264"/>
        <v>299.2250338</v>
      </c>
      <c r="CP112" s="64">
        <f t="shared" si="264"/>
        <v>326.9435086</v>
      </c>
      <c r="CQ112" s="6" t="s">
        <v>35</v>
      </c>
    </row>
    <row r="113" ht="14.25" customHeight="1">
      <c r="B113" s="53" t="s">
        <v>82</v>
      </c>
      <c r="D113" s="64"/>
      <c r="E113" s="64"/>
      <c r="F113" s="64"/>
      <c r="G113" s="64">
        <f t="shared" ref="G113:BW113" si="265">G70+G71</f>
        <v>74.176</v>
      </c>
      <c r="H113" s="64">
        <f t="shared" si="265"/>
        <v>75.253</v>
      </c>
      <c r="I113" s="64">
        <f t="shared" si="265"/>
        <v>75.221</v>
      </c>
      <c r="J113" s="64">
        <f t="shared" si="265"/>
        <v>73.498</v>
      </c>
      <c r="K113" s="64">
        <f t="shared" si="265"/>
        <v>74.344</v>
      </c>
      <c r="L113" s="64">
        <f t="shared" si="265"/>
        <v>84.667</v>
      </c>
      <c r="M113" s="64">
        <f t="shared" si="265"/>
        <v>85.821</v>
      </c>
      <c r="N113" s="64">
        <f t="shared" si="265"/>
        <v>85.447</v>
      </c>
      <c r="O113" s="64">
        <f t="shared" si="265"/>
        <v>81.58</v>
      </c>
      <c r="P113" s="64">
        <f t="shared" si="265"/>
        <v>78.365</v>
      </c>
      <c r="Q113" s="64">
        <f t="shared" si="265"/>
        <v>75.723</v>
      </c>
      <c r="R113" s="64">
        <f t="shared" si="265"/>
        <v>75.984</v>
      </c>
      <c r="S113" s="64">
        <f t="shared" si="265"/>
        <v>85.373</v>
      </c>
      <c r="T113" s="64">
        <f t="shared" si="265"/>
        <v>101.481</v>
      </c>
      <c r="U113" s="64">
        <f t="shared" si="265"/>
        <v>100.857</v>
      </c>
      <c r="V113" s="64">
        <f t="shared" si="265"/>
        <v>105.918</v>
      </c>
      <c r="W113" s="64">
        <f t="shared" si="265"/>
        <v>107.649</v>
      </c>
      <c r="X113" s="64">
        <f t="shared" si="265"/>
        <v>143.116</v>
      </c>
      <c r="Y113" s="64">
        <f t="shared" si="265"/>
        <v>161.677</v>
      </c>
      <c r="Z113" s="64">
        <f t="shared" si="265"/>
        <v>184.785</v>
      </c>
      <c r="AA113" s="64">
        <f t="shared" si="265"/>
        <v>205.785</v>
      </c>
      <c r="AB113" s="64">
        <f t="shared" si="265"/>
        <v>246.722</v>
      </c>
      <c r="AC113" s="64">
        <f t="shared" si="265"/>
        <v>267.728</v>
      </c>
      <c r="AD113" s="64">
        <f t="shared" si="265"/>
        <v>289.246</v>
      </c>
      <c r="AE113" s="64">
        <f t="shared" si="265"/>
        <v>315.241</v>
      </c>
      <c r="AF113" s="64">
        <f t="shared" si="265"/>
        <v>324.184</v>
      </c>
      <c r="AG113" s="64">
        <f t="shared" si="265"/>
        <v>360.28</v>
      </c>
      <c r="AH113" s="64">
        <f t="shared" si="265"/>
        <v>492.387</v>
      </c>
      <c r="AI113" s="64">
        <f t="shared" si="265"/>
        <v>547.253</v>
      </c>
      <c r="AJ113" s="64">
        <f t="shared" si="265"/>
        <v>521.72</v>
      </c>
      <c r="AK113" s="64">
        <f t="shared" si="265"/>
        <v>527.14296</v>
      </c>
      <c r="AL113" s="64">
        <f t="shared" si="265"/>
        <v>543.8662033</v>
      </c>
      <c r="AM113" s="64">
        <f t="shared" si="265"/>
        <v>552.5947981</v>
      </c>
      <c r="AN113" s="64">
        <f t="shared" si="265"/>
        <v>557.0452766</v>
      </c>
      <c r="AO113" s="64">
        <f t="shared" si="265"/>
        <v>561.4034417</v>
      </c>
      <c r="AP113" s="64">
        <f t="shared" si="265"/>
        <v>566.842718</v>
      </c>
      <c r="AQ113" s="64">
        <f t="shared" si="265"/>
        <v>574.9039403</v>
      </c>
      <c r="AR113" s="64">
        <f t="shared" si="265"/>
        <v>580.918037</v>
      </c>
      <c r="AS113" s="64">
        <f t="shared" si="265"/>
        <v>586.6742928</v>
      </c>
      <c r="AT113" s="64">
        <f t="shared" si="265"/>
        <v>593.2976581</v>
      </c>
      <c r="AU113" s="64">
        <f t="shared" si="265"/>
        <v>603.1054206</v>
      </c>
      <c r="AV113" s="64">
        <f t="shared" si="265"/>
        <v>610.6622291</v>
      </c>
      <c r="AW113" s="64">
        <f t="shared" si="265"/>
        <v>617.8397263</v>
      </c>
      <c r="AX113" s="64">
        <f t="shared" si="265"/>
        <v>625.8131264</v>
      </c>
      <c r="AY113" s="64">
        <f t="shared" si="265"/>
        <v>637.2456895</v>
      </c>
      <c r="AZ113" s="64">
        <f t="shared" si="265"/>
        <v>646.2094488</v>
      </c>
      <c r="BA113" s="64">
        <f t="shared" si="265"/>
        <v>654.751063</v>
      </c>
      <c r="BB113" s="64">
        <f t="shared" si="265"/>
        <v>664.1821842</v>
      </c>
      <c r="BC113" s="64">
        <f t="shared" si="265"/>
        <v>677.3548387</v>
      </c>
      <c r="BD113" s="64">
        <f t="shared" si="265"/>
        <v>687.7879787</v>
      </c>
      <c r="BE113" s="64">
        <f t="shared" si="265"/>
        <v>697.7263123</v>
      </c>
      <c r="BF113" s="64">
        <f t="shared" si="265"/>
        <v>708.6216531</v>
      </c>
      <c r="BG113" s="64">
        <f t="shared" si="265"/>
        <v>723.5908566</v>
      </c>
      <c r="BH113" s="64">
        <f t="shared" si="265"/>
        <v>735.5515035</v>
      </c>
      <c r="BI113" s="64">
        <f t="shared" si="265"/>
        <v>746.9548287</v>
      </c>
      <c r="BJ113" s="64">
        <f t="shared" si="265"/>
        <v>759.3810456</v>
      </c>
      <c r="BK113" s="64">
        <f t="shared" si="265"/>
        <v>776.2380284</v>
      </c>
      <c r="BL113" s="64">
        <f t="shared" si="265"/>
        <v>789.7905843</v>
      </c>
      <c r="BM113" s="64">
        <f t="shared" si="265"/>
        <v>802.7195171</v>
      </c>
      <c r="BN113" s="64">
        <f t="shared" si="265"/>
        <v>816.7512845</v>
      </c>
      <c r="BO113" s="64">
        <f t="shared" si="265"/>
        <v>835.6091853</v>
      </c>
      <c r="BP113" s="64">
        <f t="shared" si="265"/>
        <v>843.5956232</v>
      </c>
      <c r="BQ113" s="64">
        <f t="shared" si="265"/>
        <v>851.1607073</v>
      </c>
      <c r="BR113" s="64">
        <f t="shared" si="265"/>
        <v>859.8719855</v>
      </c>
      <c r="BS113" s="64">
        <f t="shared" si="265"/>
        <v>873.1152002</v>
      </c>
      <c r="BT113" s="64">
        <f t="shared" si="265"/>
        <v>883.1900999</v>
      </c>
      <c r="BU113" s="64">
        <f t="shared" si="265"/>
        <v>892.7591227</v>
      </c>
      <c r="BV113" s="64">
        <f t="shared" si="265"/>
        <v>903.5364064</v>
      </c>
      <c r="BW113" s="64">
        <f t="shared" si="265"/>
        <v>919.2227633</v>
      </c>
      <c r="BX113" s="6" t="s">
        <v>35</v>
      </c>
      <c r="BY113" s="64">
        <f t="shared" ref="BY113:CP113" si="266">BY70+BY71</f>
        <v>74.176</v>
      </c>
      <c r="BZ113" s="64">
        <f t="shared" si="266"/>
        <v>74.344</v>
      </c>
      <c r="CA113" s="64">
        <f t="shared" si="266"/>
        <v>81.58</v>
      </c>
      <c r="CB113" s="64">
        <f t="shared" si="266"/>
        <v>85.373</v>
      </c>
      <c r="CC113" s="64">
        <f t="shared" si="266"/>
        <v>107.649</v>
      </c>
      <c r="CD113" s="64">
        <f t="shared" si="266"/>
        <v>205.785</v>
      </c>
      <c r="CE113" s="64">
        <f t="shared" si="266"/>
        <v>315.241</v>
      </c>
      <c r="CF113" s="64">
        <f t="shared" si="266"/>
        <v>547.253</v>
      </c>
      <c r="CG113" s="64">
        <f t="shared" si="266"/>
        <v>552.5947981</v>
      </c>
      <c r="CH113" s="64">
        <f t="shared" si="266"/>
        <v>574.9039403</v>
      </c>
      <c r="CI113" s="64">
        <f t="shared" si="266"/>
        <v>603.1054206</v>
      </c>
      <c r="CJ113" s="64">
        <f t="shared" si="266"/>
        <v>637.2456895</v>
      </c>
      <c r="CK113" s="64">
        <f t="shared" si="266"/>
        <v>677.3548387</v>
      </c>
      <c r="CL113" s="64">
        <f t="shared" si="266"/>
        <v>723.5908566</v>
      </c>
      <c r="CM113" s="64">
        <f t="shared" si="266"/>
        <v>776.2380284</v>
      </c>
      <c r="CN113" s="64">
        <f t="shared" si="266"/>
        <v>835.6091853</v>
      </c>
      <c r="CO113" s="64">
        <f t="shared" si="266"/>
        <v>873.1152002</v>
      </c>
      <c r="CP113" s="64">
        <f t="shared" si="266"/>
        <v>919.2227633</v>
      </c>
      <c r="CQ113" s="6" t="s">
        <v>35</v>
      </c>
    </row>
    <row r="114" ht="14.25" customHeight="1">
      <c r="B114" s="68" t="s">
        <v>83</v>
      </c>
      <c r="D114" s="64"/>
      <c r="E114" s="64"/>
      <c r="F114" s="64"/>
      <c r="G114" s="70">
        <f t="shared" ref="G114:BW114" si="267">+G112+G113</f>
        <v>123.753</v>
      </c>
      <c r="H114" s="70">
        <f t="shared" si="267"/>
        <v>122.342</v>
      </c>
      <c r="I114" s="70">
        <f t="shared" si="267"/>
        <v>111.303</v>
      </c>
      <c r="J114" s="70">
        <f t="shared" si="267"/>
        <v>111.802</v>
      </c>
      <c r="K114" s="70">
        <f t="shared" si="267"/>
        <v>122.31</v>
      </c>
      <c r="L114" s="70">
        <f t="shared" si="267"/>
        <v>130.657</v>
      </c>
      <c r="M114" s="70">
        <f t="shared" si="267"/>
        <v>124.906</v>
      </c>
      <c r="N114" s="70">
        <f t="shared" si="267"/>
        <v>120.491</v>
      </c>
      <c r="O114" s="70">
        <f t="shared" si="267"/>
        <v>120.558</v>
      </c>
      <c r="P114" s="70">
        <f t="shared" si="267"/>
        <v>139.69</v>
      </c>
      <c r="Q114" s="70">
        <f t="shared" si="267"/>
        <v>120.602</v>
      </c>
      <c r="R114" s="70">
        <f t="shared" si="267"/>
        <v>126.577</v>
      </c>
      <c r="S114" s="70">
        <f t="shared" si="267"/>
        <v>138.944</v>
      </c>
      <c r="T114" s="70">
        <f t="shared" si="267"/>
        <v>163.764</v>
      </c>
      <c r="U114" s="70">
        <f t="shared" si="267"/>
        <v>174.992</v>
      </c>
      <c r="V114" s="70">
        <f t="shared" si="267"/>
        <v>169.104</v>
      </c>
      <c r="W114" s="70">
        <f t="shared" si="267"/>
        <v>177.969</v>
      </c>
      <c r="X114" s="70">
        <f t="shared" si="267"/>
        <v>213.97</v>
      </c>
      <c r="Y114" s="70">
        <f t="shared" si="267"/>
        <v>244.8940001</v>
      </c>
      <c r="Z114" s="70">
        <f t="shared" si="267"/>
        <v>293.165</v>
      </c>
      <c r="AA114" s="70">
        <f t="shared" si="267"/>
        <v>310.0959999</v>
      </c>
      <c r="AB114" s="70">
        <f t="shared" si="267"/>
        <v>365.876</v>
      </c>
      <c r="AC114" s="70">
        <f t="shared" si="267"/>
        <v>430.419</v>
      </c>
      <c r="AD114" s="70">
        <f t="shared" si="267"/>
        <v>407.429</v>
      </c>
      <c r="AE114" s="70">
        <f t="shared" si="267"/>
        <v>477.752</v>
      </c>
      <c r="AF114" s="70">
        <f t="shared" si="267"/>
        <v>483.399</v>
      </c>
      <c r="AG114" s="70">
        <f t="shared" si="267"/>
        <v>504.256</v>
      </c>
      <c r="AH114" s="70">
        <f t="shared" si="267"/>
        <v>673.488</v>
      </c>
      <c r="AI114" s="70">
        <f t="shared" si="267"/>
        <v>730.655</v>
      </c>
      <c r="AJ114" s="70">
        <f t="shared" si="267"/>
        <v>772.11</v>
      </c>
      <c r="AK114" s="70">
        <f t="shared" si="267"/>
        <v>691.0094878</v>
      </c>
      <c r="AL114" s="70">
        <f t="shared" si="267"/>
        <v>680.8960427</v>
      </c>
      <c r="AM114" s="70">
        <f t="shared" si="267"/>
        <v>708.8840473</v>
      </c>
      <c r="AN114" s="70">
        <f t="shared" si="267"/>
        <v>812.6927206</v>
      </c>
      <c r="AO114" s="70">
        <f t="shared" si="267"/>
        <v>731.7304051</v>
      </c>
      <c r="AP114" s="70">
        <f t="shared" si="267"/>
        <v>712.2017776</v>
      </c>
      <c r="AQ114" s="70">
        <f t="shared" si="267"/>
        <v>739.4459441</v>
      </c>
      <c r="AR114" s="70">
        <f t="shared" si="267"/>
        <v>864.1914569</v>
      </c>
      <c r="AS114" s="70">
        <f t="shared" si="267"/>
        <v>774.6375347</v>
      </c>
      <c r="AT114" s="70">
        <f t="shared" si="267"/>
        <v>753.0160644</v>
      </c>
      <c r="AU114" s="70">
        <f t="shared" si="267"/>
        <v>783.2163494</v>
      </c>
      <c r="AV114" s="70">
        <f t="shared" si="267"/>
        <v>920.1764586</v>
      </c>
      <c r="AW114" s="70">
        <f t="shared" si="267"/>
        <v>823.2147948</v>
      </c>
      <c r="AX114" s="70">
        <f t="shared" si="267"/>
        <v>800.3269212</v>
      </c>
      <c r="AY114" s="70">
        <f t="shared" si="267"/>
        <v>834.041052</v>
      </c>
      <c r="AZ114" s="70">
        <f t="shared" si="267"/>
        <v>984.3952846</v>
      </c>
      <c r="BA114" s="70">
        <f t="shared" si="267"/>
        <v>879.1508888</v>
      </c>
      <c r="BB114" s="70">
        <f t="shared" si="267"/>
        <v>854.8619266</v>
      </c>
      <c r="BC114" s="70">
        <f t="shared" si="267"/>
        <v>892.3801842</v>
      </c>
      <c r="BD114" s="70">
        <f t="shared" si="267"/>
        <v>1057.301392</v>
      </c>
      <c r="BE114" s="70">
        <f t="shared" si="267"/>
        <v>942.9132388</v>
      </c>
      <c r="BF114" s="70">
        <f t="shared" si="267"/>
        <v>916.9648629</v>
      </c>
      <c r="BG114" s="70">
        <f t="shared" si="267"/>
        <v>958.5349052</v>
      </c>
      <c r="BH114" s="70">
        <f t="shared" si="267"/>
        <v>1139.294501</v>
      </c>
      <c r="BI114" s="70">
        <f t="shared" si="267"/>
        <v>1014.854453</v>
      </c>
      <c r="BJ114" s="70">
        <f t="shared" si="267"/>
        <v>987.0239641</v>
      </c>
      <c r="BK114" s="70">
        <f t="shared" si="267"/>
        <v>1032.945934</v>
      </c>
      <c r="BL114" s="70">
        <f t="shared" si="267"/>
        <v>1230.933995</v>
      </c>
      <c r="BM114" s="70">
        <f t="shared" si="267"/>
        <v>1095.435811</v>
      </c>
      <c r="BN114" s="70">
        <f t="shared" si="267"/>
        <v>1065.481725</v>
      </c>
      <c r="BO114" s="70">
        <f t="shared" si="267"/>
        <v>1116.097024</v>
      </c>
      <c r="BP114" s="70">
        <f t="shared" si="267"/>
        <v>1325.604006</v>
      </c>
      <c r="BQ114" s="70">
        <f t="shared" si="267"/>
        <v>1170.992544</v>
      </c>
      <c r="BR114" s="70">
        <f t="shared" si="267"/>
        <v>1131.643374</v>
      </c>
      <c r="BS114" s="70">
        <f t="shared" si="267"/>
        <v>1179.585809</v>
      </c>
      <c r="BT114" s="70">
        <f t="shared" si="267"/>
        <v>1409.848948</v>
      </c>
      <c r="BU114" s="70">
        <f t="shared" si="267"/>
        <v>1242.218329</v>
      </c>
      <c r="BV114" s="70">
        <f t="shared" si="267"/>
        <v>1200.483123</v>
      </c>
      <c r="BW114" s="70">
        <f t="shared" si="267"/>
        <v>1254.083035</v>
      </c>
      <c r="BX114" s="6" t="s">
        <v>35</v>
      </c>
      <c r="BY114" s="70">
        <f t="shared" ref="BY114:CP114" si="268">+BY112+BY113</f>
        <v>111.88</v>
      </c>
      <c r="BZ114" s="70">
        <f t="shared" si="268"/>
        <v>103.58</v>
      </c>
      <c r="CA114" s="70">
        <f t="shared" si="268"/>
        <v>100.151</v>
      </c>
      <c r="CB114" s="70">
        <f t="shared" si="268"/>
        <v>120.477</v>
      </c>
      <c r="CC114" s="70">
        <f t="shared" si="268"/>
        <v>169.856</v>
      </c>
      <c r="CD114" s="70">
        <f t="shared" si="268"/>
        <v>313.9199999</v>
      </c>
      <c r="CE114" s="70">
        <f t="shared" si="268"/>
        <v>479.331</v>
      </c>
      <c r="CF114" s="70">
        <f t="shared" si="268"/>
        <v>727.061</v>
      </c>
      <c r="CG114" s="70">
        <f t="shared" si="268"/>
        <v>705.3783467</v>
      </c>
      <c r="CH114" s="70">
        <f t="shared" si="268"/>
        <v>735.5487746</v>
      </c>
      <c r="CI114" s="70">
        <f t="shared" si="268"/>
        <v>778.9581687</v>
      </c>
      <c r="CJ114" s="70">
        <f t="shared" si="268"/>
        <v>829.3884181</v>
      </c>
      <c r="CK114" s="70">
        <f t="shared" si="268"/>
        <v>887.2965572</v>
      </c>
      <c r="CL114" s="70">
        <f t="shared" si="268"/>
        <v>952.9803605</v>
      </c>
      <c r="CM114" s="70">
        <f t="shared" si="268"/>
        <v>1026.876848</v>
      </c>
      <c r="CN114" s="70">
        <f t="shared" si="268"/>
        <v>1109.465734</v>
      </c>
      <c r="CO114" s="70">
        <f t="shared" si="268"/>
        <v>1172.340234</v>
      </c>
      <c r="CP114" s="70">
        <f t="shared" si="268"/>
        <v>1246.166272</v>
      </c>
      <c r="CQ114" s="6" t="s">
        <v>35</v>
      </c>
    </row>
    <row r="115" ht="14.25" customHeight="1">
      <c r="B115" s="53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" t="s">
        <v>35</v>
      </c>
      <c r="BY115" s="64"/>
      <c r="BZ115" s="64"/>
      <c r="CA115" s="64"/>
      <c r="CB115" s="64"/>
      <c r="CC115" s="64"/>
      <c r="CD115" s="64"/>
      <c r="CE115" s="64"/>
      <c r="CQ115" s="6" t="s">
        <v>35</v>
      </c>
    </row>
    <row r="116" ht="14.25" customHeight="1">
      <c r="B116" s="53" t="s">
        <v>84</v>
      </c>
      <c r="C116" s="25">
        <v>0.34</v>
      </c>
      <c r="D116" s="64"/>
      <c r="E116" s="64"/>
      <c r="F116" s="64"/>
      <c r="G116" s="64">
        <f t="shared" ref="G116:BW116" si="269">G117*G118</f>
        <v>-4.96782</v>
      </c>
      <c r="H116" s="64">
        <f t="shared" si="269"/>
        <v>-5.7156</v>
      </c>
      <c r="I116" s="64">
        <f t="shared" si="269"/>
        <v>-2.9238</v>
      </c>
      <c r="J116" s="64">
        <f t="shared" si="269"/>
        <v>1.82094</v>
      </c>
      <c r="K116" s="64">
        <f t="shared" si="269"/>
        <v>9.96336</v>
      </c>
      <c r="L116" s="64">
        <f t="shared" si="269"/>
        <v>8.7054</v>
      </c>
      <c r="M116" s="64">
        <f t="shared" si="269"/>
        <v>7.88238</v>
      </c>
      <c r="N116" s="64">
        <f t="shared" si="269"/>
        <v>5.27802</v>
      </c>
      <c r="O116" s="64">
        <f t="shared" si="269"/>
        <v>5.1216</v>
      </c>
      <c r="P116" s="64">
        <f t="shared" si="269"/>
        <v>11.62194</v>
      </c>
      <c r="Q116" s="64">
        <f t="shared" si="269"/>
        <v>0.32142</v>
      </c>
      <c r="R116" s="64">
        <f t="shared" si="269"/>
        <v>-1.18074</v>
      </c>
      <c r="S116" s="64">
        <f t="shared" si="269"/>
        <v>-3.05712</v>
      </c>
      <c r="T116" s="64">
        <f t="shared" si="269"/>
        <v>-9.90264</v>
      </c>
      <c r="U116" s="64">
        <f t="shared" si="269"/>
        <v>5.83308</v>
      </c>
      <c r="V116" s="64">
        <f t="shared" si="269"/>
        <v>12.51822</v>
      </c>
      <c r="W116" s="64">
        <f t="shared" si="269"/>
        <v>13.52472</v>
      </c>
      <c r="X116" s="64">
        <f t="shared" si="269"/>
        <v>20.2224</v>
      </c>
      <c r="Y116" s="64">
        <f t="shared" si="269"/>
        <v>27.24348</v>
      </c>
      <c r="Z116" s="64">
        <f t="shared" si="269"/>
        <v>55.87362</v>
      </c>
      <c r="AA116" s="64">
        <f t="shared" si="269"/>
        <v>68.94228</v>
      </c>
      <c r="AB116" s="64">
        <f t="shared" si="269"/>
        <v>77.85426</v>
      </c>
      <c r="AC116" s="64">
        <f t="shared" si="269"/>
        <v>81.05922</v>
      </c>
      <c r="AD116" s="64">
        <f t="shared" si="269"/>
        <v>61.33974</v>
      </c>
      <c r="AE116" s="64">
        <f t="shared" si="269"/>
        <v>57.68268</v>
      </c>
      <c r="AF116" s="64">
        <f t="shared" si="269"/>
        <v>51.0378</v>
      </c>
      <c r="AG116" s="64">
        <f t="shared" si="269"/>
        <v>39.35514</v>
      </c>
      <c r="AH116" s="64">
        <f t="shared" si="269"/>
        <v>55.4862</v>
      </c>
      <c r="AI116" s="64">
        <f t="shared" si="269"/>
        <v>73.57812</v>
      </c>
      <c r="AJ116" s="64">
        <f t="shared" si="269"/>
        <v>78.6324</v>
      </c>
      <c r="AK116" s="64">
        <f t="shared" si="269"/>
        <v>90.22898004</v>
      </c>
      <c r="AL116" s="64">
        <f t="shared" si="269"/>
        <v>86.03434556</v>
      </c>
      <c r="AM116" s="64">
        <f t="shared" si="269"/>
        <v>79.66313728</v>
      </c>
      <c r="AN116" s="64">
        <f t="shared" si="269"/>
        <v>92.06663526</v>
      </c>
      <c r="AO116" s="64">
        <f t="shared" si="269"/>
        <v>102.7334141</v>
      </c>
      <c r="AP116" s="64">
        <f t="shared" si="269"/>
        <v>106.9567187</v>
      </c>
      <c r="AQ116" s="64">
        <f t="shared" si="269"/>
        <v>115.8711567</v>
      </c>
      <c r="AR116" s="64">
        <f t="shared" si="269"/>
        <v>120.7646476</v>
      </c>
      <c r="AS116" s="64">
        <f t="shared" si="269"/>
        <v>125.3563317</v>
      </c>
      <c r="AT116" s="64">
        <f t="shared" si="269"/>
        <v>130.1786838</v>
      </c>
      <c r="AU116" s="64">
        <f t="shared" si="269"/>
        <v>135.2940765</v>
      </c>
      <c r="AV116" s="64">
        <f t="shared" si="269"/>
        <v>139.7551165</v>
      </c>
      <c r="AW116" s="64">
        <f t="shared" si="269"/>
        <v>144.1745821</v>
      </c>
      <c r="AX116" s="64">
        <f t="shared" si="269"/>
        <v>148.9670747</v>
      </c>
      <c r="AY116" s="64">
        <f t="shared" si="269"/>
        <v>154.2726719</v>
      </c>
      <c r="AZ116" s="64">
        <f t="shared" si="269"/>
        <v>157.6115543</v>
      </c>
      <c r="BA116" s="64">
        <f t="shared" si="269"/>
        <v>160.9114247</v>
      </c>
      <c r="BB116" s="64">
        <f t="shared" si="269"/>
        <v>164.559465</v>
      </c>
      <c r="BC116" s="64">
        <f t="shared" si="269"/>
        <v>168.5635991</v>
      </c>
      <c r="BD116" s="64">
        <f t="shared" si="269"/>
        <v>172.2117762</v>
      </c>
      <c r="BE116" s="64">
        <f t="shared" si="269"/>
        <v>175.8173275</v>
      </c>
      <c r="BF116" s="64">
        <f t="shared" si="269"/>
        <v>179.8033011</v>
      </c>
      <c r="BG116" s="64">
        <f t="shared" si="269"/>
        <v>184.178355</v>
      </c>
      <c r="BH116" s="64">
        <f t="shared" si="269"/>
        <v>188.1644781</v>
      </c>
      <c r="BI116" s="64">
        <f t="shared" si="269"/>
        <v>192.1040268</v>
      </c>
      <c r="BJ116" s="64">
        <f t="shared" si="269"/>
        <v>196.459238</v>
      </c>
      <c r="BK116" s="64">
        <f t="shared" si="269"/>
        <v>201.2395715</v>
      </c>
      <c r="BL116" s="64">
        <f t="shared" si="269"/>
        <v>205.594946</v>
      </c>
      <c r="BM116" s="64">
        <f t="shared" si="269"/>
        <v>209.8994316</v>
      </c>
      <c r="BN116" s="64">
        <f t="shared" si="269"/>
        <v>214.6580844</v>
      </c>
      <c r="BO116" s="64">
        <f t="shared" si="269"/>
        <v>219.8812404</v>
      </c>
      <c r="BP116" s="64">
        <f t="shared" si="269"/>
        <v>224.6400715</v>
      </c>
      <c r="BQ116" s="64">
        <f t="shared" si="269"/>
        <v>229.3432998</v>
      </c>
      <c r="BR116" s="64">
        <f t="shared" si="269"/>
        <v>234.5427666</v>
      </c>
      <c r="BS116" s="64">
        <f t="shared" si="269"/>
        <v>240.2497655</v>
      </c>
      <c r="BT116" s="64">
        <f t="shared" si="269"/>
        <v>245.4494272</v>
      </c>
      <c r="BU116" s="64">
        <f t="shared" si="269"/>
        <v>250.5883353</v>
      </c>
      <c r="BV116" s="64">
        <f t="shared" si="269"/>
        <v>256.2694506</v>
      </c>
      <c r="BW116" s="64">
        <f t="shared" si="269"/>
        <v>262.5051128</v>
      </c>
      <c r="BX116" s="6" t="s">
        <v>35</v>
      </c>
      <c r="BY116" s="64">
        <f t="shared" ref="BY116:CP116" si="270">BY117*BY118</f>
        <v>-4.96782</v>
      </c>
      <c r="BZ116" s="64">
        <f t="shared" si="270"/>
        <v>9.96336</v>
      </c>
      <c r="CA116" s="64">
        <f t="shared" si="270"/>
        <v>5.1216</v>
      </c>
      <c r="CB116" s="64">
        <f t="shared" si="270"/>
        <v>-3.05712</v>
      </c>
      <c r="CC116" s="64">
        <f t="shared" si="270"/>
        <v>13.52472</v>
      </c>
      <c r="CD116" s="64">
        <f t="shared" si="270"/>
        <v>68.94228</v>
      </c>
      <c r="CE116" s="64">
        <f t="shared" si="270"/>
        <v>57.68268</v>
      </c>
      <c r="CF116" s="64">
        <f t="shared" si="270"/>
        <v>73.57812</v>
      </c>
      <c r="CG116" s="64">
        <f t="shared" si="270"/>
        <v>79.66313728</v>
      </c>
      <c r="CH116" s="64">
        <f t="shared" si="270"/>
        <v>115.8711567</v>
      </c>
      <c r="CI116" s="64">
        <f t="shared" si="270"/>
        <v>135.2940765</v>
      </c>
      <c r="CJ116" s="64">
        <f t="shared" si="270"/>
        <v>154.2726719</v>
      </c>
      <c r="CK116" s="64">
        <f t="shared" si="270"/>
        <v>168.5635991</v>
      </c>
      <c r="CL116" s="64">
        <f t="shared" si="270"/>
        <v>184.178355</v>
      </c>
      <c r="CM116" s="64">
        <f t="shared" si="270"/>
        <v>201.2395715</v>
      </c>
      <c r="CN116" s="64">
        <f t="shared" si="270"/>
        <v>219.8812404</v>
      </c>
      <c r="CO116" s="64">
        <f t="shared" si="270"/>
        <v>240.2497655</v>
      </c>
      <c r="CP116" s="64">
        <f t="shared" si="270"/>
        <v>262.5051128</v>
      </c>
      <c r="CQ116" s="6" t="s">
        <v>35</v>
      </c>
    </row>
    <row r="117" ht="14.25" customHeight="1">
      <c r="B117" s="72" t="s">
        <v>49</v>
      </c>
      <c r="C117" s="13"/>
      <c r="D117" s="64"/>
      <c r="E117" s="64"/>
      <c r="F117" s="64"/>
      <c r="G117" s="64">
        <f t="shared" ref="G117:BW117" si="271">SUM(D29:G29)</f>
        <v>-7.527</v>
      </c>
      <c r="H117" s="64">
        <f t="shared" si="271"/>
        <v>-8.66</v>
      </c>
      <c r="I117" s="64">
        <f t="shared" si="271"/>
        <v>-4.43</v>
      </c>
      <c r="J117" s="64">
        <f t="shared" si="271"/>
        <v>2.759</v>
      </c>
      <c r="K117" s="64">
        <f t="shared" si="271"/>
        <v>15.096</v>
      </c>
      <c r="L117" s="64">
        <f t="shared" si="271"/>
        <v>13.19</v>
      </c>
      <c r="M117" s="64">
        <f t="shared" si="271"/>
        <v>11.943</v>
      </c>
      <c r="N117" s="64">
        <f t="shared" si="271"/>
        <v>7.997</v>
      </c>
      <c r="O117" s="64">
        <f t="shared" si="271"/>
        <v>7.76</v>
      </c>
      <c r="P117" s="64">
        <f t="shared" si="271"/>
        <v>17.609</v>
      </c>
      <c r="Q117" s="64">
        <f t="shared" si="271"/>
        <v>0.487</v>
      </c>
      <c r="R117" s="64">
        <f t="shared" si="271"/>
        <v>-1.789</v>
      </c>
      <c r="S117" s="64">
        <f t="shared" si="271"/>
        <v>-4.632</v>
      </c>
      <c r="T117" s="64">
        <f t="shared" si="271"/>
        <v>-15.004</v>
      </c>
      <c r="U117" s="64">
        <f t="shared" si="271"/>
        <v>8.838</v>
      </c>
      <c r="V117" s="64">
        <f t="shared" si="271"/>
        <v>18.967</v>
      </c>
      <c r="W117" s="64">
        <f t="shared" si="271"/>
        <v>20.492</v>
      </c>
      <c r="X117" s="64">
        <f t="shared" si="271"/>
        <v>30.64</v>
      </c>
      <c r="Y117" s="64">
        <f t="shared" si="271"/>
        <v>41.278</v>
      </c>
      <c r="Z117" s="64">
        <f t="shared" si="271"/>
        <v>84.657</v>
      </c>
      <c r="AA117" s="64">
        <f t="shared" si="271"/>
        <v>104.458</v>
      </c>
      <c r="AB117" s="64">
        <f t="shared" si="271"/>
        <v>117.961</v>
      </c>
      <c r="AC117" s="64">
        <f t="shared" si="271"/>
        <v>122.817</v>
      </c>
      <c r="AD117" s="64">
        <f t="shared" si="271"/>
        <v>92.939</v>
      </c>
      <c r="AE117" s="64">
        <f t="shared" si="271"/>
        <v>87.398</v>
      </c>
      <c r="AF117" s="64">
        <f t="shared" si="271"/>
        <v>77.33</v>
      </c>
      <c r="AG117" s="64">
        <f t="shared" si="271"/>
        <v>59.629</v>
      </c>
      <c r="AH117" s="64">
        <f t="shared" si="271"/>
        <v>84.07</v>
      </c>
      <c r="AI117" s="64">
        <f t="shared" si="271"/>
        <v>111.482</v>
      </c>
      <c r="AJ117" s="64">
        <f t="shared" si="271"/>
        <v>119.14</v>
      </c>
      <c r="AK117" s="64">
        <f t="shared" si="271"/>
        <v>136.7105758</v>
      </c>
      <c r="AL117" s="64">
        <f t="shared" si="271"/>
        <v>130.355069</v>
      </c>
      <c r="AM117" s="64">
        <f t="shared" si="271"/>
        <v>120.7017232</v>
      </c>
      <c r="AN117" s="64">
        <f t="shared" si="271"/>
        <v>139.4949019</v>
      </c>
      <c r="AO117" s="64">
        <f t="shared" si="271"/>
        <v>155.6566881</v>
      </c>
      <c r="AP117" s="64">
        <f t="shared" si="271"/>
        <v>162.0556344</v>
      </c>
      <c r="AQ117" s="64">
        <f t="shared" si="271"/>
        <v>175.5623586</v>
      </c>
      <c r="AR117" s="64">
        <f t="shared" si="271"/>
        <v>182.9767388</v>
      </c>
      <c r="AS117" s="64">
        <f t="shared" si="271"/>
        <v>189.9338359</v>
      </c>
      <c r="AT117" s="64">
        <f t="shared" si="271"/>
        <v>197.24043</v>
      </c>
      <c r="AU117" s="64">
        <f t="shared" si="271"/>
        <v>204.9910251</v>
      </c>
      <c r="AV117" s="64">
        <f t="shared" si="271"/>
        <v>211.7501765</v>
      </c>
      <c r="AW117" s="64">
        <f t="shared" si="271"/>
        <v>218.4463365</v>
      </c>
      <c r="AX117" s="64">
        <f t="shared" si="271"/>
        <v>225.7076889</v>
      </c>
      <c r="AY117" s="64">
        <f t="shared" si="271"/>
        <v>233.7464726</v>
      </c>
      <c r="AZ117" s="64">
        <f t="shared" si="271"/>
        <v>238.8053853</v>
      </c>
      <c r="BA117" s="64">
        <f t="shared" si="271"/>
        <v>243.8051889</v>
      </c>
      <c r="BB117" s="64">
        <f t="shared" si="271"/>
        <v>249.3325227</v>
      </c>
      <c r="BC117" s="64">
        <f t="shared" si="271"/>
        <v>255.3993926</v>
      </c>
      <c r="BD117" s="64">
        <f t="shared" si="271"/>
        <v>260.9269337</v>
      </c>
      <c r="BE117" s="64">
        <f t="shared" si="271"/>
        <v>266.3898901</v>
      </c>
      <c r="BF117" s="64">
        <f t="shared" si="271"/>
        <v>272.4292441</v>
      </c>
      <c r="BG117" s="64">
        <f t="shared" si="271"/>
        <v>279.0581137</v>
      </c>
      <c r="BH117" s="64">
        <f t="shared" si="271"/>
        <v>285.0976941</v>
      </c>
      <c r="BI117" s="64">
        <f t="shared" si="271"/>
        <v>291.0667072</v>
      </c>
      <c r="BJ117" s="64">
        <f t="shared" si="271"/>
        <v>297.6655121</v>
      </c>
      <c r="BK117" s="64">
        <f t="shared" si="271"/>
        <v>304.9084417</v>
      </c>
      <c r="BL117" s="64">
        <f t="shared" si="271"/>
        <v>311.507494</v>
      </c>
      <c r="BM117" s="64">
        <f t="shared" si="271"/>
        <v>318.0294419</v>
      </c>
      <c r="BN117" s="64">
        <f t="shared" si="271"/>
        <v>325.2395218</v>
      </c>
      <c r="BO117" s="64">
        <f t="shared" si="271"/>
        <v>333.1533945</v>
      </c>
      <c r="BP117" s="64">
        <f t="shared" si="271"/>
        <v>340.3637447</v>
      </c>
      <c r="BQ117" s="64">
        <f t="shared" si="271"/>
        <v>347.4898481</v>
      </c>
      <c r="BR117" s="64">
        <f t="shared" si="271"/>
        <v>355.3678281</v>
      </c>
      <c r="BS117" s="64">
        <f t="shared" si="271"/>
        <v>364.0147962</v>
      </c>
      <c r="BT117" s="64">
        <f t="shared" si="271"/>
        <v>371.8930715</v>
      </c>
      <c r="BU117" s="64">
        <f t="shared" si="271"/>
        <v>379.6792959</v>
      </c>
      <c r="BV117" s="64">
        <f t="shared" si="271"/>
        <v>388.2870463</v>
      </c>
      <c r="BW117" s="64">
        <f t="shared" si="271"/>
        <v>397.7350194</v>
      </c>
      <c r="BX117" s="6" t="s">
        <v>35</v>
      </c>
      <c r="BY117" s="64">
        <f t="shared" ref="BY117:CP117" si="272">BY29</f>
        <v>-7.527</v>
      </c>
      <c r="BZ117" s="64">
        <f t="shared" si="272"/>
        <v>15.096</v>
      </c>
      <c r="CA117" s="64">
        <f t="shared" si="272"/>
        <v>7.76</v>
      </c>
      <c r="CB117" s="64">
        <f t="shared" si="272"/>
        <v>-4.632</v>
      </c>
      <c r="CC117" s="64">
        <f t="shared" si="272"/>
        <v>20.492</v>
      </c>
      <c r="CD117" s="64">
        <f t="shared" si="272"/>
        <v>104.458</v>
      </c>
      <c r="CE117" s="64">
        <f t="shared" si="272"/>
        <v>87.398</v>
      </c>
      <c r="CF117" s="64">
        <f t="shared" si="272"/>
        <v>111.482</v>
      </c>
      <c r="CG117" s="64">
        <f t="shared" si="272"/>
        <v>120.7017232</v>
      </c>
      <c r="CH117" s="64">
        <f t="shared" si="272"/>
        <v>175.5623586</v>
      </c>
      <c r="CI117" s="64">
        <f t="shared" si="272"/>
        <v>204.9910251</v>
      </c>
      <c r="CJ117" s="64">
        <f t="shared" si="272"/>
        <v>233.7464726</v>
      </c>
      <c r="CK117" s="64">
        <f t="shared" si="272"/>
        <v>255.3993926</v>
      </c>
      <c r="CL117" s="64">
        <f t="shared" si="272"/>
        <v>279.0581137</v>
      </c>
      <c r="CM117" s="64">
        <f t="shared" si="272"/>
        <v>304.9084417</v>
      </c>
      <c r="CN117" s="64">
        <f t="shared" si="272"/>
        <v>333.1533945</v>
      </c>
      <c r="CO117" s="64">
        <f t="shared" si="272"/>
        <v>364.0147962</v>
      </c>
      <c r="CP117" s="64">
        <f t="shared" si="272"/>
        <v>397.7350194</v>
      </c>
      <c r="CQ117" s="6" t="s">
        <v>35</v>
      </c>
    </row>
    <row r="118" ht="14.25" customHeight="1">
      <c r="B118" s="72" t="s">
        <v>85</v>
      </c>
      <c r="C118" s="13"/>
      <c r="D118" s="64"/>
      <c r="E118" s="64"/>
      <c r="F118" s="64"/>
      <c r="G118" s="19">
        <f t="shared" ref="G118:BW118" si="273">1-$C$116</f>
        <v>0.66</v>
      </c>
      <c r="H118" s="19">
        <f t="shared" si="273"/>
        <v>0.66</v>
      </c>
      <c r="I118" s="19">
        <f t="shared" si="273"/>
        <v>0.66</v>
      </c>
      <c r="J118" s="19">
        <f t="shared" si="273"/>
        <v>0.66</v>
      </c>
      <c r="K118" s="19">
        <f t="shared" si="273"/>
        <v>0.66</v>
      </c>
      <c r="L118" s="19">
        <f t="shared" si="273"/>
        <v>0.66</v>
      </c>
      <c r="M118" s="19">
        <f t="shared" si="273"/>
        <v>0.66</v>
      </c>
      <c r="N118" s="19">
        <f t="shared" si="273"/>
        <v>0.66</v>
      </c>
      <c r="O118" s="19">
        <f t="shared" si="273"/>
        <v>0.66</v>
      </c>
      <c r="P118" s="19">
        <f t="shared" si="273"/>
        <v>0.66</v>
      </c>
      <c r="Q118" s="19">
        <f t="shared" si="273"/>
        <v>0.66</v>
      </c>
      <c r="R118" s="19">
        <f t="shared" si="273"/>
        <v>0.66</v>
      </c>
      <c r="S118" s="19">
        <f t="shared" si="273"/>
        <v>0.66</v>
      </c>
      <c r="T118" s="19">
        <f t="shared" si="273"/>
        <v>0.66</v>
      </c>
      <c r="U118" s="19">
        <f t="shared" si="273"/>
        <v>0.66</v>
      </c>
      <c r="V118" s="19">
        <f t="shared" si="273"/>
        <v>0.66</v>
      </c>
      <c r="W118" s="19">
        <f t="shared" si="273"/>
        <v>0.66</v>
      </c>
      <c r="X118" s="19">
        <f t="shared" si="273"/>
        <v>0.66</v>
      </c>
      <c r="Y118" s="19">
        <f t="shared" si="273"/>
        <v>0.66</v>
      </c>
      <c r="Z118" s="19">
        <f t="shared" si="273"/>
        <v>0.66</v>
      </c>
      <c r="AA118" s="19">
        <f t="shared" si="273"/>
        <v>0.66</v>
      </c>
      <c r="AB118" s="19">
        <f t="shared" si="273"/>
        <v>0.66</v>
      </c>
      <c r="AC118" s="19">
        <f t="shared" si="273"/>
        <v>0.66</v>
      </c>
      <c r="AD118" s="19">
        <f t="shared" si="273"/>
        <v>0.66</v>
      </c>
      <c r="AE118" s="19">
        <f t="shared" si="273"/>
        <v>0.66</v>
      </c>
      <c r="AF118" s="19">
        <f t="shared" si="273"/>
        <v>0.66</v>
      </c>
      <c r="AG118" s="19">
        <f t="shared" si="273"/>
        <v>0.66</v>
      </c>
      <c r="AH118" s="19">
        <f t="shared" si="273"/>
        <v>0.66</v>
      </c>
      <c r="AI118" s="19">
        <f t="shared" si="273"/>
        <v>0.66</v>
      </c>
      <c r="AJ118" s="19">
        <f t="shared" si="273"/>
        <v>0.66</v>
      </c>
      <c r="AK118" s="19">
        <f t="shared" si="273"/>
        <v>0.66</v>
      </c>
      <c r="AL118" s="19">
        <f t="shared" si="273"/>
        <v>0.66</v>
      </c>
      <c r="AM118" s="19">
        <f t="shared" si="273"/>
        <v>0.66</v>
      </c>
      <c r="AN118" s="19">
        <f t="shared" si="273"/>
        <v>0.66</v>
      </c>
      <c r="AO118" s="19">
        <f t="shared" si="273"/>
        <v>0.66</v>
      </c>
      <c r="AP118" s="19">
        <f t="shared" si="273"/>
        <v>0.66</v>
      </c>
      <c r="AQ118" s="19">
        <f t="shared" si="273"/>
        <v>0.66</v>
      </c>
      <c r="AR118" s="19">
        <f t="shared" si="273"/>
        <v>0.66</v>
      </c>
      <c r="AS118" s="19">
        <f t="shared" si="273"/>
        <v>0.66</v>
      </c>
      <c r="AT118" s="19">
        <f t="shared" si="273"/>
        <v>0.66</v>
      </c>
      <c r="AU118" s="19">
        <f t="shared" si="273"/>
        <v>0.66</v>
      </c>
      <c r="AV118" s="19">
        <f t="shared" si="273"/>
        <v>0.66</v>
      </c>
      <c r="AW118" s="19">
        <f t="shared" si="273"/>
        <v>0.66</v>
      </c>
      <c r="AX118" s="19">
        <f t="shared" si="273"/>
        <v>0.66</v>
      </c>
      <c r="AY118" s="19">
        <f t="shared" si="273"/>
        <v>0.66</v>
      </c>
      <c r="AZ118" s="19">
        <f t="shared" si="273"/>
        <v>0.66</v>
      </c>
      <c r="BA118" s="19">
        <f t="shared" si="273"/>
        <v>0.66</v>
      </c>
      <c r="BB118" s="19">
        <f t="shared" si="273"/>
        <v>0.66</v>
      </c>
      <c r="BC118" s="19">
        <f t="shared" si="273"/>
        <v>0.66</v>
      </c>
      <c r="BD118" s="19">
        <f t="shared" si="273"/>
        <v>0.66</v>
      </c>
      <c r="BE118" s="19">
        <f t="shared" si="273"/>
        <v>0.66</v>
      </c>
      <c r="BF118" s="19">
        <f t="shared" si="273"/>
        <v>0.66</v>
      </c>
      <c r="BG118" s="19">
        <f t="shared" si="273"/>
        <v>0.66</v>
      </c>
      <c r="BH118" s="19">
        <f t="shared" si="273"/>
        <v>0.66</v>
      </c>
      <c r="BI118" s="19">
        <f t="shared" si="273"/>
        <v>0.66</v>
      </c>
      <c r="BJ118" s="19">
        <f t="shared" si="273"/>
        <v>0.66</v>
      </c>
      <c r="BK118" s="19">
        <f t="shared" si="273"/>
        <v>0.66</v>
      </c>
      <c r="BL118" s="19">
        <f t="shared" si="273"/>
        <v>0.66</v>
      </c>
      <c r="BM118" s="19">
        <f t="shared" si="273"/>
        <v>0.66</v>
      </c>
      <c r="BN118" s="19">
        <f t="shared" si="273"/>
        <v>0.66</v>
      </c>
      <c r="BO118" s="19">
        <f t="shared" si="273"/>
        <v>0.66</v>
      </c>
      <c r="BP118" s="19">
        <f t="shared" si="273"/>
        <v>0.66</v>
      </c>
      <c r="BQ118" s="19">
        <f t="shared" si="273"/>
        <v>0.66</v>
      </c>
      <c r="BR118" s="19">
        <f t="shared" si="273"/>
        <v>0.66</v>
      </c>
      <c r="BS118" s="19">
        <f t="shared" si="273"/>
        <v>0.66</v>
      </c>
      <c r="BT118" s="19">
        <f t="shared" si="273"/>
        <v>0.66</v>
      </c>
      <c r="BU118" s="19">
        <f t="shared" si="273"/>
        <v>0.66</v>
      </c>
      <c r="BV118" s="19">
        <f t="shared" si="273"/>
        <v>0.66</v>
      </c>
      <c r="BW118" s="19">
        <f t="shared" si="273"/>
        <v>0.66</v>
      </c>
      <c r="BX118" s="6" t="s">
        <v>35</v>
      </c>
      <c r="BY118" s="19">
        <f t="shared" ref="BY118:CP118" si="274">1-$C$116</f>
        <v>0.66</v>
      </c>
      <c r="BZ118" s="19">
        <f t="shared" si="274"/>
        <v>0.66</v>
      </c>
      <c r="CA118" s="19">
        <f t="shared" si="274"/>
        <v>0.66</v>
      </c>
      <c r="CB118" s="19">
        <f t="shared" si="274"/>
        <v>0.66</v>
      </c>
      <c r="CC118" s="19">
        <f t="shared" si="274"/>
        <v>0.66</v>
      </c>
      <c r="CD118" s="19">
        <f t="shared" si="274"/>
        <v>0.66</v>
      </c>
      <c r="CE118" s="19">
        <f t="shared" si="274"/>
        <v>0.66</v>
      </c>
      <c r="CF118" s="19">
        <f t="shared" si="274"/>
        <v>0.66</v>
      </c>
      <c r="CG118" s="19">
        <f t="shared" si="274"/>
        <v>0.66</v>
      </c>
      <c r="CH118" s="19">
        <f t="shared" si="274"/>
        <v>0.66</v>
      </c>
      <c r="CI118" s="19">
        <f t="shared" si="274"/>
        <v>0.66</v>
      </c>
      <c r="CJ118" s="19">
        <f t="shared" si="274"/>
        <v>0.66</v>
      </c>
      <c r="CK118" s="19">
        <f t="shared" si="274"/>
        <v>0.66</v>
      </c>
      <c r="CL118" s="19">
        <f t="shared" si="274"/>
        <v>0.66</v>
      </c>
      <c r="CM118" s="19">
        <f t="shared" si="274"/>
        <v>0.66</v>
      </c>
      <c r="CN118" s="19">
        <f t="shared" si="274"/>
        <v>0.66</v>
      </c>
      <c r="CO118" s="19">
        <f t="shared" si="274"/>
        <v>0.66</v>
      </c>
      <c r="CP118" s="19">
        <f t="shared" si="274"/>
        <v>0.66</v>
      </c>
      <c r="CQ118" s="6" t="s">
        <v>35</v>
      </c>
    </row>
    <row r="119" ht="14.25" customHeight="1">
      <c r="B119" s="53" t="s">
        <v>86</v>
      </c>
      <c r="D119" s="64"/>
      <c r="E119" s="64"/>
      <c r="F119" s="64"/>
      <c r="G119" s="18">
        <f t="shared" ref="G119:BW119" si="275">G116/G114</f>
        <v>-0.04014302684</v>
      </c>
      <c r="H119" s="18">
        <f t="shared" si="275"/>
        <v>-0.04671821615</v>
      </c>
      <c r="I119" s="18">
        <f t="shared" si="275"/>
        <v>-0.02626883372</v>
      </c>
      <c r="J119" s="18">
        <f t="shared" si="275"/>
        <v>0.01628718628</v>
      </c>
      <c r="K119" s="18">
        <f t="shared" si="275"/>
        <v>0.08145989698</v>
      </c>
      <c r="L119" s="18">
        <f t="shared" si="275"/>
        <v>0.06662788829</v>
      </c>
      <c r="M119" s="18">
        <f t="shared" si="275"/>
        <v>0.06310649609</v>
      </c>
      <c r="N119" s="18">
        <f t="shared" si="275"/>
        <v>0.04380426754</v>
      </c>
      <c r="O119" s="18">
        <f t="shared" si="275"/>
        <v>0.04248245658</v>
      </c>
      <c r="P119" s="18">
        <f t="shared" si="275"/>
        <v>0.08319808147</v>
      </c>
      <c r="Q119" s="18">
        <f t="shared" si="275"/>
        <v>0.002665129932</v>
      </c>
      <c r="R119" s="18">
        <f t="shared" si="275"/>
        <v>-0.009328234987</v>
      </c>
      <c r="S119" s="18">
        <f t="shared" si="275"/>
        <v>-0.02200253339</v>
      </c>
      <c r="T119" s="18">
        <f t="shared" si="275"/>
        <v>-0.06046896754</v>
      </c>
      <c r="U119" s="18">
        <f t="shared" si="275"/>
        <v>0.03333340953</v>
      </c>
      <c r="V119" s="18">
        <f t="shared" si="275"/>
        <v>0.07402675277</v>
      </c>
      <c r="W119" s="18">
        <f t="shared" si="275"/>
        <v>0.07599480808</v>
      </c>
      <c r="X119" s="18">
        <f t="shared" si="275"/>
        <v>0.09451044539</v>
      </c>
      <c r="Y119" s="18">
        <f t="shared" si="275"/>
        <v>0.1112460085</v>
      </c>
      <c r="Z119" s="18">
        <f t="shared" si="275"/>
        <v>0.1905876213</v>
      </c>
      <c r="AA119" s="18">
        <f t="shared" si="275"/>
        <v>0.2223256024</v>
      </c>
      <c r="AB119" s="18">
        <f t="shared" si="275"/>
        <v>0.2127886497</v>
      </c>
      <c r="AC119" s="18">
        <f t="shared" si="275"/>
        <v>0.1883263053</v>
      </c>
      <c r="AD119" s="18">
        <f t="shared" si="275"/>
        <v>0.1505532007</v>
      </c>
      <c r="AE119" s="18">
        <f t="shared" si="275"/>
        <v>0.1207377049</v>
      </c>
      <c r="AF119" s="18">
        <f t="shared" si="275"/>
        <v>0.1055811038</v>
      </c>
      <c r="AG119" s="18">
        <f t="shared" si="275"/>
        <v>0.07804595285</v>
      </c>
      <c r="AH119" s="18">
        <f t="shared" si="275"/>
        <v>0.08238632314</v>
      </c>
      <c r="AI119" s="18">
        <f t="shared" si="275"/>
        <v>0.1007015897</v>
      </c>
      <c r="AJ119" s="18">
        <f t="shared" si="275"/>
        <v>0.1018409294</v>
      </c>
      <c r="AK119" s="18">
        <f t="shared" si="275"/>
        <v>0.1305756023</v>
      </c>
      <c r="AL119" s="18">
        <f t="shared" si="275"/>
        <v>0.1263545977</v>
      </c>
      <c r="AM119" s="18">
        <f t="shared" si="275"/>
        <v>0.1123782339</v>
      </c>
      <c r="AN119" s="18">
        <f t="shared" si="275"/>
        <v>0.113285911</v>
      </c>
      <c r="AO119" s="18">
        <f t="shared" si="275"/>
        <v>0.1403979026</v>
      </c>
      <c r="AP119" s="18">
        <f t="shared" si="275"/>
        <v>0.1501775509</v>
      </c>
      <c r="AQ119" s="18">
        <f t="shared" si="275"/>
        <v>0.1566999692</v>
      </c>
      <c r="AR119" s="18">
        <f t="shared" si="275"/>
        <v>0.1397429316</v>
      </c>
      <c r="AS119" s="18">
        <f t="shared" si="275"/>
        <v>0.1618257909</v>
      </c>
      <c r="AT119" s="18">
        <f t="shared" si="275"/>
        <v>0.1728763701</v>
      </c>
      <c r="AU119" s="18">
        <f t="shared" si="275"/>
        <v>0.1727416398</v>
      </c>
      <c r="AV119" s="18">
        <f t="shared" si="275"/>
        <v>0.1518786046</v>
      </c>
      <c r="AW119" s="18">
        <f t="shared" si="275"/>
        <v>0.1751360435</v>
      </c>
      <c r="AX119" s="18">
        <f t="shared" si="275"/>
        <v>0.1861327799</v>
      </c>
      <c r="AY119" s="18">
        <f t="shared" si="275"/>
        <v>0.1849701182</v>
      </c>
      <c r="AZ119" s="18">
        <f t="shared" si="275"/>
        <v>0.1601100257</v>
      </c>
      <c r="BA119" s="18">
        <f t="shared" si="275"/>
        <v>0.1830304976</v>
      </c>
      <c r="BB119" s="18">
        <f t="shared" si="275"/>
        <v>0.192498297</v>
      </c>
      <c r="BC119" s="18">
        <f t="shared" si="275"/>
        <v>0.188892136</v>
      </c>
      <c r="BD119" s="18">
        <f t="shared" si="275"/>
        <v>0.1628786053</v>
      </c>
      <c r="BE119" s="18">
        <f t="shared" si="275"/>
        <v>0.1864618294</v>
      </c>
      <c r="BF119" s="18">
        <f t="shared" si="275"/>
        <v>0.1960852683</v>
      </c>
      <c r="BG119" s="18">
        <f t="shared" si="275"/>
        <v>0.1921456945</v>
      </c>
      <c r="BH119" s="18">
        <f t="shared" si="275"/>
        <v>0.1651587698</v>
      </c>
      <c r="BI119" s="18">
        <f t="shared" si="275"/>
        <v>0.1892921949</v>
      </c>
      <c r="BJ119" s="18">
        <f t="shared" si="275"/>
        <v>0.1990420143</v>
      </c>
      <c r="BK119" s="18">
        <f t="shared" si="275"/>
        <v>0.1948210115</v>
      </c>
      <c r="BL119" s="18">
        <f t="shared" si="275"/>
        <v>0.167023534</v>
      </c>
      <c r="BM119" s="18">
        <f t="shared" si="275"/>
        <v>0.1916127166</v>
      </c>
      <c r="BN119" s="18">
        <f t="shared" si="275"/>
        <v>0.2014657589</v>
      </c>
      <c r="BO119" s="18">
        <f t="shared" si="275"/>
        <v>0.1970090732</v>
      </c>
      <c r="BP119" s="18">
        <f t="shared" si="275"/>
        <v>0.1694624266</v>
      </c>
      <c r="BQ119" s="18">
        <f t="shared" si="275"/>
        <v>0.195853766</v>
      </c>
      <c r="BR119" s="18">
        <f t="shared" si="275"/>
        <v>0.2072585515</v>
      </c>
      <c r="BS119" s="18">
        <f t="shared" si="275"/>
        <v>0.2036729873</v>
      </c>
      <c r="BT119" s="18">
        <f t="shared" si="275"/>
        <v>0.1740962587</v>
      </c>
      <c r="BU119" s="18">
        <f t="shared" si="275"/>
        <v>0.2017264835</v>
      </c>
      <c r="BV119" s="18">
        <f t="shared" si="275"/>
        <v>0.2134719311</v>
      </c>
      <c r="BW119" s="18">
        <f t="shared" si="275"/>
        <v>0.2093203604</v>
      </c>
      <c r="BX119" s="6" t="s">
        <v>35</v>
      </c>
      <c r="BY119" s="18">
        <f t="shared" ref="BY119:CP119" si="276">BY116/BY114</f>
        <v>-0.04440311048</v>
      </c>
      <c r="BZ119" s="18">
        <f t="shared" si="276"/>
        <v>0.09618999807</v>
      </c>
      <c r="CA119" s="18">
        <f t="shared" si="276"/>
        <v>0.05113878044</v>
      </c>
      <c r="CB119" s="18">
        <f t="shared" si="276"/>
        <v>-0.02537513384</v>
      </c>
      <c r="CC119" s="18">
        <f t="shared" si="276"/>
        <v>0.07962462321</v>
      </c>
      <c r="CD119" s="18">
        <f t="shared" si="276"/>
        <v>0.2196173548</v>
      </c>
      <c r="CE119" s="18">
        <f t="shared" si="276"/>
        <v>0.1203399738</v>
      </c>
      <c r="CF119" s="18">
        <f t="shared" si="276"/>
        <v>0.1011993767</v>
      </c>
      <c r="CG119" s="18">
        <f t="shared" si="276"/>
        <v>0.112936749</v>
      </c>
      <c r="CH119" s="18">
        <f t="shared" si="276"/>
        <v>0.1575302151</v>
      </c>
      <c r="CI119" s="18">
        <f t="shared" si="276"/>
        <v>0.1736859333</v>
      </c>
      <c r="CJ119" s="18">
        <f t="shared" si="276"/>
        <v>0.1860077481</v>
      </c>
      <c r="CK119" s="18">
        <f t="shared" si="276"/>
        <v>0.189974364</v>
      </c>
      <c r="CL119" s="18">
        <f t="shared" si="276"/>
        <v>0.1932656355</v>
      </c>
      <c r="CM119" s="18">
        <f t="shared" si="276"/>
        <v>0.1959724498</v>
      </c>
      <c r="CN119" s="18">
        <f t="shared" si="276"/>
        <v>0.1981865989</v>
      </c>
      <c r="CO119" s="18">
        <f t="shared" si="276"/>
        <v>0.2049317753</v>
      </c>
      <c r="CP119" s="18">
        <f t="shared" si="276"/>
        <v>0.2106501506</v>
      </c>
      <c r="CQ119" s="6" t="s">
        <v>35</v>
      </c>
    </row>
    <row r="120" ht="14.25" customHeight="1">
      <c r="B120" s="53" t="s">
        <v>87</v>
      </c>
      <c r="D120" s="64"/>
      <c r="E120" s="64"/>
      <c r="F120" s="64"/>
      <c r="G120" s="19">
        <f t="shared" ref="G120:BW120" si="277">SUM(D47:G47)/G93</f>
        <v>-0.1348815131</v>
      </c>
      <c r="H120" s="19">
        <f t="shared" si="277"/>
        <v>-0.1618714806</v>
      </c>
      <c r="I120" s="19">
        <f t="shared" si="277"/>
        <v>-0.120080172</v>
      </c>
      <c r="J120" s="19">
        <f t="shared" si="277"/>
        <v>-0.07512154924</v>
      </c>
      <c r="K120" s="19">
        <f t="shared" si="277"/>
        <v>0.07772686718</v>
      </c>
      <c r="L120" s="19">
        <f t="shared" si="277"/>
        <v>0.05965805193</v>
      </c>
      <c r="M120" s="19">
        <f t="shared" si="277"/>
        <v>0.02814864263</v>
      </c>
      <c r="N120" s="19">
        <f t="shared" si="277"/>
        <v>0.0003334834009</v>
      </c>
      <c r="O120" s="19">
        <f t="shared" si="277"/>
        <v>-0.1447278478</v>
      </c>
      <c r="P120" s="19">
        <f t="shared" si="277"/>
        <v>-0.02983546525</v>
      </c>
      <c r="Q120" s="19">
        <f t="shared" si="277"/>
        <v>-0.1062891612</v>
      </c>
      <c r="R120" s="19">
        <f t="shared" si="277"/>
        <v>-0.1200784115</v>
      </c>
      <c r="S120" s="19">
        <f t="shared" si="277"/>
        <v>-0.01372425594</v>
      </c>
      <c r="T120" s="19">
        <f t="shared" si="277"/>
        <v>-0.03294070495</v>
      </c>
      <c r="U120" s="19">
        <f t="shared" si="277"/>
        <v>0.07422596486</v>
      </c>
      <c r="V120" s="19">
        <f t="shared" si="277"/>
        <v>0.1113820574</v>
      </c>
      <c r="W120" s="19">
        <f t="shared" si="277"/>
        <v>0.06329235334</v>
      </c>
      <c r="X120" s="19">
        <f t="shared" si="277"/>
        <v>0.08842734773</v>
      </c>
      <c r="Y120" s="19">
        <f t="shared" si="277"/>
        <v>0.1013423832</v>
      </c>
      <c r="Z120" s="19">
        <f t="shared" si="277"/>
        <v>0.1992647008</v>
      </c>
      <c r="AA120" s="19">
        <f t="shared" si="277"/>
        <v>0.2928094083</v>
      </c>
      <c r="AB120" s="19">
        <f t="shared" si="277"/>
        <v>0.2990101169</v>
      </c>
      <c r="AC120" s="19">
        <f t="shared" si="277"/>
        <v>0.2780933962</v>
      </c>
      <c r="AD120" s="19">
        <f t="shared" si="277"/>
        <v>0.1344098239</v>
      </c>
      <c r="AE120" s="19">
        <f t="shared" si="277"/>
        <v>0.1050631745</v>
      </c>
      <c r="AF120" s="19">
        <f t="shared" si="277"/>
        <v>0.05832527579</v>
      </c>
      <c r="AG120" s="19">
        <f t="shared" si="277"/>
        <v>0.02315225957</v>
      </c>
      <c r="AH120" s="19">
        <f t="shared" si="277"/>
        <v>0.07134571406</v>
      </c>
      <c r="AI120" s="19">
        <f t="shared" si="277"/>
        <v>0.1144848925</v>
      </c>
      <c r="AJ120" s="19">
        <f t="shared" si="277"/>
        <v>0.1206244915</v>
      </c>
      <c r="AK120" s="19">
        <f t="shared" si="277"/>
        <v>0.1354814623</v>
      </c>
      <c r="AL120" s="19">
        <f t="shared" si="277"/>
        <v>0.1202284513</v>
      </c>
      <c r="AM120" s="19">
        <f t="shared" si="277"/>
        <v>0.1054741111</v>
      </c>
      <c r="AN120" s="19">
        <f t="shared" si="277"/>
        <v>0.1427257041</v>
      </c>
      <c r="AO120" s="19">
        <f t="shared" si="277"/>
        <v>0.1747598085</v>
      </c>
      <c r="AP120" s="19">
        <f t="shared" si="277"/>
        <v>0.175518993</v>
      </c>
      <c r="AQ120" s="19">
        <f t="shared" si="277"/>
        <v>0.1905832156</v>
      </c>
      <c r="AR120" s="19">
        <f t="shared" si="277"/>
        <v>0.1959685534</v>
      </c>
      <c r="AS120" s="19">
        <f t="shared" si="277"/>
        <v>0.2020034443</v>
      </c>
      <c r="AT120" s="19">
        <f t="shared" si="277"/>
        <v>0.2075911191</v>
      </c>
      <c r="AU120" s="19">
        <f t="shared" si="277"/>
        <v>0.2098714559</v>
      </c>
      <c r="AV120" s="19">
        <f t="shared" si="277"/>
        <v>0.2110952396</v>
      </c>
      <c r="AW120" s="19">
        <f t="shared" si="277"/>
        <v>0.2145803541</v>
      </c>
      <c r="AX120" s="19">
        <f t="shared" si="277"/>
        <v>0.2178233205</v>
      </c>
      <c r="AY120" s="19">
        <f t="shared" si="277"/>
        <v>0.217523358</v>
      </c>
      <c r="AZ120" s="19">
        <f t="shared" si="277"/>
        <v>0.2150872816</v>
      </c>
      <c r="BA120" s="19">
        <f t="shared" si="277"/>
        <v>0.2135975666</v>
      </c>
      <c r="BB120" s="19">
        <f t="shared" si="277"/>
        <v>0.2120068065</v>
      </c>
      <c r="BC120" s="19">
        <f t="shared" si="277"/>
        <v>0.2091852136</v>
      </c>
      <c r="BD120" s="19">
        <f t="shared" si="277"/>
        <v>0.2069272836</v>
      </c>
      <c r="BE120" s="19">
        <f t="shared" si="277"/>
        <v>0.204897952</v>
      </c>
      <c r="BF120" s="19">
        <f t="shared" si="277"/>
        <v>0.2028366722</v>
      </c>
      <c r="BG120" s="19">
        <f t="shared" si="277"/>
        <v>0.2004004112</v>
      </c>
      <c r="BH120" s="19">
        <f t="shared" si="277"/>
        <v>0.1984306041</v>
      </c>
      <c r="BI120" s="19">
        <f t="shared" si="277"/>
        <v>0.1966544025</v>
      </c>
      <c r="BJ120" s="19">
        <f t="shared" si="277"/>
        <v>0.1948509075</v>
      </c>
      <c r="BK120" s="19">
        <f t="shared" si="277"/>
        <v>0.1927269723</v>
      </c>
      <c r="BL120" s="19">
        <f t="shared" si="277"/>
        <v>0.190999052</v>
      </c>
      <c r="BM120" s="19">
        <f t="shared" si="277"/>
        <v>0.1894361985</v>
      </c>
      <c r="BN120" s="19">
        <f t="shared" si="277"/>
        <v>0.1878496855</v>
      </c>
      <c r="BO120" s="19">
        <f t="shared" si="277"/>
        <v>0.1859868537</v>
      </c>
      <c r="BP120" s="19">
        <f t="shared" si="277"/>
        <v>0.1844634311</v>
      </c>
      <c r="BQ120" s="19">
        <f t="shared" si="277"/>
        <v>0.183081811</v>
      </c>
      <c r="BR120" s="19">
        <f t="shared" si="277"/>
        <v>0.1817586924</v>
      </c>
      <c r="BS120" s="19">
        <f t="shared" si="277"/>
        <v>0.1802628011</v>
      </c>
      <c r="BT120" s="19">
        <f t="shared" si="277"/>
        <v>0.1791231055</v>
      </c>
      <c r="BU120" s="19">
        <f t="shared" si="277"/>
        <v>0.1781710162</v>
      </c>
      <c r="BV120" s="19">
        <f t="shared" si="277"/>
        <v>0.1771705789</v>
      </c>
      <c r="BW120" s="19">
        <f t="shared" si="277"/>
        <v>0.1759293228</v>
      </c>
      <c r="BX120" s="6" t="s">
        <v>35</v>
      </c>
      <c r="BY120" s="19">
        <f t="shared" ref="BY120:CP120" si="278">BY47/BY93</f>
        <v>-0.1348815131</v>
      </c>
      <c r="BZ120" s="19">
        <f t="shared" si="278"/>
        <v>0.07772686718</v>
      </c>
      <c r="CA120" s="19">
        <f t="shared" si="278"/>
        <v>-0.1447278478</v>
      </c>
      <c r="CB120" s="19">
        <f t="shared" si="278"/>
        <v>-0.01372425594</v>
      </c>
      <c r="CC120" s="19">
        <f t="shared" si="278"/>
        <v>0.06329235334</v>
      </c>
      <c r="CD120" s="19">
        <f t="shared" si="278"/>
        <v>0.2928094083</v>
      </c>
      <c r="CE120" s="19">
        <f t="shared" si="278"/>
        <v>0.1050631745</v>
      </c>
      <c r="CF120" s="19">
        <f t="shared" si="278"/>
        <v>0.1144848925</v>
      </c>
      <c r="CG120" s="19">
        <f t="shared" si="278"/>
        <v>0.1054741111</v>
      </c>
      <c r="CH120" s="19">
        <f t="shared" si="278"/>
        <v>0.1905832156</v>
      </c>
      <c r="CI120" s="19">
        <f t="shared" si="278"/>
        <v>0.2098714559</v>
      </c>
      <c r="CJ120" s="19">
        <f t="shared" si="278"/>
        <v>0.217523358</v>
      </c>
      <c r="CK120" s="19">
        <f t="shared" si="278"/>
        <v>0.2091852136</v>
      </c>
      <c r="CL120" s="19">
        <f t="shared" si="278"/>
        <v>0.2004004112</v>
      </c>
      <c r="CM120" s="19">
        <f t="shared" si="278"/>
        <v>0.1927269723</v>
      </c>
      <c r="CN120" s="19">
        <f t="shared" si="278"/>
        <v>0.1859868537</v>
      </c>
      <c r="CO120" s="19">
        <f t="shared" si="278"/>
        <v>0.1802628011</v>
      </c>
      <c r="CP120" s="19">
        <f t="shared" si="278"/>
        <v>0.1759293228</v>
      </c>
      <c r="CQ120" s="6" t="s">
        <v>35</v>
      </c>
    </row>
    <row r="121" ht="14.25" customHeight="1">
      <c r="B121" s="53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19">
        <f>Inputs!Z363</f>
        <v>0.1034284494</v>
      </c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" t="s">
        <v>35</v>
      </c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" t="s">
        <v>35</v>
      </c>
    </row>
    <row r="122" ht="14.25" customHeight="1">
      <c r="B122" s="53" t="s">
        <v>88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" t="s">
        <v>35</v>
      </c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" t="s">
        <v>35</v>
      </c>
    </row>
    <row r="123" ht="14.25" customHeight="1">
      <c r="B123" s="72" t="s">
        <v>67</v>
      </c>
      <c r="D123" s="64"/>
      <c r="E123" s="64"/>
      <c r="F123" s="64"/>
      <c r="G123" s="64">
        <f t="shared" ref="G123:BW123" si="279">+G124+G125+G126</f>
        <v>80.719</v>
      </c>
      <c r="H123" s="64">
        <f t="shared" si="279"/>
        <v>89.726</v>
      </c>
      <c r="I123" s="64">
        <f t="shared" si="279"/>
        <v>86.278</v>
      </c>
      <c r="J123" s="64">
        <f t="shared" si="279"/>
        <v>86.606</v>
      </c>
      <c r="K123" s="64">
        <f t="shared" si="279"/>
        <v>93.878</v>
      </c>
      <c r="L123" s="64">
        <f t="shared" si="279"/>
        <v>97.474</v>
      </c>
      <c r="M123" s="64">
        <f t="shared" si="279"/>
        <v>91.728</v>
      </c>
      <c r="N123" s="64">
        <f t="shared" si="279"/>
        <v>87.085</v>
      </c>
      <c r="O123" s="64">
        <f t="shared" si="279"/>
        <v>78.321</v>
      </c>
      <c r="P123" s="64">
        <f t="shared" si="279"/>
        <v>96.112</v>
      </c>
      <c r="Q123" s="64">
        <f t="shared" si="279"/>
        <v>79.84</v>
      </c>
      <c r="R123" s="64">
        <f t="shared" si="279"/>
        <v>83.484</v>
      </c>
      <c r="S123" s="64">
        <f t="shared" si="279"/>
        <v>87.148</v>
      </c>
      <c r="T123" s="64">
        <f t="shared" si="279"/>
        <v>102.004</v>
      </c>
      <c r="U123" s="64">
        <f t="shared" si="279"/>
        <v>124.648</v>
      </c>
      <c r="V123" s="64">
        <f t="shared" si="279"/>
        <v>123.029</v>
      </c>
      <c r="W123" s="64">
        <f t="shared" si="279"/>
        <v>125.132</v>
      </c>
      <c r="X123" s="64">
        <f t="shared" si="279"/>
        <v>137.724</v>
      </c>
      <c r="Y123" s="64">
        <f t="shared" si="279"/>
        <v>177.872</v>
      </c>
      <c r="Z123" s="64">
        <f t="shared" si="279"/>
        <v>227.158</v>
      </c>
      <c r="AA123" s="64">
        <f t="shared" si="279"/>
        <v>223.026</v>
      </c>
      <c r="AB123" s="64">
        <f t="shared" si="279"/>
        <v>245.288</v>
      </c>
      <c r="AC123" s="64">
        <f t="shared" si="279"/>
        <v>294.572</v>
      </c>
      <c r="AD123" s="64">
        <f t="shared" si="279"/>
        <v>258.634</v>
      </c>
      <c r="AE123" s="64">
        <f t="shared" si="279"/>
        <v>296.765</v>
      </c>
      <c r="AF123" s="64">
        <f t="shared" si="279"/>
        <v>265.235</v>
      </c>
      <c r="AG123" s="64">
        <f t="shared" si="279"/>
        <v>256.332</v>
      </c>
      <c r="AH123" s="64">
        <f t="shared" si="279"/>
        <v>387.907</v>
      </c>
      <c r="AI123" s="64">
        <f t="shared" si="279"/>
        <v>345.348</v>
      </c>
      <c r="AJ123" s="64">
        <f t="shared" si="279"/>
        <v>414.315</v>
      </c>
      <c r="AK123" s="64">
        <f t="shared" si="279"/>
        <v>368.6618696</v>
      </c>
      <c r="AL123" s="64">
        <f t="shared" si="279"/>
        <v>343.0587109</v>
      </c>
      <c r="AM123" s="64">
        <f t="shared" si="279"/>
        <v>337.0706833</v>
      </c>
      <c r="AN123" s="64">
        <f t="shared" si="279"/>
        <v>423.8360557</v>
      </c>
      <c r="AO123" s="64">
        <f t="shared" si="279"/>
        <v>392.1092073</v>
      </c>
      <c r="AP123" s="64">
        <f t="shared" si="279"/>
        <v>375.2987444</v>
      </c>
      <c r="AQ123" s="64">
        <f t="shared" si="279"/>
        <v>364.7069364</v>
      </c>
      <c r="AR123" s="64">
        <f t="shared" si="279"/>
        <v>468.8205095</v>
      </c>
      <c r="AS123" s="64">
        <f t="shared" si="279"/>
        <v>431.5841471</v>
      </c>
      <c r="AT123" s="64">
        <f t="shared" si="279"/>
        <v>411.0565137</v>
      </c>
      <c r="AU123" s="64">
        <f t="shared" si="279"/>
        <v>398.4792611</v>
      </c>
      <c r="AV123" s="64">
        <f t="shared" si="279"/>
        <v>512.2493272</v>
      </c>
      <c r="AW123" s="64">
        <f t="shared" si="279"/>
        <v>471.5636038</v>
      </c>
      <c r="AX123" s="64">
        <f t="shared" si="279"/>
        <v>449.1344093</v>
      </c>
      <c r="AY123" s="64">
        <f t="shared" si="279"/>
        <v>435.3920728</v>
      </c>
      <c r="AZ123" s="64">
        <f t="shared" si="279"/>
        <v>559.7011392</v>
      </c>
      <c r="BA123" s="64">
        <f t="shared" si="279"/>
        <v>515.246526</v>
      </c>
      <c r="BB123" s="64">
        <f t="shared" si="279"/>
        <v>490.7396207</v>
      </c>
      <c r="BC123" s="64">
        <f t="shared" si="279"/>
        <v>475.7242738</v>
      </c>
      <c r="BD123" s="64">
        <f t="shared" si="279"/>
        <v>611.5486124</v>
      </c>
      <c r="BE123" s="64">
        <f t="shared" si="279"/>
        <v>562.9759811</v>
      </c>
      <c r="BF123" s="64">
        <f t="shared" si="279"/>
        <v>536.198898</v>
      </c>
      <c r="BG123" s="64">
        <f t="shared" si="279"/>
        <v>519.7926163</v>
      </c>
      <c r="BH123" s="64">
        <f t="shared" si="279"/>
        <v>668.1989353</v>
      </c>
      <c r="BI123" s="64">
        <f t="shared" si="279"/>
        <v>615.1268166</v>
      </c>
      <c r="BJ123" s="64">
        <f t="shared" si="279"/>
        <v>585.8692596</v>
      </c>
      <c r="BK123" s="64">
        <f t="shared" si="279"/>
        <v>567.9431949</v>
      </c>
      <c r="BL123" s="64">
        <f t="shared" si="279"/>
        <v>730.0970161</v>
      </c>
      <c r="BM123" s="64">
        <f t="shared" si="279"/>
        <v>672.1086037</v>
      </c>
      <c r="BN123" s="64">
        <f t="shared" si="279"/>
        <v>640.1407959</v>
      </c>
      <c r="BO123" s="64">
        <f t="shared" si="279"/>
        <v>620.5541644</v>
      </c>
      <c r="BP123" s="64">
        <f t="shared" si="279"/>
        <v>797.7289768</v>
      </c>
      <c r="BQ123" s="64">
        <f t="shared" si="279"/>
        <v>734.3688535</v>
      </c>
      <c r="BR123" s="64">
        <f t="shared" si="279"/>
        <v>699.4397332</v>
      </c>
      <c r="BS123" s="64">
        <f t="shared" si="279"/>
        <v>678.0387095</v>
      </c>
      <c r="BT123" s="64">
        <f t="shared" si="279"/>
        <v>871.6259708</v>
      </c>
      <c r="BU123" s="64">
        <f t="shared" si="279"/>
        <v>802.3965325</v>
      </c>
      <c r="BV123" s="64">
        <f t="shared" si="279"/>
        <v>764.2317806</v>
      </c>
      <c r="BW123" s="64">
        <f t="shared" si="279"/>
        <v>740.84829</v>
      </c>
      <c r="BX123" s="6" t="s">
        <v>35</v>
      </c>
      <c r="BY123" s="64">
        <f t="shared" ref="BY123:CP123" si="280">+BY124+BY125</f>
        <v>68.846</v>
      </c>
      <c r="BZ123" s="64">
        <f t="shared" si="280"/>
        <v>70.867</v>
      </c>
      <c r="CA123" s="64">
        <f t="shared" si="280"/>
        <v>53.299</v>
      </c>
      <c r="CB123" s="64">
        <f t="shared" si="280"/>
        <v>64.36</v>
      </c>
      <c r="CC123" s="64">
        <f t="shared" si="280"/>
        <v>112.439</v>
      </c>
      <c r="CD123" s="64">
        <f t="shared" si="280"/>
        <v>210.634</v>
      </c>
      <c r="CE123" s="64">
        <f t="shared" si="280"/>
        <v>281.337</v>
      </c>
      <c r="CF123" s="64">
        <f t="shared" si="280"/>
        <v>325.311</v>
      </c>
      <c r="CG123" s="64">
        <f t="shared" si="280"/>
        <v>317.5259638</v>
      </c>
      <c r="CH123" s="64">
        <f t="shared" si="280"/>
        <v>342.9797286</v>
      </c>
      <c r="CI123" s="64">
        <f t="shared" si="280"/>
        <v>374.7393705</v>
      </c>
      <c r="CJ123" s="64">
        <f t="shared" si="280"/>
        <v>409.4530563</v>
      </c>
      <c r="CK123" s="64">
        <f t="shared" si="280"/>
        <v>447.3824169</v>
      </c>
      <c r="CL123" s="64">
        <f t="shared" si="280"/>
        <v>488.8253339</v>
      </c>
      <c r="CM123" s="64">
        <f t="shared" si="280"/>
        <v>534.1072827</v>
      </c>
      <c r="CN123" s="64">
        <f t="shared" si="280"/>
        <v>583.5838892</v>
      </c>
      <c r="CO123" s="64">
        <f t="shared" si="280"/>
        <v>637.643722</v>
      </c>
      <c r="CP123" s="64">
        <f t="shared" si="280"/>
        <v>696.7113448</v>
      </c>
      <c r="CQ123" s="6" t="s">
        <v>35</v>
      </c>
    </row>
    <row r="124" ht="14.25" customHeight="1">
      <c r="B124" s="72" t="str">
        <f t="shared" ref="B124:B125" si="283">B62</f>
        <v>Contas a receber</v>
      </c>
      <c r="D124" s="64"/>
      <c r="E124" s="64"/>
      <c r="F124" s="64"/>
      <c r="G124" s="64">
        <f t="shared" ref="G124:BW124" si="281">G62</f>
        <v>67.184</v>
      </c>
      <c r="H124" s="64">
        <f t="shared" si="281"/>
        <v>76.973</v>
      </c>
      <c r="I124" s="64">
        <f t="shared" si="281"/>
        <v>70.422</v>
      </c>
      <c r="J124" s="64">
        <f t="shared" si="281"/>
        <v>66.556</v>
      </c>
      <c r="K124" s="64">
        <f t="shared" si="281"/>
        <v>69.815</v>
      </c>
      <c r="L124" s="64">
        <f t="shared" si="281"/>
        <v>71.528</v>
      </c>
      <c r="M124" s="64">
        <f t="shared" si="281"/>
        <v>65.509</v>
      </c>
      <c r="N124" s="64">
        <f t="shared" si="281"/>
        <v>60.125</v>
      </c>
      <c r="O124" s="64">
        <f t="shared" si="281"/>
        <v>52.607</v>
      </c>
      <c r="P124" s="64">
        <f t="shared" si="281"/>
        <v>69.492</v>
      </c>
      <c r="Q124" s="64">
        <f t="shared" si="281"/>
        <v>51.624</v>
      </c>
      <c r="R124" s="64">
        <f t="shared" si="281"/>
        <v>54.726</v>
      </c>
      <c r="S124" s="64">
        <f t="shared" si="281"/>
        <v>63.078</v>
      </c>
      <c r="T124" s="64">
        <f t="shared" si="281"/>
        <v>79.141</v>
      </c>
      <c r="U124" s="64">
        <f t="shared" si="281"/>
        <v>103.303</v>
      </c>
      <c r="V124" s="64">
        <f t="shared" si="281"/>
        <v>105.848</v>
      </c>
      <c r="W124" s="64">
        <f t="shared" si="281"/>
        <v>108.811</v>
      </c>
      <c r="X124" s="64">
        <f t="shared" si="281"/>
        <v>122.12</v>
      </c>
      <c r="Y124" s="64">
        <f t="shared" si="281"/>
        <v>159.082</v>
      </c>
      <c r="Z124" s="64">
        <f t="shared" si="281"/>
        <v>205.139</v>
      </c>
      <c r="AA124" s="64">
        <f t="shared" si="281"/>
        <v>205.273</v>
      </c>
      <c r="AB124" s="64">
        <f t="shared" si="281"/>
        <v>226.922</v>
      </c>
      <c r="AC124" s="64">
        <f t="shared" si="281"/>
        <v>271.795</v>
      </c>
      <c r="AD124" s="64">
        <f t="shared" si="281"/>
        <v>232.718</v>
      </c>
      <c r="AE124" s="64">
        <f t="shared" si="281"/>
        <v>276.728</v>
      </c>
      <c r="AF124" s="64">
        <f t="shared" si="281"/>
        <v>239.246</v>
      </c>
      <c r="AG124" s="64">
        <f t="shared" si="281"/>
        <v>223.53</v>
      </c>
      <c r="AH124" s="64">
        <f t="shared" si="281"/>
        <v>356.208</v>
      </c>
      <c r="AI124" s="64">
        <f t="shared" si="281"/>
        <v>319.533</v>
      </c>
      <c r="AJ124" s="64">
        <f t="shared" si="281"/>
        <v>380.24</v>
      </c>
      <c r="AK124" s="64">
        <f t="shared" si="281"/>
        <v>312.2686394</v>
      </c>
      <c r="AL124" s="64">
        <f t="shared" si="281"/>
        <v>314.0157137</v>
      </c>
      <c r="AM124" s="64">
        <f t="shared" si="281"/>
        <v>311.682531</v>
      </c>
      <c r="AN124" s="64">
        <f t="shared" si="281"/>
        <v>388.4047274</v>
      </c>
      <c r="AO124" s="64">
        <f t="shared" si="281"/>
        <v>330.8711853</v>
      </c>
      <c r="AP124" s="64">
        <f t="shared" si="281"/>
        <v>342.8003816</v>
      </c>
      <c r="AQ124" s="64">
        <f t="shared" si="281"/>
        <v>336.5122885</v>
      </c>
      <c r="AR124" s="64">
        <f t="shared" si="281"/>
        <v>429.649503</v>
      </c>
      <c r="AS124" s="64">
        <f t="shared" si="281"/>
        <v>364.2034751</v>
      </c>
      <c r="AT124" s="64">
        <f t="shared" si="281"/>
        <v>375.4756401</v>
      </c>
      <c r="AU124" s="64">
        <f t="shared" si="281"/>
        <v>367.6848387</v>
      </c>
      <c r="AV124" s="64">
        <f t="shared" si="281"/>
        <v>469.4497455</v>
      </c>
      <c r="AW124" s="64">
        <f t="shared" si="281"/>
        <v>397.9411765</v>
      </c>
      <c r="AX124" s="64">
        <f t="shared" si="281"/>
        <v>410.2575295</v>
      </c>
      <c r="AY124" s="64">
        <f t="shared" si="281"/>
        <v>401.7450334</v>
      </c>
      <c r="AZ124" s="64">
        <f t="shared" si="281"/>
        <v>512.936852</v>
      </c>
      <c r="BA124" s="64">
        <f t="shared" si="281"/>
        <v>434.8041432</v>
      </c>
      <c r="BB124" s="64">
        <f t="shared" si="281"/>
        <v>448.2614119</v>
      </c>
      <c r="BC124" s="64">
        <f t="shared" si="281"/>
        <v>438.9603674</v>
      </c>
      <c r="BD124" s="64">
        <f t="shared" si="281"/>
        <v>560.4523523</v>
      </c>
      <c r="BE124" s="64">
        <f t="shared" si="281"/>
        <v>475.0818817</v>
      </c>
      <c r="BF124" s="64">
        <f t="shared" si="281"/>
        <v>489.7857539</v>
      </c>
      <c r="BG124" s="64">
        <f t="shared" si="281"/>
        <v>479.6231145</v>
      </c>
      <c r="BH124" s="64">
        <f t="shared" si="281"/>
        <v>612.3694135</v>
      </c>
      <c r="BI124" s="64">
        <f t="shared" si="281"/>
        <v>519.0907168</v>
      </c>
      <c r="BJ124" s="64">
        <f t="shared" si="281"/>
        <v>535.1566705</v>
      </c>
      <c r="BK124" s="64">
        <f t="shared" si="281"/>
        <v>524.0526231</v>
      </c>
      <c r="BL124" s="64">
        <f t="shared" si="281"/>
        <v>669.0957706</v>
      </c>
      <c r="BM124" s="64">
        <f t="shared" si="281"/>
        <v>567.1762755</v>
      </c>
      <c r="BN124" s="64">
        <f t="shared" si="281"/>
        <v>584.7304862</v>
      </c>
      <c r="BO124" s="64">
        <f t="shared" si="281"/>
        <v>572.5978241</v>
      </c>
      <c r="BP124" s="64">
        <f t="shared" si="281"/>
        <v>731.0769291</v>
      </c>
      <c r="BQ124" s="64">
        <f t="shared" si="281"/>
        <v>619.716202</v>
      </c>
      <c r="BR124" s="64">
        <f t="shared" si="281"/>
        <v>638.8965331</v>
      </c>
      <c r="BS124" s="64">
        <f t="shared" si="281"/>
        <v>625.6399714</v>
      </c>
      <c r="BT124" s="64">
        <f t="shared" si="281"/>
        <v>798.7996633</v>
      </c>
      <c r="BU124" s="64">
        <f t="shared" si="281"/>
        <v>677.1231231</v>
      </c>
      <c r="BV124" s="64">
        <f t="shared" si="281"/>
        <v>698.080209</v>
      </c>
      <c r="BW124" s="64">
        <f t="shared" si="281"/>
        <v>683.5956362</v>
      </c>
      <c r="BX124" s="6" t="s">
        <v>35</v>
      </c>
      <c r="BY124" s="64">
        <f t="shared" ref="BY124:CP124" si="282">BY62</f>
        <v>67.184</v>
      </c>
      <c r="BZ124" s="64">
        <f t="shared" si="282"/>
        <v>69.815</v>
      </c>
      <c r="CA124" s="64">
        <f t="shared" si="282"/>
        <v>52.607</v>
      </c>
      <c r="CB124" s="64">
        <f t="shared" si="282"/>
        <v>63.078</v>
      </c>
      <c r="CC124" s="64">
        <f t="shared" si="282"/>
        <v>108.811</v>
      </c>
      <c r="CD124" s="64">
        <f t="shared" si="282"/>
        <v>205.273</v>
      </c>
      <c r="CE124" s="64">
        <f t="shared" si="282"/>
        <v>276.728</v>
      </c>
      <c r="CF124" s="64">
        <f t="shared" si="282"/>
        <v>319.533</v>
      </c>
      <c r="CG124" s="64">
        <f t="shared" si="282"/>
        <v>311.682531</v>
      </c>
      <c r="CH124" s="64">
        <f t="shared" si="282"/>
        <v>336.5122885</v>
      </c>
      <c r="CI124" s="64">
        <f t="shared" si="282"/>
        <v>367.6848387</v>
      </c>
      <c r="CJ124" s="64">
        <f t="shared" si="282"/>
        <v>401.7450334</v>
      </c>
      <c r="CK124" s="64">
        <f t="shared" si="282"/>
        <v>438.9603674</v>
      </c>
      <c r="CL124" s="64">
        <f t="shared" si="282"/>
        <v>479.6231145</v>
      </c>
      <c r="CM124" s="64">
        <f t="shared" si="282"/>
        <v>524.0526231</v>
      </c>
      <c r="CN124" s="64">
        <f t="shared" si="282"/>
        <v>572.5978241</v>
      </c>
      <c r="CO124" s="64">
        <f t="shared" si="282"/>
        <v>625.6399714</v>
      </c>
      <c r="CP124" s="64">
        <f t="shared" si="282"/>
        <v>683.5956362</v>
      </c>
      <c r="CQ124" s="6" t="s">
        <v>35</v>
      </c>
    </row>
    <row r="125" ht="14.25" customHeight="1">
      <c r="B125" s="72" t="str">
        <f t="shared" si="283"/>
        <v>Estoques</v>
      </c>
      <c r="D125" s="64"/>
      <c r="E125" s="64"/>
      <c r="F125" s="64"/>
      <c r="G125" s="64">
        <f t="shared" ref="G125:BW125" si="284">G63</f>
        <v>1.662</v>
      </c>
      <c r="H125" s="64">
        <f t="shared" si="284"/>
        <v>0.067</v>
      </c>
      <c r="I125" s="64">
        <f t="shared" si="284"/>
        <v>1.469</v>
      </c>
      <c r="J125" s="64">
        <f t="shared" si="284"/>
        <v>1.529</v>
      </c>
      <c r="K125" s="64">
        <f t="shared" si="284"/>
        <v>1.052</v>
      </c>
      <c r="L125" s="64">
        <f t="shared" si="284"/>
        <v>1.336</v>
      </c>
      <c r="M125" s="64">
        <f t="shared" si="284"/>
        <v>0.684</v>
      </c>
      <c r="N125" s="64">
        <f t="shared" si="284"/>
        <v>1.442</v>
      </c>
      <c r="O125" s="64">
        <f t="shared" si="284"/>
        <v>0.692</v>
      </c>
      <c r="P125" s="64">
        <f t="shared" si="284"/>
        <v>0.924</v>
      </c>
      <c r="Q125" s="64">
        <f t="shared" si="284"/>
        <v>0.639</v>
      </c>
      <c r="R125" s="64">
        <f t="shared" si="284"/>
        <v>1.172</v>
      </c>
      <c r="S125" s="64">
        <f t="shared" si="284"/>
        <v>1.282</v>
      </c>
      <c r="T125" s="64">
        <f t="shared" si="284"/>
        <v>2.619</v>
      </c>
      <c r="U125" s="64">
        <f t="shared" si="284"/>
        <v>2.954</v>
      </c>
      <c r="V125" s="64">
        <f t="shared" si="284"/>
        <v>3.483</v>
      </c>
      <c r="W125" s="64">
        <f t="shared" si="284"/>
        <v>3.628</v>
      </c>
      <c r="X125" s="64">
        <f t="shared" si="284"/>
        <v>3.529</v>
      </c>
      <c r="Y125" s="64">
        <f t="shared" si="284"/>
        <v>4.308</v>
      </c>
      <c r="Z125" s="64">
        <f t="shared" si="284"/>
        <v>5.66</v>
      </c>
      <c r="AA125" s="64">
        <f t="shared" si="284"/>
        <v>5.361</v>
      </c>
      <c r="AB125" s="64">
        <f t="shared" si="284"/>
        <v>4.729</v>
      </c>
      <c r="AC125" s="64">
        <f t="shared" si="284"/>
        <v>4.796</v>
      </c>
      <c r="AD125" s="64">
        <f t="shared" si="284"/>
        <v>5.988</v>
      </c>
      <c r="AE125" s="64">
        <f t="shared" si="284"/>
        <v>4.609</v>
      </c>
      <c r="AF125" s="64">
        <f t="shared" si="284"/>
        <v>4.431</v>
      </c>
      <c r="AG125" s="64">
        <f t="shared" si="284"/>
        <v>5.692</v>
      </c>
      <c r="AH125" s="64">
        <f t="shared" si="284"/>
        <v>5.732</v>
      </c>
      <c r="AI125" s="64">
        <f t="shared" si="284"/>
        <v>5.778</v>
      </c>
      <c r="AJ125" s="64">
        <f t="shared" si="284"/>
        <v>6.781</v>
      </c>
      <c r="AK125" s="64">
        <f t="shared" si="284"/>
        <v>9.567857104</v>
      </c>
      <c r="AL125" s="64">
        <f t="shared" si="284"/>
        <v>5.290911371</v>
      </c>
      <c r="AM125" s="64">
        <f t="shared" si="284"/>
        <v>5.843432796</v>
      </c>
      <c r="AN125" s="64">
        <f t="shared" si="284"/>
        <v>6.945622209</v>
      </c>
      <c r="AO125" s="64">
        <f t="shared" si="284"/>
        <v>10.35701971</v>
      </c>
      <c r="AP125" s="64">
        <f t="shared" si="284"/>
        <v>5.902236753</v>
      </c>
      <c r="AQ125" s="64">
        <f t="shared" si="284"/>
        <v>6.467440097</v>
      </c>
      <c r="AR125" s="64">
        <f t="shared" si="284"/>
        <v>7.660397619</v>
      </c>
      <c r="AS125" s="64">
        <f t="shared" si="284"/>
        <v>11.37386732</v>
      </c>
      <c r="AT125" s="64">
        <f t="shared" si="284"/>
        <v>6.449641568</v>
      </c>
      <c r="AU125" s="64">
        <f t="shared" si="284"/>
        <v>7.054531837</v>
      </c>
      <c r="AV125" s="64">
        <f t="shared" si="284"/>
        <v>8.370012505</v>
      </c>
      <c r="AW125" s="64">
        <f t="shared" si="284"/>
        <v>12.42747654</v>
      </c>
      <c r="AX125" s="64">
        <f t="shared" si="284"/>
        <v>7.047099023</v>
      </c>
      <c r="AY125" s="64">
        <f t="shared" si="284"/>
        <v>7.708022824</v>
      </c>
      <c r="AZ125" s="64">
        <f t="shared" si="284"/>
        <v>9.145362005</v>
      </c>
      <c r="BA125" s="64">
        <f t="shared" si="284"/>
        <v>13.57868602</v>
      </c>
      <c r="BB125" s="64">
        <f t="shared" si="284"/>
        <v>7.699901477</v>
      </c>
      <c r="BC125" s="64">
        <f t="shared" si="284"/>
        <v>8.422049433</v>
      </c>
      <c r="BD125" s="64">
        <f t="shared" si="284"/>
        <v>9.992535394</v>
      </c>
      <c r="BE125" s="64">
        <f t="shared" si="284"/>
        <v>14.83653688</v>
      </c>
      <c r="BF125" s="64">
        <f t="shared" si="284"/>
        <v>8.413175771</v>
      </c>
      <c r="BG125" s="64">
        <f t="shared" si="284"/>
        <v>9.202219333</v>
      </c>
      <c r="BH125" s="64">
        <f t="shared" si="284"/>
        <v>10.91818602</v>
      </c>
      <c r="BI125" s="64">
        <f t="shared" si="284"/>
        <v>16.21090776</v>
      </c>
      <c r="BJ125" s="64">
        <f t="shared" si="284"/>
        <v>9.192523667</v>
      </c>
      <c r="BK125" s="64">
        <f t="shared" si="284"/>
        <v>10.05465966</v>
      </c>
      <c r="BL125" s="64">
        <f t="shared" si="284"/>
        <v>11.92958356</v>
      </c>
      <c r="BM125" s="64">
        <f t="shared" si="284"/>
        <v>17.7125924</v>
      </c>
      <c r="BN125" s="64">
        <f t="shared" si="284"/>
        <v>10.04406584</v>
      </c>
      <c r="BO125" s="64">
        <f t="shared" si="284"/>
        <v>10.98606511</v>
      </c>
      <c r="BP125" s="64">
        <f t="shared" si="284"/>
        <v>13.03467112</v>
      </c>
      <c r="BQ125" s="64">
        <f t="shared" si="284"/>
        <v>19.35338442</v>
      </c>
      <c r="BR125" s="64">
        <f t="shared" si="284"/>
        <v>10.97448995</v>
      </c>
      <c r="BS125" s="64">
        <f t="shared" si="284"/>
        <v>12.00375058</v>
      </c>
      <c r="BT125" s="64">
        <f t="shared" si="284"/>
        <v>14.24212759</v>
      </c>
      <c r="BU125" s="64">
        <f t="shared" si="284"/>
        <v>21.1461699</v>
      </c>
      <c r="BV125" s="64">
        <f t="shared" si="284"/>
        <v>11.99110316</v>
      </c>
      <c r="BW125" s="64">
        <f t="shared" si="284"/>
        <v>13.11570854</v>
      </c>
      <c r="BX125" s="6" t="s">
        <v>35</v>
      </c>
      <c r="BY125" s="64">
        <f t="shared" ref="BY125:CP125" si="285">BY63</f>
        <v>1.662</v>
      </c>
      <c r="BZ125" s="64">
        <f t="shared" si="285"/>
        <v>1.052</v>
      </c>
      <c r="CA125" s="64">
        <f t="shared" si="285"/>
        <v>0.692</v>
      </c>
      <c r="CB125" s="64">
        <f t="shared" si="285"/>
        <v>1.282</v>
      </c>
      <c r="CC125" s="64">
        <f t="shared" si="285"/>
        <v>3.628</v>
      </c>
      <c r="CD125" s="64">
        <f t="shared" si="285"/>
        <v>5.361</v>
      </c>
      <c r="CE125" s="64">
        <f t="shared" si="285"/>
        <v>4.609</v>
      </c>
      <c r="CF125" s="64">
        <f t="shared" si="285"/>
        <v>5.778</v>
      </c>
      <c r="CG125" s="64">
        <f t="shared" si="285"/>
        <v>5.843432796</v>
      </c>
      <c r="CH125" s="64">
        <f t="shared" si="285"/>
        <v>6.467440097</v>
      </c>
      <c r="CI125" s="64">
        <f t="shared" si="285"/>
        <v>7.054531837</v>
      </c>
      <c r="CJ125" s="64">
        <f t="shared" si="285"/>
        <v>7.708022824</v>
      </c>
      <c r="CK125" s="64">
        <f t="shared" si="285"/>
        <v>8.422049433</v>
      </c>
      <c r="CL125" s="64">
        <f t="shared" si="285"/>
        <v>9.202219333</v>
      </c>
      <c r="CM125" s="64">
        <f t="shared" si="285"/>
        <v>10.05465966</v>
      </c>
      <c r="CN125" s="64">
        <f t="shared" si="285"/>
        <v>10.98606511</v>
      </c>
      <c r="CO125" s="64">
        <f t="shared" si="285"/>
        <v>12.00375058</v>
      </c>
      <c r="CP125" s="64">
        <f t="shared" si="285"/>
        <v>13.11570854</v>
      </c>
      <c r="CQ125" s="6" t="s">
        <v>35</v>
      </c>
    </row>
    <row r="126" ht="14.25" customHeight="1">
      <c r="B126" s="72" t="s">
        <v>89</v>
      </c>
      <c r="D126" s="64"/>
      <c r="E126" s="64"/>
      <c r="F126" s="64"/>
      <c r="G126" s="64">
        <f t="shared" ref="G126:BW126" si="286">G64</f>
        <v>11.873</v>
      </c>
      <c r="H126" s="64">
        <f t="shared" si="286"/>
        <v>12.686</v>
      </c>
      <c r="I126" s="64">
        <f t="shared" si="286"/>
        <v>14.387</v>
      </c>
      <c r="J126" s="64">
        <f t="shared" si="286"/>
        <v>18.521</v>
      </c>
      <c r="K126" s="64">
        <f t="shared" si="286"/>
        <v>23.011</v>
      </c>
      <c r="L126" s="64">
        <f t="shared" si="286"/>
        <v>24.61</v>
      </c>
      <c r="M126" s="64">
        <f t="shared" si="286"/>
        <v>25.535</v>
      </c>
      <c r="N126" s="64">
        <f t="shared" si="286"/>
        <v>25.518</v>
      </c>
      <c r="O126" s="64">
        <f t="shared" si="286"/>
        <v>25.022</v>
      </c>
      <c r="P126" s="64">
        <f t="shared" si="286"/>
        <v>25.696</v>
      </c>
      <c r="Q126" s="64">
        <f t="shared" si="286"/>
        <v>27.577</v>
      </c>
      <c r="R126" s="64">
        <f t="shared" si="286"/>
        <v>27.586</v>
      </c>
      <c r="S126" s="64">
        <f t="shared" si="286"/>
        <v>22.788</v>
      </c>
      <c r="T126" s="64">
        <f t="shared" si="286"/>
        <v>20.244</v>
      </c>
      <c r="U126" s="64">
        <f t="shared" si="286"/>
        <v>18.391</v>
      </c>
      <c r="V126" s="64">
        <f t="shared" si="286"/>
        <v>13.698</v>
      </c>
      <c r="W126" s="64">
        <f t="shared" si="286"/>
        <v>12.693</v>
      </c>
      <c r="X126" s="64">
        <f t="shared" si="286"/>
        <v>12.075</v>
      </c>
      <c r="Y126" s="64">
        <f t="shared" si="286"/>
        <v>14.482</v>
      </c>
      <c r="Z126" s="64">
        <f t="shared" si="286"/>
        <v>16.359</v>
      </c>
      <c r="AA126" s="64">
        <f t="shared" si="286"/>
        <v>12.392</v>
      </c>
      <c r="AB126" s="64">
        <f t="shared" si="286"/>
        <v>13.637</v>
      </c>
      <c r="AC126" s="64">
        <f t="shared" si="286"/>
        <v>17.981</v>
      </c>
      <c r="AD126" s="64">
        <f t="shared" si="286"/>
        <v>19.928</v>
      </c>
      <c r="AE126" s="64">
        <f t="shared" si="286"/>
        <v>15.428</v>
      </c>
      <c r="AF126" s="64">
        <f t="shared" si="286"/>
        <v>21.558</v>
      </c>
      <c r="AG126" s="64">
        <f t="shared" si="286"/>
        <v>27.11</v>
      </c>
      <c r="AH126" s="64">
        <f t="shared" si="286"/>
        <v>25.967</v>
      </c>
      <c r="AI126" s="64">
        <f t="shared" si="286"/>
        <v>20.037</v>
      </c>
      <c r="AJ126" s="64">
        <f t="shared" si="286"/>
        <v>27.294</v>
      </c>
      <c r="AK126" s="64">
        <f t="shared" si="286"/>
        <v>46.82537306</v>
      </c>
      <c r="AL126" s="64">
        <f t="shared" si="286"/>
        <v>23.75208584</v>
      </c>
      <c r="AM126" s="64">
        <f t="shared" si="286"/>
        <v>19.54471956</v>
      </c>
      <c r="AN126" s="64">
        <f t="shared" si="286"/>
        <v>28.48570608</v>
      </c>
      <c r="AO126" s="64">
        <f t="shared" si="286"/>
        <v>50.88100227</v>
      </c>
      <c r="AP126" s="64">
        <f t="shared" si="286"/>
        <v>26.59612606</v>
      </c>
      <c r="AQ126" s="64">
        <f t="shared" si="286"/>
        <v>21.72720781</v>
      </c>
      <c r="AR126" s="64">
        <f t="shared" si="286"/>
        <v>31.5106089</v>
      </c>
      <c r="AS126" s="64">
        <f t="shared" si="286"/>
        <v>56.00680466</v>
      </c>
      <c r="AT126" s="64">
        <f t="shared" si="286"/>
        <v>29.13123203</v>
      </c>
      <c r="AU126" s="64">
        <f t="shared" si="286"/>
        <v>23.73989055</v>
      </c>
      <c r="AV126" s="64">
        <f t="shared" si="286"/>
        <v>34.42956928</v>
      </c>
      <c r="AW126" s="64">
        <f t="shared" si="286"/>
        <v>61.19495079</v>
      </c>
      <c r="AX126" s="64">
        <f t="shared" si="286"/>
        <v>31.82978071</v>
      </c>
      <c r="AY126" s="64">
        <f t="shared" si="286"/>
        <v>25.93901657</v>
      </c>
      <c r="AZ126" s="64">
        <f t="shared" si="286"/>
        <v>37.61892525</v>
      </c>
      <c r="BA126" s="64">
        <f t="shared" si="286"/>
        <v>66.86369674</v>
      </c>
      <c r="BB126" s="64">
        <f t="shared" si="286"/>
        <v>34.77830732</v>
      </c>
      <c r="BC126" s="64">
        <f t="shared" si="286"/>
        <v>28.34185689</v>
      </c>
      <c r="BD126" s="64">
        <f t="shared" si="286"/>
        <v>41.10372469</v>
      </c>
      <c r="BE126" s="64">
        <f t="shared" si="286"/>
        <v>73.0575625</v>
      </c>
      <c r="BF126" s="64">
        <f t="shared" si="286"/>
        <v>37.99996836</v>
      </c>
      <c r="BG126" s="64">
        <f t="shared" si="286"/>
        <v>30.96728243</v>
      </c>
      <c r="BH126" s="64">
        <f t="shared" si="286"/>
        <v>44.91133577</v>
      </c>
      <c r="BI126" s="64">
        <f t="shared" si="286"/>
        <v>79.82519213</v>
      </c>
      <c r="BJ126" s="64">
        <f t="shared" si="286"/>
        <v>41.52006543</v>
      </c>
      <c r="BK126" s="64">
        <f t="shared" si="286"/>
        <v>33.83591219</v>
      </c>
      <c r="BL126" s="64">
        <f t="shared" si="286"/>
        <v>49.07166191</v>
      </c>
      <c r="BM126" s="64">
        <f t="shared" si="286"/>
        <v>87.21973578</v>
      </c>
      <c r="BN126" s="64">
        <f t="shared" si="286"/>
        <v>45.36624391</v>
      </c>
      <c r="BO126" s="64">
        <f t="shared" si="286"/>
        <v>36.9702752</v>
      </c>
      <c r="BP126" s="64">
        <f t="shared" si="286"/>
        <v>53.61737656</v>
      </c>
      <c r="BQ126" s="64">
        <f t="shared" si="286"/>
        <v>95.29926714</v>
      </c>
      <c r="BR126" s="64">
        <f t="shared" si="286"/>
        <v>49.5687101</v>
      </c>
      <c r="BS126" s="64">
        <f t="shared" si="286"/>
        <v>40.39498745</v>
      </c>
      <c r="BT126" s="64">
        <f t="shared" si="286"/>
        <v>58.58417991</v>
      </c>
      <c r="BU126" s="64">
        <f t="shared" si="286"/>
        <v>104.1272395</v>
      </c>
      <c r="BV126" s="64">
        <f t="shared" si="286"/>
        <v>54.16046842</v>
      </c>
      <c r="BW126" s="64">
        <f t="shared" si="286"/>
        <v>44.13694523</v>
      </c>
      <c r="BX126" s="6" t="s">
        <v>35</v>
      </c>
      <c r="BY126" s="64">
        <f t="shared" ref="BY126:CP126" si="287">BY64</f>
        <v>11.873</v>
      </c>
      <c r="BZ126" s="64">
        <f t="shared" si="287"/>
        <v>23.011</v>
      </c>
      <c r="CA126" s="64">
        <f t="shared" si="287"/>
        <v>25.022</v>
      </c>
      <c r="CB126" s="64">
        <f t="shared" si="287"/>
        <v>22.788</v>
      </c>
      <c r="CC126" s="64">
        <f t="shared" si="287"/>
        <v>12.693</v>
      </c>
      <c r="CD126" s="64">
        <f t="shared" si="287"/>
        <v>12.392</v>
      </c>
      <c r="CE126" s="64">
        <f t="shared" si="287"/>
        <v>15.428</v>
      </c>
      <c r="CF126" s="64">
        <f t="shared" si="287"/>
        <v>20.037</v>
      </c>
      <c r="CG126" s="64">
        <f t="shared" si="287"/>
        <v>19.54471956</v>
      </c>
      <c r="CH126" s="64">
        <f t="shared" si="287"/>
        <v>21.72720781</v>
      </c>
      <c r="CI126" s="64">
        <f t="shared" si="287"/>
        <v>23.73989055</v>
      </c>
      <c r="CJ126" s="64">
        <f t="shared" si="287"/>
        <v>25.93901657</v>
      </c>
      <c r="CK126" s="64">
        <f t="shared" si="287"/>
        <v>28.34185689</v>
      </c>
      <c r="CL126" s="64">
        <f t="shared" si="287"/>
        <v>30.96728243</v>
      </c>
      <c r="CM126" s="64">
        <f t="shared" si="287"/>
        <v>33.83591219</v>
      </c>
      <c r="CN126" s="64">
        <f t="shared" si="287"/>
        <v>36.9702752</v>
      </c>
      <c r="CO126" s="64">
        <f t="shared" si="287"/>
        <v>40.39498745</v>
      </c>
      <c r="CP126" s="64">
        <f t="shared" si="287"/>
        <v>44.13694523</v>
      </c>
      <c r="CQ126" s="6" t="s">
        <v>35</v>
      </c>
    </row>
    <row r="127" ht="14.25" customHeight="1">
      <c r="B127" s="53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" t="s">
        <v>35</v>
      </c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"/>
    </row>
    <row r="128" ht="14.25" customHeight="1">
      <c r="B128" s="72" t="s">
        <v>71</v>
      </c>
      <c r="D128" s="64"/>
      <c r="E128" s="64"/>
      <c r="F128" s="64"/>
      <c r="G128" s="64">
        <f t="shared" ref="G128:BW128" si="288">+G129+G130+G131</f>
        <v>31.142</v>
      </c>
      <c r="H128" s="64">
        <f t="shared" si="288"/>
        <v>42.637</v>
      </c>
      <c r="I128" s="64">
        <f t="shared" si="288"/>
        <v>50.196</v>
      </c>
      <c r="J128" s="64">
        <f t="shared" si="288"/>
        <v>48.302</v>
      </c>
      <c r="K128" s="64">
        <f t="shared" si="288"/>
        <v>45.912</v>
      </c>
      <c r="L128" s="64">
        <f t="shared" si="288"/>
        <v>51.484</v>
      </c>
      <c r="M128" s="64">
        <f t="shared" si="288"/>
        <v>52.643</v>
      </c>
      <c r="N128" s="64">
        <f t="shared" si="288"/>
        <v>52.041</v>
      </c>
      <c r="O128" s="64">
        <f t="shared" si="288"/>
        <v>39.343</v>
      </c>
      <c r="P128" s="64">
        <f t="shared" si="288"/>
        <v>34.787</v>
      </c>
      <c r="Q128" s="64">
        <f t="shared" si="288"/>
        <v>34.961</v>
      </c>
      <c r="R128" s="64">
        <f t="shared" si="288"/>
        <v>32.891</v>
      </c>
      <c r="S128" s="64">
        <f t="shared" si="288"/>
        <v>33.577</v>
      </c>
      <c r="T128" s="64">
        <f t="shared" si="288"/>
        <v>39.721</v>
      </c>
      <c r="U128" s="64">
        <f t="shared" si="288"/>
        <v>50.513</v>
      </c>
      <c r="V128" s="64">
        <f t="shared" si="288"/>
        <v>59.843</v>
      </c>
      <c r="W128" s="64">
        <f t="shared" si="288"/>
        <v>54.812</v>
      </c>
      <c r="X128" s="64">
        <f t="shared" si="288"/>
        <v>66.87000001</v>
      </c>
      <c r="Y128" s="64">
        <f t="shared" si="288"/>
        <v>94.65499995</v>
      </c>
      <c r="Z128" s="64">
        <f t="shared" si="288"/>
        <v>118.778</v>
      </c>
      <c r="AA128" s="64">
        <f t="shared" si="288"/>
        <v>118.7150001</v>
      </c>
      <c r="AB128" s="64">
        <f t="shared" si="288"/>
        <v>126.134</v>
      </c>
      <c r="AC128" s="64">
        <f t="shared" si="288"/>
        <v>131.881</v>
      </c>
      <c r="AD128" s="64">
        <f t="shared" si="288"/>
        <v>140.451</v>
      </c>
      <c r="AE128" s="64">
        <f t="shared" si="288"/>
        <v>134.254</v>
      </c>
      <c r="AF128" s="64">
        <f t="shared" si="288"/>
        <v>106.02</v>
      </c>
      <c r="AG128" s="64">
        <f t="shared" si="288"/>
        <v>112.356</v>
      </c>
      <c r="AH128" s="64">
        <f t="shared" si="288"/>
        <v>206.806</v>
      </c>
      <c r="AI128" s="64">
        <f t="shared" si="288"/>
        <v>161.946</v>
      </c>
      <c r="AJ128" s="64">
        <f t="shared" si="288"/>
        <v>163.925</v>
      </c>
      <c r="AK128" s="64">
        <f t="shared" si="288"/>
        <v>204.7953417</v>
      </c>
      <c r="AL128" s="64">
        <f t="shared" si="288"/>
        <v>206.0288715</v>
      </c>
      <c r="AM128" s="64">
        <f t="shared" si="288"/>
        <v>180.7814341</v>
      </c>
      <c r="AN128" s="64">
        <f t="shared" si="288"/>
        <v>168.1886116</v>
      </c>
      <c r="AO128" s="64">
        <f t="shared" si="288"/>
        <v>221.7822439</v>
      </c>
      <c r="AP128" s="64">
        <f t="shared" si="288"/>
        <v>229.9396849</v>
      </c>
      <c r="AQ128" s="64">
        <f t="shared" si="288"/>
        <v>200.1649326</v>
      </c>
      <c r="AR128" s="64">
        <f t="shared" si="288"/>
        <v>185.5470896</v>
      </c>
      <c r="AS128" s="64">
        <f t="shared" si="288"/>
        <v>243.6209051</v>
      </c>
      <c r="AT128" s="64">
        <f t="shared" si="288"/>
        <v>251.3381073</v>
      </c>
      <c r="AU128" s="64">
        <f t="shared" si="288"/>
        <v>218.3683323</v>
      </c>
      <c r="AV128" s="64">
        <f t="shared" si="288"/>
        <v>202.7350977</v>
      </c>
      <c r="AW128" s="64">
        <f t="shared" si="288"/>
        <v>266.1885353</v>
      </c>
      <c r="AX128" s="64">
        <f t="shared" si="288"/>
        <v>274.6206145</v>
      </c>
      <c r="AY128" s="64">
        <f t="shared" si="288"/>
        <v>238.5967104</v>
      </c>
      <c r="AZ128" s="64">
        <f t="shared" si="288"/>
        <v>221.5153035</v>
      </c>
      <c r="BA128" s="64">
        <f t="shared" si="288"/>
        <v>290.8467002</v>
      </c>
      <c r="BB128" s="64">
        <f t="shared" si="288"/>
        <v>300.0598783</v>
      </c>
      <c r="BC128" s="64">
        <f t="shared" si="288"/>
        <v>260.6989283</v>
      </c>
      <c r="BD128" s="64">
        <f t="shared" si="288"/>
        <v>242.0351987</v>
      </c>
      <c r="BE128" s="64">
        <f t="shared" si="288"/>
        <v>317.7890546</v>
      </c>
      <c r="BF128" s="64">
        <f t="shared" si="288"/>
        <v>327.8556882</v>
      </c>
      <c r="BG128" s="64">
        <f t="shared" si="288"/>
        <v>284.8485677</v>
      </c>
      <c r="BH128" s="64">
        <f t="shared" si="288"/>
        <v>264.4559383</v>
      </c>
      <c r="BI128" s="64">
        <f t="shared" si="288"/>
        <v>347.2271928</v>
      </c>
      <c r="BJ128" s="64">
        <f t="shared" si="288"/>
        <v>358.226341</v>
      </c>
      <c r="BK128" s="64">
        <f t="shared" si="288"/>
        <v>311.2352898</v>
      </c>
      <c r="BL128" s="64">
        <f t="shared" si="288"/>
        <v>288.9536053</v>
      </c>
      <c r="BM128" s="64">
        <f t="shared" si="288"/>
        <v>379.3923096</v>
      </c>
      <c r="BN128" s="64">
        <f t="shared" si="288"/>
        <v>391.4103553</v>
      </c>
      <c r="BO128" s="64">
        <f t="shared" si="288"/>
        <v>340.0663252</v>
      </c>
      <c r="BP128" s="64">
        <f t="shared" si="288"/>
        <v>315.7205944</v>
      </c>
      <c r="BQ128" s="64">
        <f t="shared" si="288"/>
        <v>414.5370167</v>
      </c>
      <c r="BR128" s="64">
        <f t="shared" si="288"/>
        <v>427.6683446</v>
      </c>
      <c r="BS128" s="64">
        <f t="shared" si="288"/>
        <v>371.5681007</v>
      </c>
      <c r="BT128" s="64">
        <f t="shared" si="288"/>
        <v>344.9671224</v>
      </c>
      <c r="BU128" s="64">
        <f t="shared" si="288"/>
        <v>452.937326</v>
      </c>
      <c r="BV128" s="64">
        <f t="shared" si="288"/>
        <v>467.285064</v>
      </c>
      <c r="BW128" s="64">
        <f t="shared" si="288"/>
        <v>405.9880184</v>
      </c>
      <c r="BX128" s="6" t="s">
        <v>35</v>
      </c>
      <c r="BY128" s="64">
        <f t="shared" ref="BY128:CP128" si="289">+BY129+BY130</f>
        <v>31.142</v>
      </c>
      <c r="BZ128" s="64">
        <f t="shared" si="289"/>
        <v>41.631</v>
      </c>
      <c r="CA128" s="64">
        <f t="shared" si="289"/>
        <v>34.728</v>
      </c>
      <c r="CB128" s="64">
        <f t="shared" si="289"/>
        <v>29.256</v>
      </c>
      <c r="CC128" s="64">
        <f t="shared" si="289"/>
        <v>50.232</v>
      </c>
      <c r="CD128" s="64">
        <f t="shared" si="289"/>
        <v>102.4990001</v>
      </c>
      <c r="CE128" s="64">
        <f t="shared" si="289"/>
        <v>117.247</v>
      </c>
      <c r="CF128" s="64">
        <f t="shared" si="289"/>
        <v>145.503</v>
      </c>
      <c r="CG128" s="64">
        <f t="shared" si="289"/>
        <v>164.7424151</v>
      </c>
      <c r="CH128" s="64">
        <f t="shared" si="289"/>
        <v>182.3348943</v>
      </c>
      <c r="CI128" s="64">
        <f t="shared" si="289"/>
        <v>198.8866225</v>
      </c>
      <c r="CJ128" s="64">
        <f t="shared" si="289"/>
        <v>217.3103277</v>
      </c>
      <c r="CK128" s="64">
        <f t="shared" si="289"/>
        <v>237.4406983</v>
      </c>
      <c r="CL128" s="64">
        <f t="shared" si="289"/>
        <v>259.43583</v>
      </c>
      <c r="CM128" s="64">
        <f t="shared" si="289"/>
        <v>283.4684633</v>
      </c>
      <c r="CN128" s="64">
        <f t="shared" si="289"/>
        <v>309.7273406</v>
      </c>
      <c r="CO128" s="64">
        <f t="shared" si="289"/>
        <v>338.4186882</v>
      </c>
      <c r="CP128" s="64">
        <f t="shared" si="289"/>
        <v>369.7678362</v>
      </c>
      <c r="CQ128" s="6" t="s">
        <v>35</v>
      </c>
    </row>
    <row r="129" ht="14.25" customHeight="1">
      <c r="B129" s="72" t="str">
        <f>B79</f>
        <v>Salários e Encargos Sociais</v>
      </c>
      <c r="D129" s="64"/>
      <c r="E129" s="64"/>
      <c r="F129" s="64"/>
      <c r="G129" s="64">
        <f t="shared" ref="G129:BW129" si="290">G79</f>
        <v>21.51</v>
      </c>
      <c r="H129" s="64">
        <f t="shared" si="290"/>
        <v>26.582</v>
      </c>
      <c r="I129" s="64">
        <f t="shared" si="290"/>
        <v>36.642</v>
      </c>
      <c r="J129" s="64">
        <f t="shared" si="290"/>
        <v>34.914</v>
      </c>
      <c r="K129" s="64">
        <f t="shared" si="290"/>
        <v>28.385</v>
      </c>
      <c r="L129" s="64">
        <f t="shared" si="290"/>
        <v>31.788</v>
      </c>
      <c r="M129" s="64">
        <f t="shared" si="290"/>
        <v>35.377</v>
      </c>
      <c r="N129" s="64">
        <f t="shared" si="290"/>
        <v>34.811</v>
      </c>
      <c r="O129" s="64">
        <f t="shared" si="290"/>
        <v>24.967</v>
      </c>
      <c r="P129" s="64">
        <f t="shared" si="290"/>
        <v>21.521</v>
      </c>
      <c r="Q129" s="64">
        <f t="shared" si="290"/>
        <v>21.683</v>
      </c>
      <c r="R129" s="64">
        <f t="shared" si="290"/>
        <v>21.661</v>
      </c>
      <c r="S129" s="64">
        <f t="shared" si="290"/>
        <v>17.778</v>
      </c>
      <c r="T129" s="64">
        <f t="shared" si="290"/>
        <v>23.144</v>
      </c>
      <c r="U129" s="64">
        <f t="shared" si="290"/>
        <v>33.303</v>
      </c>
      <c r="V129" s="64">
        <f t="shared" si="290"/>
        <v>41.306</v>
      </c>
      <c r="W129" s="64">
        <f t="shared" si="290"/>
        <v>32.982</v>
      </c>
      <c r="X129" s="64">
        <f t="shared" si="290"/>
        <v>40.932</v>
      </c>
      <c r="Y129" s="64">
        <f t="shared" si="290"/>
        <v>55.515</v>
      </c>
      <c r="Z129" s="64">
        <f t="shared" si="290"/>
        <v>71.069</v>
      </c>
      <c r="AA129" s="64">
        <f t="shared" si="290"/>
        <v>69.116</v>
      </c>
      <c r="AB129" s="64">
        <f t="shared" si="290"/>
        <v>74.887</v>
      </c>
      <c r="AC129" s="64">
        <f t="shared" si="290"/>
        <v>82.899</v>
      </c>
      <c r="AD129" s="64">
        <f t="shared" si="290"/>
        <v>97.465</v>
      </c>
      <c r="AE129" s="64">
        <f t="shared" si="290"/>
        <v>78.67</v>
      </c>
      <c r="AF129" s="64">
        <f t="shared" si="290"/>
        <v>75.311</v>
      </c>
      <c r="AG129" s="64">
        <f t="shared" si="290"/>
        <v>77.802</v>
      </c>
      <c r="AH129" s="64">
        <f t="shared" si="290"/>
        <v>119.224</v>
      </c>
      <c r="AI129" s="64">
        <f t="shared" si="290"/>
        <v>100.936</v>
      </c>
      <c r="AJ129" s="64">
        <f t="shared" si="290"/>
        <v>110.759</v>
      </c>
      <c r="AK129" s="64">
        <f t="shared" si="290"/>
        <v>139.9684771</v>
      </c>
      <c r="AL129" s="64">
        <f t="shared" si="290"/>
        <v>119.2695916</v>
      </c>
      <c r="AM129" s="64">
        <f t="shared" si="290"/>
        <v>112.6340492</v>
      </c>
      <c r="AN129" s="64">
        <f t="shared" si="290"/>
        <v>113.4478942</v>
      </c>
      <c r="AO129" s="64">
        <f t="shared" si="290"/>
        <v>151.5131612</v>
      </c>
      <c r="AP129" s="64">
        <f t="shared" si="290"/>
        <v>133.0503041</v>
      </c>
      <c r="AQ129" s="64">
        <f t="shared" si="290"/>
        <v>124.6619909</v>
      </c>
      <c r="AR129" s="64">
        <f t="shared" si="290"/>
        <v>125.1228403</v>
      </c>
      <c r="AS129" s="64">
        <f t="shared" si="290"/>
        <v>166.3886564</v>
      </c>
      <c r="AT129" s="64">
        <f t="shared" si="290"/>
        <v>145.3900966</v>
      </c>
      <c r="AU129" s="64">
        <f t="shared" si="290"/>
        <v>135.9783733</v>
      </c>
      <c r="AV129" s="64">
        <f t="shared" si="290"/>
        <v>136.7134958</v>
      </c>
      <c r="AW129" s="64">
        <f t="shared" si="290"/>
        <v>181.8019382</v>
      </c>
      <c r="AX129" s="64">
        <f t="shared" si="290"/>
        <v>158.8581935</v>
      </c>
      <c r="AY129" s="64">
        <f t="shared" si="290"/>
        <v>148.5746225</v>
      </c>
      <c r="AZ129" s="64">
        <f t="shared" si="290"/>
        <v>149.3778425</v>
      </c>
      <c r="BA129" s="64">
        <f t="shared" si="290"/>
        <v>198.6430173</v>
      </c>
      <c r="BB129" s="64">
        <f t="shared" si="290"/>
        <v>173.5738968</v>
      </c>
      <c r="BC129" s="64">
        <f t="shared" si="290"/>
        <v>162.3377154</v>
      </c>
      <c r="BD129" s="64">
        <f t="shared" si="290"/>
        <v>163.2153411</v>
      </c>
      <c r="BE129" s="64">
        <f t="shared" si="290"/>
        <v>217.0441563</v>
      </c>
      <c r="BF129" s="64">
        <f t="shared" si="290"/>
        <v>189.6527777</v>
      </c>
      <c r="BG129" s="64">
        <f t="shared" si="290"/>
        <v>177.3757415</v>
      </c>
      <c r="BH129" s="64">
        <f t="shared" si="290"/>
        <v>178.3346653</v>
      </c>
      <c r="BI129" s="64">
        <f t="shared" si="290"/>
        <v>237.1498704</v>
      </c>
      <c r="BJ129" s="64">
        <f t="shared" si="290"/>
        <v>207.221113</v>
      </c>
      <c r="BK129" s="64">
        <f t="shared" si="290"/>
        <v>193.8068032</v>
      </c>
      <c r="BL129" s="64">
        <f t="shared" si="290"/>
        <v>194.8545562</v>
      </c>
      <c r="BM129" s="64">
        <f t="shared" si="290"/>
        <v>259.1180614</v>
      </c>
      <c r="BN129" s="64">
        <f t="shared" si="290"/>
        <v>226.4168772</v>
      </c>
      <c r="BO129" s="64">
        <f t="shared" si="290"/>
        <v>211.7599434</v>
      </c>
      <c r="BP129" s="64">
        <f t="shared" si="290"/>
        <v>212.9047542</v>
      </c>
      <c r="BQ129" s="64">
        <f t="shared" si="290"/>
        <v>283.1212585</v>
      </c>
      <c r="BR129" s="64">
        <f t="shared" si="290"/>
        <v>247.3908259</v>
      </c>
      <c r="BS129" s="64">
        <f t="shared" si="290"/>
        <v>231.3761586</v>
      </c>
      <c r="BT129" s="64">
        <f t="shared" si="290"/>
        <v>232.627018</v>
      </c>
      <c r="BU129" s="64">
        <f t="shared" si="290"/>
        <v>309.3479727</v>
      </c>
      <c r="BV129" s="64">
        <f t="shared" si="290"/>
        <v>270.3076797</v>
      </c>
      <c r="BW129" s="64">
        <f t="shared" si="290"/>
        <v>252.8095064</v>
      </c>
      <c r="BX129" s="6" t="s">
        <v>35</v>
      </c>
      <c r="BY129" s="64">
        <f t="shared" ref="BY129:CP129" si="291">BY79</f>
        <v>21.51</v>
      </c>
      <c r="BZ129" s="64">
        <f t="shared" si="291"/>
        <v>28.385</v>
      </c>
      <c r="CA129" s="64">
        <f t="shared" si="291"/>
        <v>24.967</v>
      </c>
      <c r="CB129" s="64">
        <f t="shared" si="291"/>
        <v>17.778</v>
      </c>
      <c r="CC129" s="64">
        <f t="shared" si="291"/>
        <v>32.982</v>
      </c>
      <c r="CD129" s="64">
        <f t="shared" si="291"/>
        <v>69.116</v>
      </c>
      <c r="CE129" s="64">
        <f t="shared" si="291"/>
        <v>78.67</v>
      </c>
      <c r="CF129" s="64">
        <f t="shared" si="291"/>
        <v>100.936</v>
      </c>
      <c r="CG129" s="64">
        <f t="shared" si="291"/>
        <v>112.6340492</v>
      </c>
      <c r="CH129" s="64">
        <f t="shared" si="291"/>
        <v>124.6619909</v>
      </c>
      <c r="CI129" s="64">
        <f t="shared" si="291"/>
        <v>135.9783733</v>
      </c>
      <c r="CJ129" s="64">
        <f t="shared" si="291"/>
        <v>148.5746225</v>
      </c>
      <c r="CK129" s="64">
        <f t="shared" si="291"/>
        <v>162.3377154</v>
      </c>
      <c r="CL129" s="64">
        <f t="shared" si="291"/>
        <v>177.3757415</v>
      </c>
      <c r="CM129" s="64">
        <f t="shared" si="291"/>
        <v>193.8068032</v>
      </c>
      <c r="CN129" s="64">
        <f t="shared" si="291"/>
        <v>211.7599434</v>
      </c>
      <c r="CO129" s="64">
        <f t="shared" si="291"/>
        <v>231.3761586</v>
      </c>
      <c r="CP129" s="64">
        <f t="shared" si="291"/>
        <v>252.8095064</v>
      </c>
      <c r="CQ129" s="6" t="s">
        <v>35</v>
      </c>
    </row>
    <row r="130" ht="14.25" customHeight="1">
      <c r="B130" s="72" t="str">
        <f>B77</f>
        <v>Fornecedores</v>
      </c>
      <c r="D130" s="64"/>
      <c r="E130" s="64"/>
      <c r="F130" s="64"/>
      <c r="G130" s="64">
        <f t="shared" ref="G130:BW130" si="292">G77</f>
        <v>9.632</v>
      </c>
      <c r="H130" s="64">
        <f t="shared" si="292"/>
        <v>11.537</v>
      </c>
      <c r="I130" s="64">
        <f t="shared" si="292"/>
        <v>9.585</v>
      </c>
      <c r="J130" s="64">
        <f t="shared" si="292"/>
        <v>9.888</v>
      </c>
      <c r="K130" s="64">
        <f t="shared" si="292"/>
        <v>13.246</v>
      </c>
      <c r="L130" s="64">
        <f t="shared" si="292"/>
        <v>14.953</v>
      </c>
      <c r="M130" s="64">
        <f t="shared" si="292"/>
        <v>12.713</v>
      </c>
      <c r="N130" s="64">
        <f t="shared" si="292"/>
        <v>12.764</v>
      </c>
      <c r="O130" s="64">
        <f t="shared" si="292"/>
        <v>9.761</v>
      </c>
      <c r="P130" s="64">
        <f t="shared" si="292"/>
        <v>8.681</v>
      </c>
      <c r="Q130" s="64">
        <f t="shared" si="292"/>
        <v>6.606</v>
      </c>
      <c r="R130" s="64">
        <f t="shared" si="292"/>
        <v>7.124</v>
      </c>
      <c r="S130" s="64">
        <f t="shared" si="292"/>
        <v>11.478</v>
      </c>
      <c r="T130" s="64">
        <f t="shared" si="292"/>
        <v>12.157</v>
      </c>
      <c r="U130" s="64">
        <f t="shared" si="292"/>
        <v>12.457</v>
      </c>
      <c r="V130" s="64">
        <f t="shared" si="292"/>
        <v>13.559</v>
      </c>
      <c r="W130" s="64">
        <f t="shared" si="292"/>
        <v>17.25</v>
      </c>
      <c r="X130" s="64">
        <f t="shared" si="292"/>
        <v>18.09500001</v>
      </c>
      <c r="Y130" s="64">
        <f t="shared" si="292"/>
        <v>26.49899995</v>
      </c>
      <c r="Z130" s="64">
        <f t="shared" si="292"/>
        <v>29.79800004</v>
      </c>
      <c r="AA130" s="64">
        <f t="shared" si="292"/>
        <v>33.38300006</v>
      </c>
      <c r="AB130" s="64">
        <f t="shared" si="292"/>
        <v>36.383</v>
      </c>
      <c r="AC130" s="64">
        <f t="shared" si="292"/>
        <v>33.689</v>
      </c>
      <c r="AD130" s="64">
        <f t="shared" si="292"/>
        <v>29.052</v>
      </c>
      <c r="AE130" s="64">
        <f t="shared" si="292"/>
        <v>38.577</v>
      </c>
      <c r="AF130" s="64">
        <f t="shared" si="292"/>
        <v>20.957</v>
      </c>
      <c r="AG130" s="64">
        <f t="shared" si="292"/>
        <v>21.204</v>
      </c>
      <c r="AH130" s="64">
        <f t="shared" si="292"/>
        <v>60.039</v>
      </c>
      <c r="AI130" s="64">
        <f t="shared" si="292"/>
        <v>44.567</v>
      </c>
      <c r="AJ130" s="64">
        <f t="shared" si="292"/>
        <v>38.515</v>
      </c>
      <c r="AK130" s="64">
        <f t="shared" si="292"/>
        <v>41.76826148</v>
      </c>
      <c r="AL130" s="64">
        <f t="shared" si="292"/>
        <v>61.56562262</v>
      </c>
      <c r="AM130" s="64">
        <f t="shared" si="292"/>
        <v>52.10836593</v>
      </c>
      <c r="AN130" s="64">
        <f t="shared" si="292"/>
        <v>39.45002793</v>
      </c>
      <c r="AO130" s="64">
        <f t="shared" si="292"/>
        <v>45.21333278</v>
      </c>
      <c r="AP130" s="64">
        <f t="shared" si="292"/>
        <v>68.67907153</v>
      </c>
      <c r="AQ130" s="64">
        <f t="shared" si="292"/>
        <v>57.67290341</v>
      </c>
      <c r="AR130" s="64">
        <f t="shared" si="292"/>
        <v>43.50983842</v>
      </c>
      <c r="AS130" s="64">
        <f t="shared" si="292"/>
        <v>49.65235781</v>
      </c>
      <c r="AT130" s="64">
        <f t="shared" si="292"/>
        <v>75.04873375</v>
      </c>
      <c r="AU130" s="64">
        <f t="shared" si="292"/>
        <v>62.90824919</v>
      </c>
      <c r="AV130" s="64">
        <f t="shared" si="292"/>
        <v>47.54033795</v>
      </c>
      <c r="AW130" s="64">
        <f t="shared" si="292"/>
        <v>54.25186478</v>
      </c>
      <c r="AX130" s="64">
        <f t="shared" si="292"/>
        <v>82.00081395</v>
      </c>
      <c r="AY130" s="64">
        <f t="shared" si="292"/>
        <v>68.73570519</v>
      </c>
      <c r="AZ130" s="64">
        <f t="shared" si="292"/>
        <v>51.94419962</v>
      </c>
      <c r="BA130" s="64">
        <f t="shared" si="292"/>
        <v>59.27744344</v>
      </c>
      <c r="BB130" s="64">
        <f t="shared" si="292"/>
        <v>89.59689461</v>
      </c>
      <c r="BC130" s="64">
        <f t="shared" si="292"/>
        <v>75.10298297</v>
      </c>
      <c r="BD130" s="64">
        <f t="shared" si="292"/>
        <v>56.75600954</v>
      </c>
      <c r="BE130" s="64">
        <f t="shared" si="292"/>
        <v>64.76856261</v>
      </c>
      <c r="BF130" s="64">
        <f t="shared" si="292"/>
        <v>97.89663221</v>
      </c>
      <c r="BG130" s="64">
        <f t="shared" si="292"/>
        <v>82.06008851</v>
      </c>
      <c r="BH130" s="64">
        <f t="shared" si="292"/>
        <v>62.01355768</v>
      </c>
      <c r="BI130" s="64">
        <f t="shared" si="292"/>
        <v>70.76834727</v>
      </c>
      <c r="BJ130" s="64">
        <f t="shared" si="292"/>
        <v>106.9652094</v>
      </c>
      <c r="BK130" s="64">
        <f t="shared" si="292"/>
        <v>89.66166002</v>
      </c>
      <c r="BL130" s="64">
        <f t="shared" si="292"/>
        <v>67.75813463</v>
      </c>
      <c r="BM130" s="64">
        <f t="shared" si="292"/>
        <v>77.32391725</v>
      </c>
      <c r="BN130" s="64">
        <f t="shared" si="292"/>
        <v>116.8738472</v>
      </c>
      <c r="BO130" s="64">
        <f t="shared" si="292"/>
        <v>97.96739711</v>
      </c>
      <c r="BP130" s="64">
        <f t="shared" si="292"/>
        <v>74.03485594</v>
      </c>
      <c r="BQ130" s="64">
        <f t="shared" si="292"/>
        <v>84.48675728</v>
      </c>
      <c r="BR130" s="64">
        <f t="shared" si="292"/>
        <v>127.7003637</v>
      </c>
      <c r="BS130" s="64">
        <f t="shared" si="292"/>
        <v>107.0425296</v>
      </c>
      <c r="BT130" s="64">
        <f t="shared" si="292"/>
        <v>80.89301637</v>
      </c>
      <c r="BU130" s="64">
        <f t="shared" si="292"/>
        <v>92.31312134</v>
      </c>
      <c r="BV130" s="64">
        <f t="shared" si="292"/>
        <v>139.5297861</v>
      </c>
      <c r="BW130" s="64">
        <f t="shared" si="292"/>
        <v>116.9583298</v>
      </c>
      <c r="BX130" s="6" t="s">
        <v>35</v>
      </c>
      <c r="BY130" s="64">
        <f t="shared" ref="BY130:CP130" si="293">BY77</f>
        <v>9.632</v>
      </c>
      <c r="BZ130" s="64">
        <f t="shared" si="293"/>
        <v>13.246</v>
      </c>
      <c r="CA130" s="64">
        <f t="shared" si="293"/>
        <v>9.761</v>
      </c>
      <c r="CB130" s="64">
        <f t="shared" si="293"/>
        <v>11.478</v>
      </c>
      <c r="CC130" s="64">
        <f t="shared" si="293"/>
        <v>17.25</v>
      </c>
      <c r="CD130" s="64">
        <f t="shared" si="293"/>
        <v>33.38300006</v>
      </c>
      <c r="CE130" s="64">
        <f t="shared" si="293"/>
        <v>38.577</v>
      </c>
      <c r="CF130" s="64">
        <f t="shared" si="293"/>
        <v>44.567</v>
      </c>
      <c r="CG130" s="64">
        <f t="shared" si="293"/>
        <v>52.10836593</v>
      </c>
      <c r="CH130" s="64">
        <f t="shared" si="293"/>
        <v>57.67290341</v>
      </c>
      <c r="CI130" s="64">
        <f t="shared" si="293"/>
        <v>62.90824919</v>
      </c>
      <c r="CJ130" s="64">
        <f t="shared" si="293"/>
        <v>68.73570519</v>
      </c>
      <c r="CK130" s="64">
        <f t="shared" si="293"/>
        <v>75.10298297</v>
      </c>
      <c r="CL130" s="64">
        <f t="shared" si="293"/>
        <v>82.06008851</v>
      </c>
      <c r="CM130" s="64">
        <f t="shared" si="293"/>
        <v>89.66166002</v>
      </c>
      <c r="CN130" s="64">
        <f t="shared" si="293"/>
        <v>97.96739711</v>
      </c>
      <c r="CO130" s="64">
        <f t="shared" si="293"/>
        <v>107.0425296</v>
      </c>
      <c r="CP130" s="64">
        <f t="shared" si="293"/>
        <v>116.9583298</v>
      </c>
      <c r="CQ130" s="6" t="s">
        <v>35</v>
      </c>
    </row>
    <row r="131" ht="14.25" customHeight="1">
      <c r="B131" s="72" t="s">
        <v>90</v>
      </c>
      <c r="D131" s="64"/>
      <c r="E131" s="64"/>
      <c r="F131" s="64"/>
      <c r="G131" s="64" t="str">
        <f t="shared" ref="G131:BW131" si="294">G80</f>
        <v/>
      </c>
      <c r="H131" s="64">
        <f t="shared" si="294"/>
        <v>4.518</v>
      </c>
      <c r="I131" s="64">
        <f t="shared" si="294"/>
        <v>3.969</v>
      </c>
      <c r="J131" s="64">
        <f t="shared" si="294"/>
        <v>3.5</v>
      </c>
      <c r="K131" s="64">
        <f t="shared" si="294"/>
        <v>4.281</v>
      </c>
      <c r="L131" s="64">
        <f t="shared" si="294"/>
        <v>4.743</v>
      </c>
      <c r="M131" s="64">
        <f t="shared" si="294"/>
        <v>4.553</v>
      </c>
      <c r="N131" s="64">
        <f t="shared" si="294"/>
        <v>4.466</v>
      </c>
      <c r="O131" s="64">
        <f t="shared" si="294"/>
        <v>4.615</v>
      </c>
      <c r="P131" s="64">
        <f t="shared" si="294"/>
        <v>4.585</v>
      </c>
      <c r="Q131" s="64">
        <f t="shared" si="294"/>
        <v>6.672</v>
      </c>
      <c r="R131" s="64">
        <f t="shared" si="294"/>
        <v>4.106</v>
      </c>
      <c r="S131" s="64">
        <f t="shared" si="294"/>
        <v>4.321</v>
      </c>
      <c r="T131" s="64">
        <f t="shared" si="294"/>
        <v>4.42</v>
      </c>
      <c r="U131" s="64">
        <f t="shared" si="294"/>
        <v>4.753</v>
      </c>
      <c r="V131" s="64">
        <f t="shared" si="294"/>
        <v>4.978</v>
      </c>
      <c r="W131" s="64">
        <f t="shared" si="294"/>
        <v>4.58</v>
      </c>
      <c r="X131" s="64">
        <f t="shared" si="294"/>
        <v>7.843</v>
      </c>
      <c r="Y131" s="64">
        <f t="shared" si="294"/>
        <v>12.641</v>
      </c>
      <c r="Z131" s="64">
        <f t="shared" si="294"/>
        <v>17.911</v>
      </c>
      <c r="AA131" s="64">
        <f t="shared" si="294"/>
        <v>16.216</v>
      </c>
      <c r="AB131" s="64">
        <f t="shared" si="294"/>
        <v>14.864</v>
      </c>
      <c r="AC131" s="64">
        <f t="shared" si="294"/>
        <v>15.293</v>
      </c>
      <c r="AD131" s="64">
        <f t="shared" si="294"/>
        <v>13.934</v>
      </c>
      <c r="AE131" s="64">
        <f t="shared" si="294"/>
        <v>17.007</v>
      </c>
      <c r="AF131" s="64">
        <f t="shared" si="294"/>
        <v>9.752</v>
      </c>
      <c r="AG131" s="64">
        <f t="shared" si="294"/>
        <v>13.35</v>
      </c>
      <c r="AH131" s="64">
        <f t="shared" si="294"/>
        <v>27.543</v>
      </c>
      <c r="AI131" s="64">
        <f t="shared" si="294"/>
        <v>16.443</v>
      </c>
      <c r="AJ131" s="64">
        <f t="shared" si="294"/>
        <v>14.651</v>
      </c>
      <c r="AK131" s="64">
        <f t="shared" si="294"/>
        <v>23.05860311</v>
      </c>
      <c r="AL131" s="64">
        <f t="shared" si="294"/>
        <v>25.19365735</v>
      </c>
      <c r="AM131" s="64">
        <f t="shared" si="294"/>
        <v>16.039019</v>
      </c>
      <c r="AN131" s="64">
        <f t="shared" si="294"/>
        <v>15.29068952</v>
      </c>
      <c r="AO131" s="64">
        <f t="shared" si="294"/>
        <v>25.05574992</v>
      </c>
      <c r="AP131" s="64">
        <f t="shared" si="294"/>
        <v>28.21030925</v>
      </c>
      <c r="AQ131" s="64">
        <f t="shared" si="294"/>
        <v>17.83003833</v>
      </c>
      <c r="AR131" s="64">
        <f t="shared" si="294"/>
        <v>16.9144109</v>
      </c>
      <c r="AS131" s="64">
        <f t="shared" si="294"/>
        <v>27.5798909</v>
      </c>
      <c r="AT131" s="64">
        <f t="shared" si="294"/>
        <v>30.89927692</v>
      </c>
      <c r="AU131" s="64">
        <f t="shared" si="294"/>
        <v>19.48170985</v>
      </c>
      <c r="AV131" s="64">
        <f t="shared" si="294"/>
        <v>18.481264</v>
      </c>
      <c r="AW131" s="64">
        <f t="shared" si="294"/>
        <v>30.13473231</v>
      </c>
      <c r="AX131" s="64">
        <f t="shared" si="294"/>
        <v>33.76160705</v>
      </c>
      <c r="AY131" s="64">
        <f t="shared" si="294"/>
        <v>21.28638266</v>
      </c>
      <c r="AZ131" s="64">
        <f t="shared" si="294"/>
        <v>20.1932613</v>
      </c>
      <c r="BA131" s="64">
        <f t="shared" si="294"/>
        <v>32.92623945</v>
      </c>
      <c r="BB131" s="64">
        <f t="shared" si="294"/>
        <v>36.88908686</v>
      </c>
      <c r="BC131" s="64">
        <f t="shared" si="294"/>
        <v>23.25822992</v>
      </c>
      <c r="BD131" s="64">
        <f t="shared" si="294"/>
        <v>22.06384811</v>
      </c>
      <c r="BE131" s="64">
        <f t="shared" si="294"/>
        <v>35.97633565</v>
      </c>
      <c r="BF131" s="64">
        <f t="shared" si="294"/>
        <v>40.3062783</v>
      </c>
      <c r="BG131" s="64">
        <f t="shared" si="294"/>
        <v>25.41273768</v>
      </c>
      <c r="BH131" s="64">
        <f t="shared" si="294"/>
        <v>24.10771526</v>
      </c>
      <c r="BI131" s="64">
        <f t="shared" si="294"/>
        <v>39.3089751</v>
      </c>
      <c r="BJ131" s="64">
        <f t="shared" si="294"/>
        <v>44.04001857</v>
      </c>
      <c r="BK131" s="64">
        <f t="shared" si="294"/>
        <v>27.76682658</v>
      </c>
      <c r="BL131" s="64">
        <f t="shared" si="294"/>
        <v>26.34091443</v>
      </c>
      <c r="BM131" s="64">
        <f t="shared" si="294"/>
        <v>42.95033097</v>
      </c>
      <c r="BN131" s="64">
        <f t="shared" si="294"/>
        <v>48.11963092</v>
      </c>
      <c r="BO131" s="64">
        <f t="shared" si="294"/>
        <v>30.33898463</v>
      </c>
      <c r="BP131" s="64">
        <f t="shared" si="294"/>
        <v>28.78098425</v>
      </c>
      <c r="BQ131" s="64">
        <f t="shared" si="294"/>
        <v>46.92900097</v>
      </c>
      <c r="BR131" s="64">
        <f t="shared" si="294"/>
        <v>52.57715494</v>
      </c>
      <c r="BS131" s="64">
        <f t="shared" si="294"/>
        <v>33.14941252</v>
      </c>
      <c r="BT131" s="64">
        <f t="shared" si="294"/>
        <v>31.447088</v>
      </c>
      <c r="BU131" s="64">
        <f t="shared" si="294"/>
        <v>51.27623193</v>
      </c>
      <c r="BV131" s="64">
        <f t="shared" si="294"/>
        <v>57.44759817</v>
      </c>
      <c r="BW131" s="64">
        <f t="shared" si="294"/>
        <v>36.22018218</v>
      </c>
      <c r="BX131" s="6" t="s">
        <v>35</v>
      </c>
      <c r="BY131" s="64" t="str">
        <f t="shared" ref="BY131:CP131" si="295">BY80</f>
        <v/>
      </c>
      <c r="BZ131" s="64">
        <f t="shared" si="295"/>
        <v>4.281</v>
      </c>
      <c r="CA131" s="64">
        <f t="shared" si="295"/>
        <v>4.615</v>
      </c>
      <c r="CB131" s="64">
        <f t="shared" si="295"/>
        <v>4.321</v>
      </c>
      <c r="CC131" s="64">
        <f t="shared" si="295"/>
        <v>4.58</v>
      </c>
      <c r="CD131" s="64">
        <f t="shared" si="295"/>
        <v>16.216</v>
      </c>
      <c r="CE131" s="64">
        <f t="shared" si="295"/>
        <v>17.007</v>
      </c>
      <c r="CF131" s="64">
        <f t="shared" si="295"/>
        <v>16.443</v>
      </c>
      <c r="CG131" s="64">
        <f t="shared" si="295"/>
        <v>16.039019</v>
      </c>
      <c r="CH131" s="64">
        <f t="shared" si="295"/>
        <v>17.83003833</v>
      </c>
      <c r="CI131" s="64">
        <f t="shared" si="295"/>
        <v>19.48170985</v>
      </c>
      <c r="CJ131" s="64">
        <f t="shared" si="295"/>
        <v>21.28638266</v>
      </c>
      <c r="CK131" s="64">
        <f t="shared" si="295"/>
        <v>23.25822992</v>
      </c>
      <c r="CL131" s="64">
        <f t="shared" si="295"/>
        <v>25.41273768</v>
      </c>
      <c r="CM131" s="64">
        <f t="shared" si="295"/>
        <v>27.76682658</v>
      </c>
      <c r="CN131" s="64">
        <f t="shared" si="295"/>
        <v>30.33898463</v>
      </c>
      <c r="CO131" s="64">
        <f t="shared" si="295"/>
        <v>33.14941252</v>
      </c>
      <c r="CP131" s="64">
        <f t="shared" si="295"/>
        <v>36.22018218</v>
      </c>
      <c r="CQ131" s="6"/>
    </row>
    <row r="132" ht="14.25" customHeight="1">
      <c r="B132" s="53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" t="s">
        <v>35</v>
      </c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" t="s">
        <v>35</v>
      </c>
    </row>
    <row r="133" ht="14.25" customHeight="1">
      <c r="B133" s="68" t="s">
        <v>81</v>
      </c>
      <c r="C133" s="69"/>
      <c r="D133" s="69"/>
      <c r="E133" s="69"/>
      <c r="F133" s="69"/>
      <c r="G133" s="70">
        <f t="shared" ref="G133:BW133" si="296">G123-G128</f>
        <v>49.577</v>
      </c>
      <c r="H133" s="70">
        <f t="shared" si="296"/>
        <v>47.089</v>
      </c>
      <c r="I133" s="70">
        <f t="shared" si="296"/>
        <v>36.082</v>
      </c>
      <c r="J133" s="70">
        <f t="shared" si="296"/>
        <v>38.304</v>
      </c>
      <c r="K133" s="70">
        <f t="shared" si="296"/>
        <v>47.966</v>
      </c>
      <c r="L133" s="70">
        <f t="shared" si="296"/>
        <v>45.99</v>
      </c>
      <c r="M133" s="70">
        <f t="shared" si="296"/>
        <v>39.085</v>
      </c>
      <c r="N133" s="70">
        <f t="shared" si="296"/>
        <v>35.044</v>
      </c>
      <c r="O133" s="70">
        <f t="shared" si="296"/>
        <v>38.978</v>
      </c>
      <c r="P133" s="70">
        <f t="shared" si="296"/>
        <v>61.325</v>
      </c>
      <c r="Q133" s="70">
        <f t="shared" si="296"/>
        <v>44.879</v>
      </c>
      <c r="R133" s="70">
        <f t="shared" si="296"/>
        <v>50.593</v>
      </c>
      <c r="S133" s="70">
        <f t="shared" si="296"/>
        <v>53.571</v>
      </c>
      <c r="T133" s="70">
        <f t="shared" si="296"/>
        <v>62.283</v>
      </c>
      <c r="U133" s="70">
        <f t="shared" si="296"/>
        <v>74.135</v>
      </c>
      <c r="V133" s="70">
        <f t="shared" si="296"/>
        <v>63.186</v>
      </c>
      <c r="W133" s="70">
        <f t="shared" si="296"/>
        <v>70.32</v>
      </c>
      <c r="X133" s="70">
        <f t="shared" si="296"/>
        <v>70.85399999</v>
      </c>
      <c r="Y133" s="70">
        <f t="shared" si="296"/>
        <v>83.21700005</v>
      </c>
      <c r="Z133" s="70">
        <f t="shared" si="296"/>
        <v>108.38</v>
      </c>
      <c r="AA133" s="70">
        <f t="shared" si="296"/>
        <v>104.3109999</v>
      </c>
      <c r="AB133" s="70">
        <f t="shared" si="296"/>
        <v>119.154</v>
      </c>
      <c r="AC133" s="70">
        <f t="shared" si="296"/>
        <v>162.691</v>
      </c>
      <c r="AD133" s="70">
        <f t="shared" si="296"/>
        <v>118.183</v>
      </c>
      <c r="AE133" s="70">
        <f t="shared" si="296"/>
        <v>162.511</v>
      </c>
      <c r="AF133" s="70">
        <f t="shared" si="296"/>
        <v>159.215</v>
      </c>
      <c r="AG133" s="70">
        <f t="shared" si="296"/>
        <v>143.976</v>
      </c>
      <c r="AH133" s="70">
        <f t="shared" si="296"/>
        <v>181.101</v>
      </c>
      <c r="AI133" s="70">
        <f t="shared" si="296"/>
        <v>183.402</v>
      </c>
      <c r="AJ133" s="70">
        <f t="shared" si="296"/>
        <v>250.39</v>
      </c>
      <c r="AK133" s="70">
        <f t="shared" si="296"/>
        <v>163.8665278</v>
      </c>
      <c r="AL133" s="70">
        <f t="shared" si="296"/>
        <v>137.0298394</v>
      </c>
      <c r="AM133" s="70">
        <f t="shared" si="296"/>
        <v>156.2892492</v>
      </c>
      <c r="AN133" s="70">
        <f t="shared" si="296"/>
        <v>255.647444</v>
      </c>
      <c r="AO133" s="70">
        <f t="shared" si="296"/>
        <v>170.3269634</v>
      </c>
      <c r="AP133" s="70">
        <f t="shared" si="296"/>
        <v>145.3590595</v>
      </c>
      <c r="AQ133" s="70">
        <f t="shared" si="296"/>
        <v>164.5420038</v>
      </c>
      <c r="AR133" s="70">
        <f t="shared" si="296"/>
        <v>283.2734199</v>
      </c>
      <c r="AS133" s="70">
        <f t="shared" si="296"/>
        <v>187.963242</v>
      </c>
      <c r="AT133" s="70">
        <f t="shared" si="296"/>
        <v>159.7184063</v>
      </c>
      <c r="AU133" s="70">
        <f t="shared" si="296"/>
        <v>180.1109288</v>
      </c>
      <c r="AV133" s="70">
        <f t="shared" si="296"/>
        <v>309.5142295</v>
      </c>
      <c r="AW133" s="70">
        <f t="shared" si="296"/>
        <v>205.3750685</v>
      </c>
      <c r="AX133" s="70">
        <f t="shared" si="296"/>
        <v>174.5137948</v>
      </c>
      <c r="AY133" s="70">
        <f t="shared" si="296"/>
        <v>196.7953625</v>
      </c>
      <c r="AZ133" s="70">
        <f t="shared" si="296"/>
        <v>338.1858358</v>
      </c>
      <c r="BA133" s="70">
        <f t="shared" si="296"/>
        <v>224.3998258</v>
      </c>
      <c r="BB133" s="70">
        <f t="shared" si="296"/>
        <v>190.6797424</v>
      </c>
      <c r="BC133" s="70">
        <f t="shared" si="296"/>
        <v>215.0253455</v>
      </c>
      <c r="BD133" s="70">
        <f t="shared" si="296"/>
        <v>369.5134137</v>
      </c>
      <c r="BE133" s="70">
        <f t="shared" si="296"/>
        <v>245.1869265</v>
      </c>
      <c r="BF133" s="70">
        <f t="shared" si="296"/>
        <v>208.3432098</v>
      </c>
      <c r="BG133" s="70">
        <f t="shared" si="296"/>
        <v>234.9440486</v>
      </c>
      <c r="BH133" s="70">
        <f t="shared" si="296"/>
        <v>403.742997</v>
      </c>
      <c r="BI133" s="70">
        <f t="shared" si="296"/>
        <v>267.8996239</v>
      </c>
      <c r="BJ133" s="70">
        <f t="shared" si="296"/>
        <v>227.6429186</v>
      </c>
      <c r="BK133" s="70">
        <f t="shared" si="296"/>
        <v>256.7079051</v>
      </c>
      <c r="BL133" s="70">
        <f t="shared" si="296"/>
        <v>441.1434108</v>
      </c>
      <c r="BM133" s="70">
        <f t="shared" si="296"/>
        <v>292.716294</v>
      </c>
      <c r="BN133" s="70">
        <f t="shared" si="296"/>
        <v>248.7304406</v>
      </c>
      <c r="BO133" s="70">
        <f t="shared" si="296"/>
        <v>280.4878392</v>
      </c>
      <c r="BP133" s="70">
        <f t="shared" si="296"/>
        <v>482.0083824</v>
      </c>
      <c r="BQ133" s="70">
        <f t="shared" si="296"/>
        <v>319.8318368</v>
      </c>
      <c r="BR133" s="70">
        <f t="shared" si="296"/>
        <v>271.7713886</v>
      </c>
      <c r="BS133" s="70">
        <f t="shared" si="296"/>
        <v>306.4706087</v>
      </c>
      <c r="BT133" s="70">
        <f t="shared" si="296"/>
        <v>526.6588483</v>
      </c>
      <c r="BU133" s="70">
        <f t="shared" si="296"/>
        <v>349.4592065</v>
      </c>
      <c r="BV133" s="70">
        <f t="shared" si="296"/>
        <v>296.9467166</v>
      </c>
      <c r="BW133" s="70">
        <f t="shared" si="296"/>
        <v>334.8602716</v>
      </c>
      <c r="BX133" s="6" t="s">
        <v>35</v>
      </c>
      <c r="BY133" s="70">
        <f t="shared" ref="BY133:CP133" si="297">BY123-BY128</f>
        <v>37.704</v>
      </c>
      <c r="BZ133" s="70">
        <f t="shared" si="297"/>
        <v>29.236</v>
      </c>
      <c r="CA133" s="70">
        <f t="shared" si="297"/>
        <v>18.571</v>
      </c>
      <c r="CB133" s="70">
        <f t="shared" si="297"/>
        <v>35.104</v>
      </c>
      <c r="CC133" s="70">
        <f t="shared" si="297"/>
        <v>62.207</v>
      </c>
      <c r="CD133" s="70">
        <f t="shared" si="297"/>
        <v>108.1349999</v>
      </c>
      <c r="CE133" s="70">
        <f t="shared" si="297"/>
        <v>164.09</v>
      </c>
      <c r="CF133" s="70">
        <f t="shared" si="297"/>
        <v>179.808</v>
      </c>
      <c r="CG133" s="70">
        <f t="shared" si="297"/>
        <v>152.7835487</v>
      </c>
      <c r="CH133" s="70">
        <f t="shared" si="297"/>
        <v>160.6448343</v>
      </c>
      <c r="CI133" s="70">
        <f t="shared" si="297"/>
        <v>175.8527481</v>
      </c>
      <c r="CJ133" s="70">
        <f t="shared" si="297"/>
        <v>192.1427286</v>
      </c>
      <c r="CK133" s="70">
        <f t="shared" si="297"/>
        <v>209.9417185</v>
      </c>
      <c r="CL133" s="70">
        <f t="shared" si="297"/>
        <v>229.3895039</v>
      </c>
      <c r="CM133" s="70">
        <f t="shared" si="297"/>
        <v>250.6388195</v>
      </c>
      <c r="CN133" s="70">
        <f t="shared" si="297"/>
        <v>273.8565486</v>
      </c>
      <c r="CO133" s="70">
        <f t="shared" si="297"/>
        <v>299.2250338</v>
      </c>
      <c r="CP133" s="70">
        <f t="shared" si="297"/>
        <v>326.9435086</v>
      </c>
      <c r="CQ133" s="6" t="s">
        <v>35</v>
      </c>
    </row>
    <row r="134" ht="14.25" customHeight="1">
      <c r="B134" s="53" t="s">
        <v>91</v>
      </c>
      <c r="H134" s="64">
        <f t="shared" ref="H134:BW134" si="298">IFERROR(-(H133-G133),0)</f>
        <v>2.488</v>
      </c>
      <c r="I134" s="64">
        <f t="shared" si="298"/>
        <v>11.007</v>
      </c>
      <c r="J134" s="64">
        <f t="shared" si="298"/>
        <v>-2.222</v>
      </c>
      <c r="K134" s="64">
        <f t="shared" si="298"/>
        <v>-9.662</v>
      </c>
      <c r="L134" s="64">
        <f t="shared" si="298"/>
        <v>1.976</v>
      </c>
      <c r="M134" s="64">
        <f t="shared" si="298"/>
        <v>6.905</v>
      </c>
      <c r="N134" s="64">
        <f t="shared" si="298"/>
        <v>4.041</v>
      </c>
      <c r="O134" s="64">
        <f t="shared" si="298"/>
        <v>-3.934</v>
      </c>
      <c r="P134" s="64">
        <f t="shared" si="298"/>
        <v>-22.347</v>
      </c>
      <c r="Q134" s="64">
        <f t="shared" si="298"/>
        <v>16.446</v>
      </c>
      <c r="R134" s="64">
        <f t="shared" si="298"/>
        <v>-5.714</v>
      </c>
      <c r="S134" s="64">
        <f t="shared" si="298"/>
        <v>-2.978</v>
      </c>
      <c r="T134" s="64">
        <f t="shared" si="298"/>
        <v>-8.712</v>
      </c>
      <c r="U134" s="64">
        <f t="shared" si="298"/>
        <v>-11.852</v>
      </c>
      <c r="V134" s="64">
        <f t="shared" si="298"/>
        <v>10.949</v>
      </c>
      <c r="W134" s="64">
        <f t="shared" si="298"/>
        <v>-7.134</v>
      </c>
      <c r="X134" s="64">
        <f t="shared" si="298"/>
        <v>-0.53399999</v>
      </c>
      <c r="Y134" s="64">
        <f t="shared" si="298"/>
        <v>-12.36300006</v>
      </c>
      <c r="Z134" s="64">
        <f t="shared" si="298"/>
        <v>-25.16299991</v>
      </c>
      <c r="AA134" s="64">
        <f t="shared" si="298"/>
        <v>4.06900002</v>
      </c>
      <c r="AB134" s="64">
        <f t="shared" si="298"/>
        <v>-14.84300006</v>
      </c>
      <c r="AC134" s="64">
        <f t="shared" si="298"/>
        <v>-43.537</v>
      </c>
      <c r="AD134" s="64">
        <f t="shared" si="298"/>
        <v>44.508</v>
      </c>
      <c r="AE134" s="64">
        <f t="shared" si="298"/>
        <v>-44.328</v>
      </c>
      <c r="AF134" s="64">
        <f t="shared" si="298"/>
        <v>3.296</v>
      </c>
      <c r="AG134" s="64">
        <f t="shared" si="298"/>
        <v>15.239</v>
      </c>
      <c r="AH134" s="64">
        <f t="shared" si="298"/>
        <v>-37.125</v>
      </c>
      <c r="AI134" s="64">
        <f t="shared" si="298"/>
        <v>-2.301</v>
      </c>
      <c r="AJ134" s="64">
        <f t="shared" si="298"/>
        <v>-66.988</v>
      </c>
      <c r="AK134" s="64">
        <f t="shared" si="298"/>
        <v>86.52347217</v>
      </c>
      <c r="AL134" s="64">
        <f t="shared" si="298"/>
        <v>26.83668841</v>
      </c>
      <c r="AM134" s="64">
        <f t="shared" si="298"/>
        <v>-19.25940983</v>
      </c>
      <c r="AN134" s="64">
        <f t="shared" si="298"/>
        <v>-99.3581948</v>
      </c>
      <c r="AO134" s="64">
        <f t="shared" si="298"/>
        <v>85.32048065</v>
      </c>
      <c r="AP134" s="64">
        <f t="shared" si="298"/>
        <v>24.96790385</v>
      </c>
      <c r="AQ134" s="64">
        <f t="shared" si="298"/>
        <v>-19.18294428</v>
      </c>
      <c r="AR134" s="64">
        <f t="shared" si="298"/>
        <v>-118.7314161</v>
      </c>
      <c r="AS134" s="64">
        <f t="shared" si="298"/>
        <v>95.31017793</v>
      </c>
      <c r="AT134" s="64">
        <f t="shared" si="298"/>
        <v>28.24483561</v>
      </c>
      <c r="AU134" s="64">
        <f t="shared" si="298"/>
        <v>-20.39252244</v>
      </c>
      <c r="AV134" s="64">
        <f t="shared" si="298"/>
        <v>-129.4033007</v>
      </c>
      <c r="AW134" s="64">
        <f t="shared" si="298"/>
        <v>104.139161</v>
      </c>
      <c r="AX134" s="64">
        <f t="shared" si="298"/>
        <v>30.86127366</v>
      </c>
      <c r="AY134" s="64">
        <f t="shared" si="298"/>
        <v>-22.28156766</v>
      </c>
      <c r="AZ134" s="64">
        <f t="shared" si="298"/>
        <v>-141.3904733</v>
      </c>
      <c r="BA134" s="64">
        <f t="shared" si="298"/>
        <v>113.78601</v>
      </c>
      <c r="BB134" s="64">
        <f t="shared" si="298"/>
        <v>33.72008338</v>
      </c>
      <c r="BC134" s="64">
        <f t="shared" si="298"/>
        <v>-24.34560309</v>
      </c>
      <c r="BD134" s="64">
        <f t="shared" si="298"/>
        <v>-154.4880682</v>
      </c>
      <c r="BE134" s="64">
        <f t="shared" si="298"/>
        <v>124.3264872</v>
      </c>
      <c r="BF134" s="64">
        <f t="shared" si="298"/>
        <v>36.84371668</v>
      </c>
      <c r="BG134" s="64">
        <f t="shared" si="298"/>
        <v>-26.60083881</v>
      </c>
      <c r="BH134" s="64">
        <f t="shared" si="298"/>
        <v>-168.7989484</v>
      </c>
      <c r="BI134" s="64">
        <f t="shared" si="298"/>
        <v>135.8433732</v>
      </c>
      <c r="BJ134" s="64">
        <f t="shared" si="298"/>
        <v>40.25670529</v>
      </c>
      <c r="BK134" s="64">
        <f t="shared" si="298"/>
        <v>-29.06498651</v>
      </c>
      <c r="BL134" s="64">
        <f t="shared" si="298"/>
        <v>-184.4355057</v>
      </c>
      <c r="BM134" s="64">
        <f t="shared" si="298"/>
        <v>148.4271168</v>
      </c>
      <c r="BN134" s="64">
        <f t="shared" si="298"/>
        <v>43.9858534</v>
      </c>
      <c r="BO134" s="64">
        <f t="shared" si="298"/>
        <v>-31.75739859</v>
      </c>
      <c r="BP134" s="64">
        <f t="shared" si="298"/>
        <v>-201.5205432</v>
      </c>
      <c r="BQ134" s="64">
        <f t="shared" si="298"/>
        <v>162.1765456</v>
      </c>
      <c r="BR134" s="64">
        <f t="shared" si="298"/>
        <v>48.06044821</v>
      </c>
      <c r="BS134" s="64">
        <f t="shared" si="298"/>
        <v>-34.69922014</v>
      </c>
      <c r="BT134" s="64">
        <f t="shared" si="298"/>
        <v>-220.1882396</v>
      </c>
      <c r="BU134" s="64">
        <f t="shared" si="298"/>
        <v>177.1996418</v>
      </c>
      <c r="BV134" s="64">
        <f t="shared" si="298"/>
        <v>52.51248988</v>
      </c>
      <c r="BW134" s="64">
        <f t="shared" si="298"/>
        <v>-37.913555</v>
      </c>
      <c r="BX134" s="6" t="s">
        <v>35</v>
      </c>
      <c r="BY134" s="64">
        <f t="shared" ref="BY134:CP134" si="299">IFERROR(-(BY133-BX133),0)</f>
        <v>0</v>
      </c>
      <c r="BZ134" s="64">
        <f t="shared" si="299"/>
        <v>8.468</v>
      </c>
      <c r="CA134" s="64">
        <f t="shared" si="299"/>
        <v>10.665</v>
      </c>
      <c r="CB134" s="64">
        <f t="shared" si="299"/>
        <v>-16.533</v>
      </c>
      <c r="CC134" s="64">
        <f t="shared" si="299"/>
        <v>-27.103</v>
      </c>
      <c r="CD134" s="64">
        <f t="shared" si="299"/>
        <v>-45.92799994</v>
      </c>
      <c r="CE134" s="64">
        <f t="shared" si="299"/>
        <v>-55.95500006</v>
      </c>
      <c r="CF134" s="64">
        <f t="shared" si="299"/>
        <v>-15.718</v>
      </c>
      <c r="CG134" s="64">
        <f t="shared" si="299"/>
        <v>27.02445131</v>
      </c>
      <c r="CH134" s="64">
        <f t="shared" si="299"/>
        <v>-7.861285652</v>
      </c>
      <c r="CI134" s="64">
        <f t="shared" si="299"/>
        <v>-15.20791375</v>
      </c>
      <c r="CJ134" s="64">
        <f t="shared" si="299"/>
        <v>-16.28998048</v>
      </c>
      <c r="CK134" s="64">
        <f t="shared" si="299"/>
        <v>-17.79898996</v>
      </c>
      <c r="CL134" s="64">
        <f t="shared" si="299"/>
        <v>-19.44778535</v>
      </c>
      <c r="CM134" s="64">
        <f t="shared" si="299"/>
        <v>-21.24931559</v>
      </c>
      <c r="CN134" s="64">
        <f t="shared" si="299"/>
        <v>-23.21772916</v>
      </c>
      <c r="CO134" s="64">
        <f t="shared" si="299"/>
        <v>-25.36848517</v>
      </c>
      <c r="CP134" s="64">
        <f t="shared" si="299"/>
        <v>-27.71847477</v>
      </c>
      <c r="CQ134" s="6" t="s">
        <v>35</v>
      </c>
    </row>
    <row r="135" ht="14.25" customHeight="1">
      <c r="BX135" s="6" t="s">
        <v>35</v>
      </c>
      <c r="CQ135" s="6" t="s">
        <v>35</v>
      </c>
    </row>
    <row r="136" ht="14.25" customHeight="1">
      <c r="A136" s="11" t="s">
        <v>36</v>
      </c>
      <c r="B136" s="2" t="s">
        <v>92</v>
      </c>
      <c r="C136" s="3"/>
      <c r="D136" s="4"/>
      <c r="E136" s="2"/>
      <c r="F136" s="3"/>
      <c r="G136" s="4"/>
      <c r="H136" s="2"/>
      <c r="I136" s="3"/>
      <c r="J136" s="4"/>
      <c r="K136" s="2"/>
      <c r="L136" s="3"/>
      <c r="M136" s="4"/>
      <c r="N136" s="2"/>
      <c r="O136" s="3"/>
      <c r="P136" s="4"/>
      <c r="Q136" s="2"/>
      <c r="R136" s="3"/>
      <c r="S136" s="4"/>
      <c r="T136" s="2"/>
      <c r="U136" s="3"/>
      <c r="V136" s="4"/>
      <c r="W136" s="2"/>
      <c r="X136" s="3"/>
      <c r="Y136" s="4"/>
      <c r="Z136" s="2"/>
      <c r="AA136" s="3"/>
      <c r="AB136" s="4"/>
      <c r="AC136" s="2"/>
      <c r="AD136" s="3"/>
      <c r="AE136" s="4"/>
      <c r="AF136" s="2"/>
      <c r="AG136" s="3"/>
      <c r="AH136" s="3"/>
      <c r="AI136" s="3"/>
      <c r="AJ136" s="3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6" t="s">
        <v>35</v>
      </c>
      <c r="CQ136" s="6" t="s">
        <v>35</v>
      </c>
    </row>
    <row r="137" ht="14.25" customHeight="1">
      <c r="BX137" s="6" t="s">
        <v>35</v>
      </c>
      <c r="CQ137" s="6" t="s">
        <v>35</v>
      </c>
    </row>
    <row r="138" ht="14.25" customHeight="1">
      <c r="B138" s="10" t="s">
        <v>60</v>
      </c>
      <c r="C138" s="9" t="s">
        <v>39</v>
      </c>
      <c r="D138" s="28">
        <f t="shared" ref="D138:BW138" si="300">D47</f>
        <v>2.272</v>
      </c>
      <c r="E138" s="28">
        <f t="shared" si="300"/>
        <v>-1.353</v>
      </c>
      <c r="F138" s="28">
        <f t="shared" si="300"/>
        <v>-4.063</v>
      </c>
      <c r="G138" s="28">
        <f t="shared" si="300"/>
        <v>-4.244</v>
      </c>
      <c r="H138" s="28">
        <f t="shared" si="300"/>
        <v>0.72</v>
      </c>
      <c r="I138" s="28">
        <f t="shared" si="300"/>
        <v>0.158</v>
      </c>
      <c r="J138" s="28">
        <f t="shared" si="300"/>
        <v>-1.192</v>
      </c>
      <c r="K138" s="28">
        <f t="shared" si="300"/>
        <v>5.454</v>
      </c>
      <c r="L138" s="28">
        <f t="shared" si="300"/>
        <v>-0.505</v>
      </c>
      <c r="M138" s="28">
        <f t="shared" si="300"/>
        <v>-1.986</v>
      </c>
      <c r="N138" s="28">
        <f t="shared" si="300"/>
        <v>-2.943</v>
      </c>
      <c r="O138" s="28">
        <f t="shared" si="300"/>
        <v>-5.364</v>
      </c>
      <c r="P138" s="28">
        <f t="shared" si="300"/>
        <v>3.27</v>
      </c>
      <c r="Q138" s="28">
        <f t="shared" si="300"/>
        <v>-18.152</v>
      </c>
      <c r="R138" s="28">
        <f t="shared" si="300"/>
        <v>-4.93</v>
      </c>
      <c r="S138" s="28">
        <f t="shared" si="300"/>
        <v>16.716</v>
      </c>
      <c r="T138" s="28">
        <f t="shared" si="300"/>
        <v>-1.031</v>
      </c>
      <c r="U138" s="28">
        <f t="shared" si="300"/>
        <v>6.204</v>
      </c>
      <c r="V138" s="28">
        <f t="shared" si="300"/>
        <v>3.781</v>
      </c>
      <c r="W138" s="28">
        <f t="shared" si="300"/>
        <v>5.545</v>
      </c>
      <c r="X138" s="28">
        <f t="shared" si="300"/>
        <v>5.23</v>
      </c>
      <c r="Y138" s="28">
        <f t="shared" si="300"/>
        <v>10.946</v>
      </c>
      <c r="Z138" s="28">
        <f t="shared" si="300"/>
        <v>36.381</v>
      </c>
      <c r="AA138" s="28">
        <f t="shared" si="300"/>
        <v>12.377</v>
      </c>
      <c r="AB138" s="28">
        <f t="shared" si="300"/>
        <v>8.865</v>
      </c>
      <c r="AC138" s="28">
        <f t="shared" si="300"/>
        <v>8.949</v>
      </c>
      <c r="AD138" s="28">
        <f t="shared" si="300"/>
        <v>2.339</v>
      </c>
      <c r="AE138" s="28">
        <f t="shared" si="300"/>
        <v>4.926</v>
      </c>
      <c r="AF138" s="28">
        <f t="shared" si="300"/>
        <v>2.835</v>
      </c>
      <c r="AG138" s="28">
        <f t="shared" si="300"/>
        <v>-2.696</v>
      </c>
      <c r="AH138" s="28">
        <f t="shared" si="300"/>
        <v>20.767</v>
      </c>
      <c r="AI138" s="28">
        <f t="shared" si="300"/>
        <v>21.349</v>
      </c>
      <c r="AJ138" s="28">
        <f t="shared" si="300"/>
        <v>4.017</v>
      </c>
      <c r="AK138" s="28">
        <f t="shared" si="300"/>
        <v>2.954188375</v>
      </c>
      <c r="AL138" s="28">
        <f t="shared" si="300"/>
        <v>16.75104439</v>
      </c>
      <c r="AM138" s="28">
        <f t="shared" si="300"/>
        <v>17.17666409</v>
      </c>
      <c r="AN138" s="28">
        <f t="shared" si="300"/>
        <v>20.67489739</v>
      </c>
      <c r="AO138" s="28">
        <f t="shared" si="300"/>
        <v>18.26675802</v>
      </c>
      <c r="AP138" s="28">
        <f t="shared" si="300"/>
        <v>19.65496537</v>
      </c>
      <c r="AQ138" s="28">
        <f t="shared" si="300"/>
        <v>27.62929831</v>
      </c>
      <c r="AR138" s="28">
        <f t="shared" si="300"/>
        <v>27.0935015</v>
      </c>
      <c r="AS138" s="28">
        <f t="shared" si="300"/>
        <v>24.89078256</v>
      </c>
      <c r="AT138" s="28">
        <f t="shared" si="300"/>
        <v>26.53166436</v>
      </c>
      <c r="AU138" s="28">
        <f t="shared" si="300"/>
        <v>34.17446024</v>
      </c>
      <c r="AV138" s="28">
        <f t="shared" si="300"/>
        <v>32.97055759</v>
      </c>
      <c r="AW138" s="28">
        <f t="shared" si="300"/>
        <v>31.99788066</v>
      </c>
      <c r="AX138" s="28">
        <f t="shared" si="300"/>
        <v>33.98265264</v>
      </c>
      <c r="AY138" s="28">
        <f t="shared" si="300"/>
        <v>40.61759021</v>
      </c>
      <c r="AZ138" s="28">
        <f t="shared" si="300"/>
        <v>37.44853489</v>
      </c>
      <c r="BA138" s="28">
        <f t="shared" si="300"/>
        <v>36.91370848</v>
      </c>
      <c r="BB138" s="28">
        <f t="shared" si="300"/>
        <v>39.08853687</v>
      </c>
      <c r="BC138" s="28">
        <f t="shared" si="300"/>
        <v>45.74379205</v>
      </c>
      <c r="BD138" s="28">
        <f t="shared" si="300"/>
        <v>42.29404397</v>
      </c>
      <c r="BE138" s="28">
        <f t="shared" si="300"/>
        <v>41.71554273</v>
      </c>
      <c r="BF138" s="28">
        <f t="shared" si="300"/>
        <v>44.09859044</v>
      </c>
      <c r="BG138" s="28">
        <f t="shared" si="300"/>
        <v>51.37775767</v>
      </c>
      <c r="BH138" s="28">
        <f t="shared" si="300"/>
        <v>47.61619557</v>
      </c>
      <c r="BI138" s="28">
        <f t="shared" si="300"/>
        <v>46.9921964</v>
      </c>
      <c r="BJ138" s="28">
        <f t="shared" si="300"/>
        <v>49.60444904</v>
      </c>
      <c r="BK138" s="28">
        <f t="shared" si="300"/>
        <v>57.56676007</v>
      </c>
      <c r="BL138" s="28">
        <f t="shared" si="300"/>
        <v>53.46609243</v>
      </c>
      <c r="BM138" s="28">
        <f t="shared" si="300"/>
        <v>52.79409901</v>
      </c>
      <c r="BN138" s="28">
        <f t="shared" si="300"/>
        <v>55.65856039</v>
      </c>
      <c r="BO138" s="28">
        <f t="shared" si="300"/>
        <v>64.36905698</v>
      </c>
      <c r="BP138" s="28">
        <f t="shared" si="300"/>
        <v>59.89951652</v>
      </c>
      <c r="BQ138" s="28">
        <f t="shared" si="300"/>
        <v>59.17665827</v>
      </c>
      <c r="BR138" s="28">
        <f t="shared" si="300"/>
        <v>62.44270304</v>
      </c>
      <c r="BS138" s="28">
        <f t="shared" si="300"/>
        <v>72.09200627</v>
      </c>
      <c r="BT138" s="28">
        <f t="shared" si="300"/>
        <v>67.34311499</v>
      </c>
      <c r="BU138" s="28">
        <f t="shared" si="300"/>
        <v>66.7024077</v>
      </c>
      <c r="BV138" s="28">
        <f t="shared" si="300"/>
        <v>70.27224511</v>
      </c>
      <c r="BW138" s="28">
        <f t="shared" si="300"/>
        <v>80.81935122</v>
      </c>
      <c r="BX138" s="6" t="s">
        <v>35</v>
      </c>
      <c r="BY138" s="29">
        <f t="shared" ref="BY138:BY142" si="303">SUM(D138:G138)</f>
        <v>-7.388</v>
      </c>
      <c r="BZ138" s="29">
        <f t="shared" ref="BZ138:BZ142" si="304">SUM(H138:K138)</f>
        <v>5.14</v>
      </c>
      <c r="CA138" s="29">
        <f t="shared" ref="CA138:CA142" si="305">SUM(L138:O138)</f>
        <v>-10.798</v>
      </c>
      <c r="CB138" s="29">
        <f t="shared" ref="CB138:CB142" si="306">SUM(P138:S138)</f>
        <v>-3.096</v>
      </c>
      <c r="CC138" s="29">
        <f t="shared" ref="CC138:CC142" si="307">SUM(T138:W138)</f>
        <v>14.499</v>
      </c>
      <c r="CD138" s="29">
        <f t="shared" ref="CD138:CD142" si="308">SUM(X138:AA138)</f>
        <v>64.934</v>
      </c>
      <c r="CE138" s="29">
        <f t="shared" ref="CE138:CE142" si="309">SUM(AB138:AE138)</f>
        <v>25.079</v>
      </c>
      <c r="CF138" s="29">
        <f t="shared" ref="CF138:CF142" si="310">SUM(AF138:AI138)</f>
        <v>42.255</v>
      </c>
      <c r="CG138" s="29">
        <f t="shared" ref="CG138:CG142" si="311">SUM(AJ138:AM138)</f>
        <v>40.89889685</v>
      </c>
      <c r="CH138" s="29">
        <f t="shared" ref="CH138:CH142" si="312">SUM(AN138:AQ138)</f>
        <v>86.22591909</v>
      </c>
      <c r="CI138" s="29">
        <f t="shared" ref="CI138:CI142" si="313">SUM(AR138:AU138)</f>
        <v>112.6904087</v>
      </c>
      <c r="CJ138" s="29">
        <f t="shared" ref="CJ138:CJ142" si="314">SUM(AV138:AY138)</f>
        <v>139.5686811</v>
      </c>
      <c r="CK138" s="29">
        <f t="shared" ref="CK138:CK142" si="315">SUM(AZ138:BC138)</f>
        <v>159.1945723</v>
      </c>
      <c r="CL138" s="29">
        <f t="shared" ref="CL138:CL142" si="316">SUM(BD138:BG138)</f>
        <v>179.4859348</v>
      </c>
      <c r="CM138" s="29">
        <f t="shared" ref="CM138:CM142" si="317">SUM(BH138:BK138)</f>
        <v>201.7796011</v>
      </c>
      <c r="CN138" s="29">
        <f t="shared" ref="CN138:CN142" si="318">SUM(BL138:BO138)</f>
        <v>226.2878088</v>
      </c>
      <c r="CO138" s="29">
        <f t="shared" ref="CO138:CO142" si="319">SUM(BP138:BS138)</f>
        <v>253.6108841</v>
      </c>
      <c r="CP138" s="29">
        <f t="shared" ref="CP138:CP142" si="320">SUM(BT138:BW138)</f>
        <v>285.137119</v>
      </c>
      <c r="CQ138" s="6" t="s">
        <v>35</v>
      </c>
    </row>
    <row r="139" ht="14.25" customHeight="1">
      <c r="B139" s="10" t="s">
        <v>62</v>
      </c>
      <c r="C139" s="9" t="s">
        <v>39</v>
      </c>
      <c r="D139" s="28">
        <f t="shared" ref="D139:AG139" si="301">-D51</f>
        <v>2.305</v>
      </c>
      <c r="E139" s="28">
        <f t="shared" si="301"/>
        <v>2.3554</v>
      </c>
      <c r="F139" s="28">
        <f t="shared" si="301"/>
        <v>3.514</v>
      </c>
      <c r="G139" s="28">
        <f t="shared" si="301"/>
        <v>4.0293</v>
      </c>
      <c r="H139" s="28">
        <f t="shared" si="301"/>
        <v>4.091</v>
      </c>
      <c r="I139" s="28">
        <f t="shared" si="301"/>
        <v>4.096</v>
      </c>
      <c r="J139" s="28">
        <f t="shared" si="301"/>
        <v>4.05266169</v>
      </c>
      <c r="K139" s="28">
        <f t="shared" si="301"/>
        <v>2.44133831</v>
      </c>
      <c r="L139" s="28">
        <f t="shared" si="301"/>
        <v>4.69829017</v>
      </c>
      <c r="M139" s="28">
        <f t="shared" si="301"/>
        <v>4.969</v>
      </c>
      <c r="N139" s="28">
        <f t="shared" si="301"/>
        <v>5.027448586</v>
      </c>
      <c r="O139" s="28">
        <f t="shared" si="301"/>
        <v>5.010261244</v>
      </c>
      <c r="P139" s="28">
        <f t="shared" si="301"/>
        <v>5.119</v>
      </c>
      <c r="Q139" s="28">
        <f t="shared" si="301"/>
        <v>5.26</v>
      </c>
      <c r="R139" s="28">
        <f t="shared" si="301"/>
        <v>5.819</v>
      </c>
      <c r="S139" s="28">
        <f t="shared" si="301"/>
        <v>5.445</v>
      </c>
      <c r="T139" s="28">
        <f t="shared" si="301"/>
        <v>4.908</v>
      </c>
      <c r="U139" s="28">
        <f t="shared" si="301"/>
        <v>5.442102</v>
      </c>
      <c r="V139" s="28">
        <f t="shared" si="301"/>
        <v>5.65055722</v>
      </c>
      <c r="W139" s="28">
        <f t="shared" si="301"/>
        <v>4.90959833</v>
      </c>
      <c r="X139" s="28">
        <f t="shared" si="301"/>
        <v>5.94535473</v>
      </c>
      <c r="Y139" s="28">
        <f t="shared" si="301"/>
        <v>6.443</v>
      </c>
      <c r="Z139" s="28">
        <f t="shared" si="301"/>
        <v>6.943</v>
      </c>
      <c r="AA139" s="28">
        <f t="shared" si="301"/>
        <v>6.96552699</v>
      </c>
      <c r="AB139" s="28">
        <f t="shared" si="301"/>
        <v>8.72583693</v>
      </c>
      <c r="AC139" s="28">
        <f t="shared" si="301"/>
        <v>9.35409883</v>
      </c>
      <c r="AD139" s="28">
        <f t="shared" si="301"/>
        <v>8.999</v>
      </c>
      <c r="AE139" s="28">
        <f t="shared" si="301"/>
        <v>11.982</v>
      </c>
      <c r="AF139" s="28">
        <f t="shared" si="301"/>
        <v>10.818</v>
      </c>
      <c r="AG139" s="28">
        <f t="shared" si="301"/>
        <v>11.104</v>
      </c>
      <c r="AH139" s="28">
        <f t="shared" ref="AH139:BW139" si="302">AH212</f>
        <v>13.078</v>
      </c>
      <c r="AI139" s="28">
        <f t="shared" si="302"/>
        <v>14.13633251</v>
      </c>
      <c r="AJ139" s="28">
        <f t="shared" si="302"/>
        <v>18.464</v>
      </c>
      <c r="AK139" s="28">
        <f t="shared" si="302"/>
        <v>18.06306</v>
      </c>
      <c r="AL139" s="28">
        <f t="shared" si="302"/>
        <v>18.3268482</v>
      </c>
      <c r="AM139" s="28">
        <f t="shared" si="302"/>
        <v>18.39091562</v>
      </c>
      <c r="AN139" s="28">
        <f t="shared" si="302"/>
        <v>18.6464884</v>
      </c>
      <c r="AO139" s="28">
        <f t="shared" si="302"/>
        <v>18.75618647</v>
      </c>
      <c r="AP139" s="28">
        <f t="shared" si="302"/>
        <v>18.69210675</v>
      </c>
      <c r="AQ139" s="28">
        <f t="shared" si="302"/>
        <v>19.24453318</v>
      </c>
      <c r="AR139" s="28">
        <f t="shared" si="302"/>
        <v>19.53554171</v>
      </c>
      <c r="AS139" s="28">
        <f t="shared" si="302"/>
        <v>19.68665842</v>
      </c>
      <c r="AT139" s="28">
        <f t="shared" si="302"/>
        <v>19.80818785</v>
      </c>
      <c r="AU139" s="28">
        <f t="shared" si="302"/>
        <v>20.02744002</v>
      </c>
      <c r="AV139" s="28">
        <f t="shared" si="302"/>
        <v>20.35960055</v>
      </c>
      <c r="AW139" s="28">
        <f t="shared" si="302"/>
        <v>20.6223012</v>
      </c>
      <c r="AX139" s="28">
        <f t="shared" si="302"/>
        <v>20.90661911</v>
      </c>
      <c r="AY139" s="28">
        <f t="shared" si="302"/>
        <v>21.16639983</v>
      </c>
      <c r="AZ139" s="28">
        <f t="shared" si="302"/>
        <v>21.53866428</v>
      </c>
      <c r="BA139" s="28">
        <f t="shared" si="302"/>
        <v>21.8333967</v>
      </c>
      <c r="BB139" s="28">
        <f t="shared" si="302"/>
        <v>22.12417571</v>
      </c>
      <c r="BC139" s="28">
        <f t="shared" si="302"/>
        <v>22.44608772</v>
      </c>
      <c r="BD139" s="28">
        <f t="shared" si="302"/>
        <v>22.89485146</v>
      </c>
      <c r="BE139" s="28">
        <f t="shared" si="302"/>
        <v>23.25044239</v>
      </c>
      <c r="BF139" s="28">
        <f t="shared" si="302"/>
        <v>23.58305622</v>
      </c>
      <c r="BG139" s="28">
        <f t="shared" si="302"/>
        <v>23.94905269</v>
      </c>
      <c r="BH139" s="28">
        <f t="shared" si="302"/>
        <v>24.45465673</v>
      </c>
      <c r="BI139" s="28">
        <f t="shared" si="302"/>
        <v>24.85986692</v>
      </c>
      <c r="BJ139" s="28">
        <f t="shared" si="302"/>
        <v>25.24605917</v>
      </c>
      <c r="BK139" s="28">
        <f t="shared" si="302"/>
        <v>25.66643528</v>
      </c>
      <c r="BL139" s="28">
        <f t="shared" si="302"/>
        <v>26.23605073</v>
      </c>
      <c r="BM139" s="28">
        <f t="shared" si="302"/>
        <v>26.69347137</v>
      </c>
      <c r="BN139" s="28">
        <f t="shared" si="302"/>
        <v>27.13025028</v>
      </c>
      <c r="BO139" s="28">
        <f t="shared" si="302"/>
        <v>27.60464063</v>
      </c>
      <c r="BP139" s="28">
        <f t="shared" si="302"/>
        <v>28.24222265</v>
      </c>
      <c r="BQ139" s="28">
        <f t="shared" si="302"/>
        <v>28.51224455</v>
      </c>
      <c r="BR139" s="28">
        <f t="shared" si="302"/>
        <v>28.76791234</v>
      </c>
      <c r="BS139" s="28">
        <f t="shared" si="302"/>
        <v>29.06225378</v>
      </c>
      <c r="BT139" s="28">
        <f t="shared" si="302"/>
        <v>29.50977438</v>
      </c>
      <c r="BU139" s="28">
        <f t="shared" si="302"/>
        <v>29.8503006</v>
      </c>
      <c r="BV139" s="28">
        <f t="shared" si="302"/>
        <v>30.1737621</v>
      </c>
      <c r="BW139" s="28">
        <f t="shared" si="302"/>
        <v>30.53804529</v>
      </c>
      <c r="BX139" s="6" t="s">
        <v>35</v>
      </c>
      <c r="BY139" s="29">
        <f t="shared" si="303"/>
        <v>12.2037</v>
      </c>
      <c r="BZ139" s="29">
        <f t="shared" si="304"/>
        <v>14.681</v>
      </c>
      <c r="CA139" s="29">
        <f t="shared" si="305"/>
        <v>19.705</v>
      </c>
      <c r="CB139" s="29">
        <f t="shared" si="306"/>
        <v>21.643</v>
      </c>
      <c r="CC139" s="29">
        <f t="shared" si="307"/>
        <v>20.91025755</v>
      </c>
      <c r="CD139" s="29">
        <f t="shared" si="308"/>
        <v>26.29688172</v>
      </c>
      <c r="CE139" s="29">
        <f t="shared" si="309"/>
        <v>39.06093576</v>
      </c>
      <c r="CF139" s="29">
        <f t="shared" si="310"/>
        <v>49.13633251</v>
      </c>
      <c r="CG139" s="29">
        <f t="shared" si="311"/>
        <v>73.24482382</v>
      </c>
      <c r="CH139" s="29">
        <f t="shared" si="312"/>
        <v>75.3393148</v>
      </c>
      <c r="CI139" s="29">
        <f t="shared" si="313"/>
        <v>79.05782801</v>
      </c>
      <c r="CJ139" s="29">
        <f t="shared" si="314"/>
        <v>83.05492069</v>
      </c>
      <c r="CK139" s="29">
        <f t="shared" si="315"/>
        <v>87.9423244</v>
      </c>
      <c r="CL139" s="29">
        <f t="shared" si="316"/>
        <v>93.67740277</v>
      </c>
      <c r="CM139" s="29">
        <f t="shared" si="317"/>
        <v>100.2270181</v>
      </c>
      <c r="CN139" s="29">
        <f t="shared" si="318"/>
        <v>107.664413</v>
      </c>
      <c r="CO139" s="29">
        <f t="shared" si="319"/>
        <v>114.5846333</v>
      </c>
      <c r="CP139" s="29">
        <f t="shared" si="320"/>
        <v>120.0718824</v>
      </c>
      <c r="CQ139" s="6" t="s">
        <v>35</v>
      </c>
    </row>
    <row r="140" ht="14.25" customHeight="1">
      <c r="B140" s="10" t="s">
        <v>93</v>
      </c>
      <c r="C140" s="9" t="s">
        <v>39</v>
      </c>
      <c r="D140" s="28">
        <f t="shared" ref="D140:G140" si="321">D60-D76</f>
        <v>9.179</v>
      </c>
      <c r="E140" s="28">
        <f t="shared" si="321"/>
        <v>18.905</v>
      </c>
      <c r="F140" s="28">
        <f t="shared" si="321"/>
        <v>7.292</v>
      </c>
      <c r="G140" s="28">
        <f t="shared" si="321"/>
        <v>1.028</v>
      </c>
      <c r="H140" s="28">
        <f t="shared" ref="H140:BW140" si="322">-H163</f>
        <v>2.488</v>
      </c>
      <c r="I140" s="28">
        <f t="shared" si="322"/>
        <v>11.007</v>
      </c>
      <c r="J140" s="28">
        <f t="shared" si="322"/>
        <v>-2.222</v>
      </c>
      <c r="K140" s="28">
        <f t="shared" si="322"/>
        <v>-9.662</v>
      </c>
      <c r="L140" s="28">
        <f t="shared" si="322"/>
        <v>1.976</v>
      </c>
      <c r="M140" s="28">
        <f t="shared" si="322"/>
        <v>6.905</v>
      </c>
      <c r="N140" s="28">
        <f t="shared" si="322"/>
        <v>4.041</v>
      </c>
      <c r="O140" s="28">
        <f t="shared" si="322"/>
        <v>-3.934</v>
      </c>
      <c r="P140" s="28">
        <f t="shared" si="322"/>
        <v>-22.347</v>
      </c>
      <c r="Q140" s="28">
        <f t="shared" si="322"/>
        <v>16.446</v>
      </c>
      <c r="R140" s="28">
        <f t="shared" si="322"/>
        <v>-5.714</v>
      </c>
      <c r="S140" s="28">
        <f t="shared" si="322"/>
        <v>-2.978</v>
      </c>
      <c r="T140" s="28">
        <f t="shared" si="322"/>
        <v>-8.712</v>
      </c>
      <c r="U140" s="28">
        <f t="shared" si="322"/>
        <v>-11.852</v>
      </c>
      <c r="V140" s="28">
        <f t="shared" si="322"/>
        <v>10.949</v>
      </c>
      <c r="W140" s="28">
        <f t="shared" si="322"/>
        <v>-7.134</v>
      </c>
      <c r="X140" s="28">
        <f t="shared" si="322"/>
        <v>-0.53399999</v>
      </c>
      <c r="Y140" s="28">
        <f t="shared" si="322"/>
        <v>-12.36300006</v>
      </c>
      <c r="Z140" s="28">
        <f t="shared" si="322"/>
        <v>-25.16299991</v>
      </c>
      <c r="AA140" s="28">
        <f t="shared" si="322"/>
        <v>4.06900002</v>
      </c>
      <c r="AB140" s="28">
        <f t="shared" si="322"/>
        <v>-14.84300006</v>
      </c>
      <c r="AC140" s="28">
        <f t="shared" si="322"/>
        <v>-43.537</v>
      </c>
      <c r="AD140" s="28">
        <f t="shared" si="322"/>
        <v>44.508</v>
      </c>
      <c r="AE140" s="28">
        <f t="shared" si="322"/>
        <v>-44.328</v>
      </c>
      <c r="AF140" s="28">
        <f t="shared" si="322"/>
        <v>3.296</v>
      </c>
      <c r="AG140" s="28">
        <f t="shared" si="322"/>
        <v>15.239</v>
      </c>
      <c r="AH140" s="28">
        <f t="shared" si="322"/>
        <v>-37.125</v>
      </c>
      <c r="AI140" s="28">
        <f t="shared" si="322"/>
        <v>-2.301</v>
      </c>
      <c r="AJ140" s="28">
        <f t="shared" si="322"/>
        <v>-66.988</v>
      </c>
      <c r="AK140" s="28">
        <f t="shared" si="322"/>
        <v>86.52347217</v>
      </c>
      <c r="AL140" s="28">
        <f t="shared" si="322"/>
        <v>26.83668841</v>
      </c>
      <c r="AM140" s="28">
        <f t="shared" si="322"/>
        <v>-19.25940983</v>
      </c>
      <c r="AN140" s="28">
        <f t="shared" si="322"/>
        <v>-99.3581948</v>
      </c>
      <c r="AO140" s="28">
        <f t="shared" si="322"/>
        <v>85.32048065</v>
      </c>
      <c r="AP140" s="28">
        <f t="shared" si="322"/>
        <v>24.96790385</v>
      </c>
      <c r="AQ140" s="28">
        <f t="shared" si="322"/>
        <v>-19.18294428</v>
      </c>
      <c r="AR140" s="28">
        <f t="shared" si="322"/>
        <v>-118.7314161</v>
      </c>
      <c r="AS140" s="28">
        <f t="shared" si="322"/>
        <v>95.31017793</v>
      </c>
      <c r="AT140" s="28">
        <f t="shared" si="322"/>
        <v>28.24483561</v>
      </c>
      <c r="AU140" s="28">
        <f t="shared" si="322"/>
        <v>-20.39252244</v>
      </c>
      <c r="AV140" s="28">
        <f t="shared" si="322"/>
        <v>-129.4033007</v>
      </c>
      <c r="AW140" s="28">
        <f t="shared" si="322"/>
        <v>104.139161</v>
      </c>
      <c r="AX140" s="28">
        <f t="shared" si="322"/>
        <v>30.86127366</v>
      </c>
      <c r="AY140" s="28">
        <f t="shared" si="322"/>
        <v>-22.28156766</v>
      </c>
      <c r="AZ140" s="28">
        <f t="shared" si="322"/>
        <v>-141.3904733</v>
      </c>
      <c r="BA140" s="28">
        <f t="shared" si="322"/>
        <v>113.78601</v>
      </c>
      <c r="BB140" s="28">
        <f t="shared" si="322"/>
        <v>33.72008338</v>
      </c>
      <c r="BC140" s="28">
        <f t="shared" si="322"/>
        <v>-24.34560309</v>
      </c>
      <c r="BD140" s="28">
        <f t="shared" si="322"/>
        <v>-154.4880682</v>
      </c>
      <c r="BE140" s="28">
        <f t="shared" si="322"/>
        <v>124.3264872</v>
      </c>
      <c r="BF140" s="28">
        <f t="shared" si="322"/>
        <v>36.84371668</v>
      </c>
      <c r="BG140" s="28">
        <f t="shared" si="322"/>
        <v>-26.60083881</v>
      </c>
      <c r="BH140" s="28">
        <f t="shared" si="322"/>
        <v>-168.7989484</v>
      </c>
      <c r="BI140" s="28">
        <f t="shared" si="322"/>
        <v>135.8433732</v>
      </c>
      <c r="BJ140" s="28">
        <f t="shared" si="322"/>
        <v>40.25670529</v>
      </c>
      <c r="BK140" s="28">
        <f t="shared" si="322"/>
        <v>-29.06498651</v>
      </c>
      <c r="BL140" s="28">
        <f t="shared" si="322"/>
        <v>-184.4355057</v>
      </c>
      <c r="BM140" s="28">
        <f t="shared" si="322"/>
        <v>148.4271168</v>
      </c>
      <c r="BN140" s="28">
        <f t="shared" si="322"/>
        <v>43.9858534</v>
      </c>
      <c r="BO140" s="28">
        <f t="shared" si="322"/>
        <v>-31.75739859</v>
      </c>
      <c r="BP140" s="28">
        <f t="shared" si="322"/>
        <v>-201.5205432</v>
      </c>
      <c r="BQ140" s="28">
        <f t="shared" si="322"/>
        <v>162.1765456</v>
      </c>
      <c r="BR140" s="28">
        <f t="shared" si="322"/>
        <v>48.06044821</v>
      </c>
      <c r="BS140" s="28">
        <f t="shared" si="322"/>
        <v>-34.69922014</v>
      </c>
      <c r="BT140" s="28">
        <f t="shared" si="322"/>
        <v>-220.1882396</v>
      </c>
      <c r="BU140" s="28">
        <f t="shared" si="322"/>
        <v>177.1996418</v>
      </c>
      <c r="BV140" s="28">
        <f t="shared" si="322"/>
        <v>52.51248988</v>
      </c>
      <c r="BW140" s="28">
        <f t="shared" si="322"/>
        <v>-37.913555</v>
      </c>
      <c r="BX140" s="6" t="s">
        <v>35</v>
      </c>
      <c r="BY140" s="29">
        <f t="shared" si="303"/>
        <v>36.404</v>
      </c>
      <c r="BZ140" s="29">
        <f t="shared" si="304"/>
        <v>1.611</v>
      </c>
      <c r="CA140" s="29">
        <f t="shared" si="305"/>
        <v>8.988</v>
      </c>
      <c r="CB140" s="29">
        <f t="shared" si="306"/>
        <v>-14.593</v>
      </c>
      <c r="CC140" s="29">
        <f t="shared" si="307"/>
        <v>-16.749</v>
      </c>
      <c r="CD140" s="29">
        <f t="shared" si="308"/>
        <v>-33.99099994</v>
      </c>
      <c r="CE140" s="29">
        <f t="shared" si="309"/>
        <v>-58.20000006</v>
      </c>
      <c r="CF140" s="29">
        <f t="shared" si="310"/>
        <v>-20.891</v>
      </c>
      <c r="CG140" s="29">
        <f t="shared" si="311"/>
        <v>27.11275075</v>
      </c>
      <c r="CH140" s="29">
        <f t="shared" si="312"/>
        <v>-8.252754574</v>
      </c>
      <c r="CI140" s="29">
        <f t="shared" si="313"/>
        <v>-15.56892496</v>
      </c>
      <c r="CJ140" s="29">
        <f t="shared" si="314"/>
        <v>-16.68443369</v>
      </c>
      <c r="CK140" s="29">
        <f t="shared" si="315"/>
        <v>-18.22998303</v>
      </c>
      <c r="CL140" s="29">
        <f t="shared" si="316"/>
        <v>-19.91870312</v>
      </c>
      <c r="CM140" s="29">
        <f t="shared" si="317"/>
        <v>-21.76385646</v>
      </c>
      <c r="CN140" s="29">
        <f t="shared" si="318"/>
        <v>-23.77993412</v>
      </c>
      <c r="CO140" s="29">
        <f t="shared" si="319"/>
        <v>-25.98276954</v>
      </c>
      <c r="CP140" s="29">
        <f t="shared" si="320"/>
        <v>-28.38966288</v>
      </c>
      <c r="CQ140" s="6" t="s">
        <v>35</v>
      </c>
    </row>
    <row r="141" ht="14.25" customHeight="1">
      <c r="B141" s="10" t="s">
        <v>74</v>
      </c>
      <c r="C141" s="9" t="s">
        <v>39</v>
      </c>
      <c r="D141" s="28">
        <f t="shared" ref="D141:AJ141" si="323">D142-SUM(D138:D140)</f>
        <v>-8.06</v>
      </c>
      <c r="E141" s="28">
        <f t="shared" si="323"/>
        <v>-15.2304</v>
      </c>
      <c r="F141" s="28">
        <f t="shared" si="323"/>
        <v>-21.617</v>
      </c>
      <c r="G141" s="28">
        <f t="shared" si="323"/>
        <v>-14.3783</v>
      </c>
      <c r="H141" s="28">
        <f t="shared" si="323"/>
        <v>-7.433</v>
      </c>
      <c r="I141" s="28">
        <f t="shared" si="323"/>
        <v>-2.849</v>
      </c>
      <c r="J141" s="28">
        <f t="shared" si="323"/>
        <v>1.133</v>
      </c>
      <c r="K141" s="28">
        <f t="shared" si="323"/>
        <v>0.551</v>
      </c>
      <c r="L141" s="28">
        <f t="shared" si="323"/>
        <v>-1.896</v>
      </c>
      <c r="M141" s="28">
        <f t="shared" si="323"/>
        <v>1.003</v>
      </c>
      <c r="N141" s="28">
        <f t="shared" si="323"/>
        <v>6.567</v>
      </c>
      <c r="O141" s="28">
        <f t="shared" si="323"/>
        <v>7.837</v>
      </c>
      <c r="P141" s="28">
        <f t="shared" si="323"/>
        <v>-14.975</v>
      </c>
      <c r="Q141" s="28">
        <f t="shared" si="323"/>
        <v>4.159</v>
      </c>
      <c r="R141" s="28">
        <f t="shared" si="323"/>
        <v>1.857</v>
      </c>
      <c r="S141" s="28">
        <f t="shared" si="323"/>
        <v>-20.202</v>
      </c>
      <c r="T141" s="28">
        <f t="shared" si="323"/>
        <v>-0.864</v>
      </c>
      <c r="U141" s="28">
        <f t="shared" si="323"/>
        <v>5.019</v>
      </c>
      <c r="V141" s="28">
        <f t="shared" si="323"/>
        <v>0.952</v>
      </c>
      <c r="W141" s="28">
        <f t="shared" si="323"/>
        <v>-4.213</v>
      </c>
      <c r="X141" s="28">
        <f t="shared" si="323"/>
        <v>4.77199999</v>
      </c>
      <c r="Y141" s="28">
        <f t="shared" si="323"/>
        <v>13.73500006</v>
      </c>
      <c r="Z141" s="28">
        <f t="shared" si="323"/>
        <v>7.87199991</v>
      </c>
      <c r="AA141" s="28">
        <f t="shared" si="323"/>
        <v>9.68499998</v>
      </c>
      <c r="AB141" s="28">
        <f t="shared" si="323"/>
        <v>1.63400006</v>
      </c>
      <c r="AC141" s="28">
        <f t="shared" si="323"/>
        <v>-11.63809883</v>
      </c>
      <c r="AD141" s="28">
        <f t="shared" si="323"/>
        <v>18.361</v>
      </c>
      <c r="AE141" s="28">
        <f t="shared" si="323"/>
        <v>7.34516307</v>
      </c>
      <c r="AF141" s="28">
        <f t="shared" si="323"/>
        <v>-3.652</v>
      </c>
      <c r="AG141" s="28">
        <f t="shared" si="323"/>
        <v>0.483</v>
      </c>
      <c r="AH141" s="28">
        <f t="shared" si="323"/>
        <v>15.39</v>
      </c>
      <c r="AI141" s="28">
        <f t="shared" si="323"/>
        <v>25.02966749</v>
      </c>
      <c r="AJ141" s="28">
        <f t="shared" si="323"/>
        <v>5.979</v>
      </c>
      <c r="AK141" s="28">
        <v>0.0</v>
      </c>
      <c r="AL141" s="28">
        <v>0.0</v>
      </c>
      <c r="AM141" s="28">
        <v>0.0</v>
      </c>
      <c r="AN141" s="28">
        <v>0.0</v>
      </c>
      <c r="AO141" s="28">
        <v>0.0</v>
      </c>
      <c r="AP141" s="28">
        <v>0.0</v>
      </c>
      <c r="AQ141" s="28">
        <v>0.0</v>
      </c>
      <c r="AR141" s="28">
        <v>0.0</v>
      </c>
      <c r="AS141" s="28">
        <v>0.0</v>
      </c>
      <c r="AT141" s="28">
        <v>0.0</v>
      </c>
      <c r="AU141" s="28">
        <v>0.0</v>
      </c>
      <c r="AV141" s="28">
        <v>0.0</v>
      </c>
      <c r="AW141" s="28">
        <v>0.0</v>
      </c>
      <c r="AX141" s="28">
        <v>0.0</v>
      </c>
      <c r="AY141" s="28">
        <v>0.0</v>
      </c>
      <c r="AZ141" s="28">
        <v>0.0</v>
      </c>
      <c r="BA141" s="28">
        <v>0.0</v>
      </c>
      <c r="BB141" s="28">
        <v>0.0</v>
      </c>
      <c r="BC141" s="28">
        <v>0.0</v>
      </c>
      <c r="BD141" s="28">
        <v>0.0</v>
      </c>
      <c r="BE141" s="28">
        <v>0.0</v>
      </c>
      <c r="BF141" s="28">
        <v>0.0</v>
      </c>
      <c r="BG141" s="28">
        <v>0.0</v>
      </c>
      <c r="BH141" s="28">
        <v>0.0</v>
      </c>
      <c r="BI141" s="28">
        <v>0.0</v>
      </c>
      <c r="BJ141" s="28">
        <v>0.0</v>
      </c>
      <c r="BK141" s="28">
        <v>0.0</v>
      </c>
      <c r="BL141" s="28">
        <v>0.0</v>
      </c>
      <c r="BM141" s="28">
        <v>0.0</v>
      </c>
      <c r="BN141" s="28">
        <v>0.0</v>
      </c>
      <c r="BO141" s="28">
        <v>0.0</v>
      </c>
      <c r="BP141" s="28">
        <v>0.0</v>
      </c>
      <c r="BQ141" s="28">
        <v>0.0</v>
      </c>
      <c r="BR141" s="28">
        <v>0.0</v>
      </c>
      <c r="BS141" s="28">
        <v>0.0</v>
      </c>
      <c r="BT141" s="28">
        <v>0.0</v>
      </c>
      <c r="BU141" s="28">
        <v>0.0</v>
      </c>
      <c r="BV141" s="28">
        <v>0.0</v>
      </c>
      <c r="BW141" s="28">
        <v>0.0</v>
      </c>
      <c r="BX141" s="6" t="s">
        <v>35</v>
      </c>
      <c r="BY141" s="29">
        <f t="shared" si="303"/>
        <v>-59.2857</v>
      </c>
      <c r="BZ141" s="29">
        <f t="shared" si="304"/>
        <v>-8.598</v>
      </c>
      <c r="CA141" s="29">
        <f t="shared" si="305"/>
        <v>13.511</v>
      </c>
      <c r="CB141" s="29">
        <f t="shared" si="306"/>
        <v>-29.161</v>
      </c>
      <c r="CC141" s="29">
        <f t="shared" si="307"/>
        <v>0.894</v>
      </c>
      <c r="CD141" s="29">
        <f t="shared" si="308"/>
        <v>36.06399994</v>
      </c>
      <c r="CE141" s="29">
        <f t="shared" si="309"/>
        <v>15.7020643</v>
      </c>
      <c r="CF141" s="29">
        <f t="shared" si="310"/>
        <v>37.25066749</v>
      </c>
      <c r="CG141" s="29">
        <f t="shared" si="311"/>
        <v>5.979</v>
      </c>
      <c r="CH141" s="29">
        <f t="shared" si="312"/>
        <v>0</v>
      </c>
      <c r="CI141" s="29">
        <f t="shared" si="313"/>
        <v>0</v>
      </c>
      <c r="CJ141" s="29">
        <f t="shared" si="314"/>
        <v>0</v>
      </c>
      <c r="CK141" s="29">
        <f t="shared" si="315"/>
        <v>0</v>
      </c>
      <c r="CL141" s="29">
        <f t="shared" si="316"/>
        <v>0</v>
      </c>
      <c r="CM141" s="29">
        <f t="shared" si="317"/>
        <v>0</v>
      </c>
      <c r="CN141" s="29">
        <f t="shared" si="318"/>
        <v>0</v>
      </c>
      <c r="CO141" s="29">
        <f t="shared" si="319"/>
        <v>0</v>
      </c>
      <c r="CP141" s="29">
        <f t="shared" si="320"/>
        <v>0</v>
      </c>
      <c r="CQ141" s="6" t="s">
        <v>35</v>
      </c>
    </row>
    <row r="142" ht="14.25" customHeight="1">
      <c r="B142" s="73" t="s">
        <v>94</v>
      </c>
      <c r="C142" s="74" t="s">
        <v>39</v>
      </c>
      <c r="D142" s="75">
        <v>5.695999999999994</v>
      </c>
      <c r="E142" s="75">
        <v>4.67700000000001</v>
      </c>
      <c r="F142" s="75">
        <v>-14.874</v>
      </c>
      <c r="G142" s="75">
        <v>-13.565000000000047</v>
      </c>
      <c r="H142" s="75">
        <f>Inputs!J233/1000</f>
        <v>-0.134</v>
      </c>
      <c r="I142" s="75">
        <f>Inputs!K233/1000</f>
        <v>12.412</v>
      </c>
      <c r="J142" s="75">
        <f>Inputs!L233/1000</f>
        <v>1.77166169</v>
      </c>
      <c r="K142" s="75">
        <f>Inputs!M233/1000</f>
        <v>-1.21566169</v>
      </c>
      <c r="L142" s="75">
        <f>Inputs!N233/1000</f>
        <v>4.27329017</v>
      </c>
      <c r="M142" s="75">
        <f>Inputs!O233/1000</f>
        <v>10.891</v>
      </c>
      <c r="N142" s="75">
        <f>Inputs!P233/1000</f>
        <v>12.69244859</v>
      </c>
      <c r="O142" s="75">
        <f>Inputs!Q233/1000</f>
        <v>3.549261244</v>
      </c>
      <c r="P142" s="75">
        <f>Inputs!R233/1000</f>
        <v>-28.933</v>
      </c>
      <c r="Q142" s="75">
        <f>Inputs!S233/1000</f>
        <v>7.713</v>
      </c>
      <c r="R142" s="75">
        <f>Inputs!T233/1000</f>
        <v>-2.968</v>
      </c>
      <c r="S142" s="75">
        <f>Inputs!U233/1000</f>
        <v>-1.019</v>
      </c>
      <c r="T142" s="75">
        <f>Inputs!V233/1000</f>
        <v>-5.699</v>
      </c>
      <c r="U142" s="75">
        <f>Inputs!W233/1000</f>
        <v>4.813102</v>
      </c>
      <c r="V142" s="75">
        <f>Inputs!X233/1000</f>
        <v>21.33255722</v>
      </c>
      <c r="W142" s="75">
        <f>Inputs!Y233/1000</f>
        <v>-0.89240167</v>
      </c>
      <c r="X142" s="75">
        <f>Inputs!Z233/1000</f>
        <v>15.41335473</v>
      </c>
      <c r="Y142" s="75">
        <f>Inputs!AA233/1000</f>
        <v>18.761</v>
      </c>
      <c r="Z142" s="75">
        <f>Inputs!AB233/1000</f>
        <v>26.033</v>
      </c>
      <c r="AA142" s="75">
        <f>Inputs!AC233/1000</f>
        <v>33.09652699</v>
      </c>
      <c r="AB142" s="75">
        <f>Inputs!AD233/1000</f>
        <v>4.38183693</v>
      </c>
      <c r="AC142" s="75">
        <f>Inputs!AE233/1000</f>
        <v>-36.872</v>
      </c>
      <c r="AD142" s="75">
        <f>Inputs!AF233/1000</f>
        <v>74.207</v>
      </c>
      <c r="AE142" s="75">
        <f>Inputs!AG233/1000</f>
        <v>-20.07483693</v>
      </c>
      <c r="AF142" s="75">
        <f>Inputs!AH233/1000</f>
        <v>13.297</v>
      </c>
      <c r="AG142" s="75">
        <f>Inputs!AI233/1000</f>
        <v>24.13</v>
      </c>
      <c r="AH142" s="75">
        <f>Inputs!AJ233/1000</f>
        <v>12.11</v>
      </c>
      <c r="AI142" s="75">
        <f>Inputs!AK233/1000</f>
        <v>58.214</v>
      </c>
      <c r="AJ142" s="75">
        <f>Inputs!AL233/1000</f>
        <v>-38.528</v>
      </c>
      <c r="AK142" s="75">
        <f t="shared" ref="AK142:BW142" si="324">+AK138+AK139+AK140+AK141</f>
        <v>107.5407205</v>
      </c>
      <c r="AL142" s="75">
        <f t="shared" si="324"/>
        <v>61.91458101</v>
      </c>
      <c r="AM142" s="75">
        <f t="shared" si="324"/>
        <v>16.30816988</v>
      </c>
      <c r="AN142" s="75">
        <f t="shared" si="324"/>
        <v>-60.036809</v>
      </c>
      <c r="AO142" s="75">
        <f t="shared" si="324"/>
        <v>122.3434251</v>
      </c>
      <c r="AP142" s="75">
        <f t="shared" si="324"/>
        <v>63.31497598</v>
      </c>
      <c r="AQ142" s="75">
        <f t="shared" si="324"/>
        <v>27.69088721</v>
      </c>
      <c r="AR142" s="75">
        <f t="shared" si="324"/>
        <v>-72.10237285</v>
      </c>
      <c r="AS142" s="75">
        <f t="shared" si="324"/>
        <v>139.8876189</v>
      </c>
      <c r="AT142" s="75">
        <f t="shared" si="324"/>
        <v>74.58468782</v>
      </c>
      <c r="AU142" s="75">
        <f t="shared" si="324"/>
        <v>33.80937782</v>
      </c>
      <c r="AV142" s="75">
        <f t="shared" si="324"/>
        <v>-76.07314257</v>
      </c>
      <c r="AW142" s="75">
        <f t="shared" si="324"/>
        <v>156.7593429</v>
      </c>
      <c r="AX142" s="75">
        <f t="shared" si="324"/>
        <v>85.75054541</v>
      </c>
      <c r="AY142" s="75">
        <f t="shared" si="324"/>
        <v>39.50242237</v>
      </c>
      <c r="AZ142" s="75">
        <f t="shared" si="324"/>
        <v>-82.40327413</v>
      </c>
      <c r="BA142" s="75">
        <f t="shared" si="324"/>
        <v>172.5331152</v>
      </c>
      <c r="BB142" s="75">
        <f t="shared" si="324"/>
        <v>94.93279596</v>
      </c>
      <c r="BC142" s="75">
        <f t="shared" si="324"/>
        <v>43.84427668</v>
      </c>
      <c r="BD142" s="75">
        <f t="shared" si="324"/>
        <v>-89.29917274</v>
      </c>
      <c r="BE142" s="75">
        <f t="shared" si="324"/>
        <v>189.2924723</v>
      </c>
      <c r="BF142" s="75">
        <f t="shared" si="324"/>
        <v>104.5253633</v>
      </c>
      <c r="BG142" s="75">
        <f t="shared" si="324"/>
        <v>48.72597156</v>
      </c>
      <c r="BH142" s="75">
        <f t="shared" si="324"/>
        <v>-96.72809611</v>
      </c>
      <c r="BI142" s="75">
        <f t="shared" si="324"/>
        <v>207.6954365</v>
      </c>
      <c r="BJ142" s="75">
        <f t="shared" si="324"/>
        <v>115.1072135</v>
      </c>
      <c r="BK142" s="75">
        <f t="shared" si="324"/>
        <v>54.16820883</v>
      </c>
      <c r="BL142" s="75">
        <f t="shared" si="324"/>
        <v>-104.7333626</v>
      </c>
      <c r="BM142" s="75">
        <f t="shared" si="324"/>
        <v>227.9146872</v>
      </c>
      <c r="BN142" s="75">
        <f t="shared" si="324"/>
        <v>126.7746641</v>
      </c>
      <c r="BO142" s="75">
        <f t="shared" si="324"/>
        <v>60.21629902</v>
      </c>
      <c r="BP142" s="75">
        <f t="shared" si="324"/>
        <v>-113.378804</v>
      </c>
      <c r="BQ142" s="75">
        <f t="shared" si="324"/>
        <v>249.8654484</v>
      </c>
      <c r="BR142" s="75">
        <f t="shared" si="324"/>
        <v>139.2710636</v>
      </c>
      <c r="BS142" s="75">
        <f t="shared" si="324"/>
        <v>66.45503991</v>
      </c>
      <c r="BT142" s="75">
        <f t="shared" si="324"/>
        <v>-123.3353502</v>
      </c>
      <c r="BU142" s="75">
        <f t="shared" si="324"/>
        <v>273.7523501</v>
      </c>
      <c r="BV142" s="75">
        <f t="shared" si="324"/>
        <v>152.9584971</v>
      </c>
      <c r="BW142" s="75">
        <f t="shared" si="324"/>
        <v>73.44384151</v>
      </c>
      <c r="BX142" s="6" t="s">
        <v>35</v>
      </c>
      <c r="BY142" s="34">
        <f t="shared" si="303"/>
        <v>-18.066</v>
      </c>
      <c r="BZ142" s="34">
        <f t="shared" si="304"/>
        <v>12.834</v>
      </c>
      <c r="CA142" s="34">
        <f t="shared" si="305"/>
        <v>31.406</v>
      </c>
      <c r="CB142" s="34">
        <f t="shared" si="306"/>
        <v>-25.207</v>
      </c>
      <c r="CC142" s="34">
        <f t="shared" si="307"/>
        <v>19.55425755</v>
      </c>
      <c r="CD142" s="34">
        <f t="shared" si="308"/>
        <v>93.30388172</v>
      </c>
      <c r="CE142" s="34">
        <f t="shared" si="309"/>
        <v>21.642</v>
      </c>
      <c r="CF142" s="34">
        <f t="shared" si="310"/>
        <v>107.751</v>
      </c>
      <c r="CG142" s="34">
        <f t="shared" si="311"/>
        <v>147.2354714</v>
      </c>
      <c r="CH142" s="34">
        <f t="shared" si="312"/>
        <v>153.3124793</v>
      </c>
      <c r="CI142" s="34">
        <f t="shared" si="313"/>
        <v>176.1793117</v>
      </c>
      <c r="CJ142" s="34">
        <f t="shared" si="314"/>
        <v>205.9391681</v>
      </c>
      <c r="CK142" s="34">
        <f t="shared" si="315"/>
        <v>228.9069137</v>
      </c>
      <c r="CL142" s="34">
        <f t="shared" si="316"/>
        <v>253.2446345</v>
      </c>
      <c r="CM142" s="34">
        <f t="shared" si="317"/>
        <v>280.2427627</v>
      </c>
      <c r="CN142" s="34">
        <f t="shared" si="318"/>
        <v>310.1722877</v>
      </c>
      <c r="CO142" s="34">
        <f t="shared" si="319"/>
        <v>342.2127479</v>
      </c>
      <c r="CP142" s="34">
        <f t="shared" si="320"/>
        <v>376.8193385</v>
      </c>
      <c r="CQ142" s="6" t="s">
        <v>35</v>
      </c>
    </row>
    <row r="143" ht="14.25" customHeight="1">
      <c r="B143" s="10"/>
      <c r="C143" s="9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6" t="s">
        <v>35</v>
      </c>
      <c r="BY143" s="19"/>
      <c r="BZ143" s="19"/>
      <c r="CA143" s="19"/>
      <c r="CB143" s="19"/>
      <c r="CC143" s="19"/>
      <c r="CD143" s="19"/>
      <c r="CE143" s="19"/>
      <c r="CF143" s="19">
        <f t="shared" ref="CF143:CP143" si="325">CF142/CF52</f>
        <v>0.6708511931</v>
      </c>
      <c r="CG143" s="19">
        <f t="shared" si="325"/>
        <v>0.7591548997</v>
      </c>
      <c r="CH143" s="19">
        <f t="shared" si="325"/>
        <v>0.6110460614</v>
      </c>
      <c r="CI143" s="19">
        <f t="shared" si="325"/>
        <v>0.6202429962</v>
      </c>
      <c r="CJ143" s="19">
        <f t="shared" si="325"/>
        <v>0.6500576463</v>
      </c>
      <c r="CK143" s="19">
        <f t="shared" si="325"/>
        <v>0.6667028862</v>
      </c>
      <c r="CL143" s="19">
        <f t="shared" si="325"/>
        <v>0.6794217972</v>
      </c>
      <c r="CM143" s="19">
        <f t="shared" si="325"/>
        <v>0.6917260781</v>
      </c>
      <c r="CN143" s="19">
        <f t="shared" si="325"/>
        <v>0.7036292147</v>
      </c>
      <c r="CO143" s="19">
        <f t="shared" si="325"/>
        <v>0.7150295776</v>
      </c>
      <c r="CP143" s="19">
        <f t="shared" si="325"/>
        <v>0.727721738</v>
      </c>
      <c r="CQ143" s="6" t="s">
        <v>35</v>
      </c>
    </row>
    <row r="144" ht="14.25" customHeight="1">
      <c r="B144" s="10" t="s">
        <v>95</v>
      </c>
      <c r="C144" s="9" t="s">
        <v>39</v>
      </c>
      <c r="D144" s="28">
        <f t="shared" ref="D144:BW144" si="326">-D201</f>
        <v>0</v>
      </c>
      <c r="E144" s="28">
        <f t="shared" si="326"/>
        <v>0</v>
      </c>
      <c r="F144" s="28">
        <f t="shared" si="326"/>
        <v>0</v>
      </c>
      <c r="G144" s="28">
        <f t="shared" si="326"/>
        <v>0</v>
      </c>
      <c r="H144" s="28">
        <f t="shared" si="326"/>
        <v>-1.788</v>
      </c>
      <c r="I144" s="28">
        <f t="shared" si="326"/>
        <v>-6.918</v>
      </c>
      <c r="J144" s="28">
        <f t="shared" si="326"/>
        <v>-2.237</v>
      </c>
      <c r="K144" s="28">
        <f t="shared" si="326"/>
        <v>-3.966</v>
      </c>
      <c r="L144" s="28">
        <f t="shared" si="326"/>
        <v>-2.653</v>
      </c>
      <c r="M144" s="28">
        <f t="shared" si="326"/>
        <v>-5.197</v>
      </c>
      <c r="N144" s="28">
        <f t="shared" si="326"/>
        <v>-4.913</v>
      </c>
      <c r="O144" s="28">
        <f t="shared" si="326"/>
        <v>-3.718</v>
      </c>
      <c r="P144" s="28">
        <f t="shared" si="326"/>
        <v>-1.436</v>
      </c>
      <c r="Q144" s="28">
        <f t="shared" si="326"/>
        <v>-1.491</v>
      </c>
      <c r="R144" s="28">
        <f t="shared" si="326"/>
        <v>-4.989</v>
      </c>
      <c r="S144" s="28">
        <f t="shared" si="326"/>
        <v>-14.047</v>
      </c>
      <c r="T144" s="28">
        <f t="shared" si="326"/>
        <v>-18.165</v>
      </c>
      <c r="U144" s="28">
        <f t="shared" si="326"/>
        <v>-6.402</v>
      </c>
      <c r="V144" s="28">
        <f t="shared" si="326"/>
        <v>-9.779</v>
      </c>
      <c r="W144" s="28">
        <f t="shared" si="326"/>
        <v>-8.368</v>
      </c>
      <c r="X144" s="28">
        <f t="shared" si="326"/>
        <v>-15.697</v>
      </c>
      <c r="Y144" s="28">
        <f t="shared" si="326"/>
        <v>-15.582</v>
      </c>
      <c r="Z144" s="28">
        <f t="shared" si="326"/>
        <v>-18.057</v>
      </c>
      <c r="AA144" s="28">
        <f t="shared" si="326"/>
        <v>-33.692</v>
      </c>
      <c r="AB144" s="28">
        <f t="shared" si="326"/>
        <v>-4.519</v>
      </c>
      <c r="AC144" s="28">
        <f t="shared" si="326"/>
        <v>-23.327</v>
      </c>
      <c r="AD144" s="28">
        <f t="shared" si="326"/>
        <v>-35.645</v>
      </c>
      <c r="AE144" s="28">
        <f t="shared" si="326"/>
        <v>-20.815</v>
      </c>
      <c r="AF144" s="28">
        <f t="shared" si="326"/>
        <v>-15.836</v>
      </c>
      <c r="AG144" s="28">
        <f t="shared" si="326"/>
        <v>-23.769</v>
      </c>
      <c r="AH144" s="28">
        <f t="shared" si="326"/>
        <v>-33.166</v>
      </c>
      <c r="AI144" s="28">
        <f t="shared" si="326"/>
        <v>-22.639</v>
      </c>
      <c r="AJ144" s="28">
        <f t="shared" si="326"/>
        <v>-3.219</v>
      </c>
      <c r="AK144" s="28">
        <f t="shared" si="326"/>
        <v>-23.48602</v>
      </c>
      <c r="AL144" s="28">
        <f t="shared" si="326"/>
        <v>-35.05009152</v>
      </c>
      <c r="AM144" s="28">
        <f t="shared" si="326"/>
        <v>-27.11951036</v>
      </c>
      <c r="AN144" s="28">
        <f t="shared" si="326"/>
        <v>-23.09696694</v>
      </c>
      <c r="AO144" s="28">
        <f t="shared" si="326"/>
        <v>-23.11435159</v>
      </c>
      <c r="AP144" s="28">
        <f t="shared" si="326"/>
        <v>-24.13138306</v>
      </c>
      <c r="AQ144" s="28">
        <f t="shared" si="326"/>
        <v>-27.30575543</v>
      </c>
      <c r="AR144" s="28">
        <f t="shared" si="326"/>
        <v>-25.54963847</v>
      </c>
      <c r="AS144" s="28">
        <f t="shared" si="326"/>
        <v>-25.44291418</v>
      </c>
      <c r="AT144" s="28">
        <f t="shared" si="326"/>
        <v>-26.43155313</v>
      </c>
      <c r="AU144" s="28">
        <f t="shared" si="326"/>
        <v>-29.83520253</v>
      </c>
      <c r="AV144" s="28">
        <f t="shared" si="326"/>
        <v>-27.91640906</v>
      </c>
      <c r="AW144" s="28">
        <f t="shared" si="326"/>
        <v>-27.79979845</v>
      </c>
      <c r="AX144" s="28">
        <f t="shared" si="326"/>
        <v>-28.88001919</v>
      </c>
      <c r="AY144" s="28">
        <f t="shared" si="326"/>
        <v>-32.59896296</v>
      </c>
      <c r="AZ144" s="28">
        <f t="shared" si="326"/>
        <v>-30.50242357</v>
      </c>
      <c r="BA144" s="28">
        <f t="shared" si="326"/>
        <v>-30.37501083</v>
      </c>
      <c r="BB144" s="28">
        <f t="shared" si="326"/>
        <v>-31.55529697</v>
      </c>
      <c r="BC144" s="28">
        <f t="shared" si="326"/>
        <v>-35.61874216</v>
      </c>
      <c r="BD144" s="28">
        <f t="shared" si="326"/>
        <v>-33.3279915</v>
      </c>
      <c r="BE144" s="28">
        <f t="shared" si="326"/>
        <v>-33.18877598</v>
      </c>
      <c r="BF144" s="28">
        <f t="shared" si="326"/>
        <v>-34.47839699</v>
      </c>
      <c r="BG144" s="28">
        <f t="shared" si="326"/>
        <v>-38.91825622</v>
      </c>
      <c r="BH144" s="28">
        <f t="shared" si="326"/>
        <v>-36.41530368</v>
      </c>
      <c r="BI144" s="28">
        <f t="shared" si="326"/>
        <v>-36.26319204</v>
      </c>
      <c r="BJ144" s="28">
        <f t="shared" si="326"/>
        <v>-37.67227607</v>
      </c>
      <c r="BK144" s="28">
        <f t="shared" si="326"/>
        <v>-42.52341816</v>
      </c>
      <c r="BL144" s="28">
        <f t="shared" si="326"/>
        <v>-39.78860659</v>
      </c>
      <c r="BM144" s="28">
        <f t="shared" si="326"/>
        <v>-39.6224042</v>
      </c>
      <c r="BN144" s="28">
        <f t="shared" si="326"/>
        <v>-41.16201762</v>
      </c>
      <c r="BO144" s="28">
        <f t="shared" si="326"/>
        <v>-46.46254143</v>
      </c>
      <c r="BP144" s="28">
        <f t="shared" si="326"/>
        <v>-36.22866062</v>
      </c>
      <c r="BQ144" s="28">
        <f t="shared" si="326"/>
        <v>-36.07732861</v>
      </c>
      <c r="BR144" s="28">
        <f t="shared" si="326"/>
        <v>-37.47919052</v>
      </c>
      <c r="BS144" s="28">
        <f t="shared" si="326"/>
        <v>-42.30546856</v>
      </c>
      <c r="BT144" s="28">
        <f t="shared" si="326"/>
        <v>-39.58467399</v>
      </c>
      <c r="BU144" s="28">
        <f t="shared" si="326"/>
        <v>-39.41932346</v>
      </c>
      <c r="BV144" s="28">
        <f t="shared" si="326"/>
        <v>-40.95104575</v>
      </c>
      <c r="BW144" s="28">
        <f t="shared" si="326"/>
        <v>-46.22440224</v>
      </c>
      <c r="BX144" s="6" t="s">
        <v>35</v>
      </c>
      <c r="BY144" s="29">
        <f t="shared" ref="BY144:BY146" si="328">SUM(D144:G144)</f>
        <v>0</v>
      </c>
      <c r="BZ144" s="29">
        <f t="shared" ref="BZ144:BZ146" si="329">SUM(H144:K144)</f>
        <v>-14.909</v>
      </c>
      <c r="CA144" s="29">
        <f t="shared" ref="CA144:CA146" si="330">SUM(L144:O144)</f>
        <v>-16.481</v>
      </c>
      <c r="CB144" s="29">
        <f t="shared" ref="CB144:CB146" si="331">SUM(P144:S144)</f>
        <v>-21.963</v>
      </c>
      <c r="CC144" s="29">
        <f t="shared" ref="CC144:CC146" si="332">SUM(T144:W144)</f>
        <v>-42.714</v>
      </c>
      <c r="CD144" s="29">
        <f t="shared" ref="CD144:CD146" si="333">SUM(X144:AA144)</f>
        <v>-83.028</v>
      </c>
      <c r="CE144" s="29">
        <f t="shared" ref="CE144:CE146" si="334">SUM(AB144:AE144)</f>
        <v>-84.306</v>
      </c>
      <c r="CF144" s="29">
        <f t="shared" ref="CF144:CF146" si="335">SUM(AF144:AI144)</f>
        <v>-95.41</v>
      </c>
      <c r="CG144" s="29">
        <f t="shared" ref="CG144:CG146" si="336">SUM(AJ144:AM144)</f>
        <v>-88.87462188</v>
      </c>
      <c r="CH144" s="29">
        <f t="shared" ref="CH144:CH146" si="337">SUM(AN144:AQ144)</f>
        <v>-97.64845702</v>
      </c>
      <c r="CI144" s="29">
        <f t="shared" ref="CI144:CI146" si="338">SUM(AR144:AU144)</f>
        <v>-107.2593083</v>
      </c>
      <c r="CJ144" s="29">
        <f t="shared" ref="CJ144:CJ146" si="339">SUM(AV144:AY144)</f>
        <v>-117.1951897</v>
      </c>
      <c r="CK144" s="29">
        <f t="shared" ref="CK144:CK146" si="340">SUM(AZ144:BC144)</f>
        <v>-128.0514735</v>
      </c>
      <c r="CL144" s="29">
        <f t="shared" ref="CL144:CL146" si="341">SUM(BD144:BG144)</f>
        <v>-139.9134207</v>
      </c>
      <c r="CM144" s="29">
        <f t="shared" ref="CM144:CM146" si="342">SUM(BH144:BK144)</f>
        <v>-152.8741899</v>
      </c>
      <c r="CN144" s="29">
        <f t="shared" ref="CN144:CN146" si="343">SUM(BL144:BO144)</f>
        <v>-167.0355698</v>
      </c>
      <c r="CO144" s="29">
        <f t="shared" ref="CO144:CO146" si="344">SUM(BP144:BS144)</f>
        <v>-152.0906483</v>
      </c>
      <c r="CP144" s="29">
        <f t="shared" ref="CP144:CP146" si="345">SUM(BT144:BW144)</f>
        <v>-166.1794454</v>
      </c>
      <c r="CQ144" s="6" t="s">
        <v>35</v>
      </c>
    </row>
    <row r="145" ht="14.25" customHeight="1">
      <c r="B145" s="10" t="s">
        <v>74</v>
      </c>
      <c r="C145" s="9" t="s">
        <v>39</v>
      </c>
      <c r="D145" s="28">
        <f t="shared" ref="D145:AJ145" si="327">D146-D144</f>
        <v>-2.482</v>
      </c>
      <c r="E145" s="28">
        <f t="shared" si="327"/>
        <v>-0.743</v>
      </c>
      <c r="F145" s="28">
        <f t="shared" si="327"/>
        <v>-17.808</v>
      </c>
      <c r="G145" s="28">
        <f t="shared" si="327"/>
        <v>0</v>
      </c>
      <c r="H145" s="28">
        <f t="shared" si="327"/>
        <v>1.883</v>
      </c>
      <c r="I145" s="28">
        <f t="shared" si="327"/>
        <v>-0.23</v>
      </c>
      <c r="J145" s="28">
        <f t="shared" si="327"/>
        <v>0.561</v>
      </c>
      <c r="K145" s="28">
        <f t="shared" si="327"/>
        <v>-0.044</v>
      </c>
      <c r="L145" s="28">
        <f t="shared" si="327"/>
        <v>-0.46</v>
      </c>
      <c r="M145" s="28">
        <f t="shared" si="327"/>
        <v>0.511</v>
      </c>
      <c r="N145" s="28">
        <f t="shared" si="327"/>
        <v>-3.459</v>
      </c>
      <c r="O145" s="28">
        <f t="shared" si="327"/>
        <v>0.316</v>
      </c>
      <c r="P145" s="28">
        <f t="shared" si="327"/>
        <v>-134.431</v>
      </c>
      <c r="Q145" s="28">
        <f t="shared" si="327"/>
        <v>18.344</v>
      </c>
      <c r="R145" s="28">
        <f t="shared" si="327"/>
        <v>33.607</v>
      </c>
      <c r="S145" s="28">
        <f t="shared" si="327"/>
        <v>28.929</v>
      </c>
      <c r="T145" s="28">
        <f t="shared" si="327"/>
        <v>22.785</v>
      </c>
      <c r="U145" s="28">
        <f t="shared" si="327"/>
        <v>14.878</v>
      </c>
      <c r="V145" s="28">
        <f t="shared" si="327"/>
        <v>-1.126</v>
      </c>
      <c r="W145" s="28">
        <f t="shared" si="327"/>
        <v>10.695</v>
      </c>
      <c r="X145" s="28">
        <f t="shared" si="327"/>
        <v>-1.648</v>
      </c>
      <c r="Y145" s="28">
        <f t="shared" si="327"/>
        <v>0.051</v>
      </c>
      <c r="Z145" s="28">
        <f t="shared" si="327"/>
        <v>0.705</v>
      </c>
      <c r="AA145" s="28">
        <f t="shared" si="327"/>
        <v>2.605</v>
      </c>
      <c r="AB145" s="28">
        <f t="shared" si="327"/>
        <v>0.598</v>
      </c>
      <c r="AC145" s="28">
        <f t="shared" si="327"/>
        <v>0.203</v>
      </c>
      <c r="AD145" s="28">
        <f t="shared" si="327"/>
        <v>1.133</v>
      </c>
      <c r="AE145" s="28">
        <f t="shared" si="327"/>
        <v>0.382</v>
      </c>
      <c r="AF145" s="28">
        <f t="shared" si="327"/>
        <v>0.762</v>
      </c>
      <c r="AG145" s="28">
        <f t="shared" si="327"/>
        <v>-0.007</v>
      </c>
      <c r="AH145" s="28">
        <f t="shared" si="327"/>
        <v>1.18</v>
      </c>
      <c r="AI145" s="28">
        <f t="shared" si="327"/>
        <v>-0.124</v>
      </c>
      <c r="AJ145" s="28">
        <f t="shared" si="327"/>
        <v>3.251</v>
      </c>
      <c r="AK145" s="28">
        <v>0.0</v>
      </c>
      <c r="AL145" s="28">
        <v>0.0</v>
      </c>
      <c r="AM145" s="28">
        <v>0.0</v>
      </c>
      <c r="AN145" s="28">
        <v>0.0</v>
      </c>
      <c r="AO145" s="28">
        <v>0.0</v>
      </c>
      <c r="AP145" s="28">
        <v>0.0</v>
      </c>
      <c r="AQ145" s="28">
        <v>0.0</v>
      </c>
      <c r="AR145" s="28">
        <v>0.0</v>
      </c>
      <c r="AS145" s="28">
        <v>0.0</v>
      </c>
      <c r="AT145" s="28">
        <v>0.0</v>
      </c>
      <c r="AU145" s="28">
        <v>0.0</v>
      </c>
      <c r="AV145" s="28">
        <v>0.0</v>
      </c>
      <c r="AW145" s="28">
        <v>0.0</v>
      </c>
      <c r="AX145" s="28">
        <v>0.0</v>
      </c>
      <c r="AY145" s="28">
        <v>0.0</v>
      </c>
      <c r="AZ145" s="28">
        <v>0.0</v>
      </c>
      <c r="BA145" s="28">
        <v>0.0</v>
      </c>
      <c r="BB145" s="28">
        <v>0.0</v>
      </c>
      <c r="BC145" s="28">
        <v>0.0</v>
      </c>
      <c r="BD145" s="28">
        <v>0.0</v>
      </c>
      <c r="BE145" s="28">
        <v>0.0</v>
      </c>
      <c r="BF145" s="28">
        <v>0.0</v>
      </c>
      <c r="BG145" s="28">
        <v>0.0</v>
      </c>
      <c r="BH145" s="28">
        <v>0.0</v>
      </c>
      <c r="BI145" s="28">
        <v>0.0</v>
      </c>
      <c r="BJ145" s="28">
        <v>0.0</v>
      </c>
      <c r="BK145" s="28">
        <v>0.0</v>
      </c>
      <c r="BL145" s="28">
        <v>0.0</v>
      </c>
      <c r="BM145" s="28">
        <v>0.0</v>
      </c>
      <c r="BN145" s="28">
        <v>0.0</v>
      </c>
      <c r="BO145" s="28">
        <v>0.0</v>
      </c>
      <c r="BP145" s="28">
        <v>0.0</v>
      </c>
      <c r="BQ145" s="28">
        <v>0.0</v>
      </c>
      <c r="BR145" s="28">
        <v>0.0</v>
      </c>
      <c r="BS145" s="28">
        <v>0.0</v>
      </c>
      <c r="BT145" s="28">
        <v>0.0</v>
      </c>
      <c r="BU145" s="28">
        <v>0.0</v>
      </c>
      <c r="BV145" s="28">
        <v>0.0</v>
      </c>
      <c r="BW145" s="28">
        <v>0.0</v>
      </c>
      <c r="BX145" s="6" t="s">
        <v>35</v>
      </c>
      <c r="BY145" s="29">
        <f t="shared" si="328"/>
        <v>-21.033</v>
      </c>
      <c r="BZ145" s="29">
        <f t="shared" si="329"/>
        <v>2.17</v>
      </c>
      <c r="CA145" s="29">
        <f t="shared" si="330"/>
        <v>-3.092</v>
      </c>
      <c r="CB145" s="29">
        <f t="shared" si="331"/>
        <v>-53.551</v>
      </c>
      <c r="CC145" s="29">
        <f t="shared" si="332"/>
        <v>47.232</v>
      </c>
      <c r="CD145" s="29">
        <f t="shared" si="333"/>
        <v>1.713</v>
      </c>
      <c r="CE145" s="29">
        <f t="shared" si="334"/>
        <v>2.316</v>
      </c>
      <c r="CF145" s="29">
        <f t="shared" si="335"/>
        <v>1.811</v>
      </c>
      <c r="CG145" s="29">
        <f t="shared" si="336"/>
        <v>3.251</v>
      </c>
      <c r="CH145" s="29">
        <f t="shared" si="337"/>
        <v>0</v>
      </c>
      <c r="CI145" s="29">
        <f t="shared" si="338"/>
        <v>0</v>
      </c>
      <c r="CJ145" s="29">
        <f t="shared" si="339"/>
        <v>0</v>
      </c>
      <c r="CK145" s="29">
        <f t="shared" si="340"/>
        <v>0</v>
      </c>
      <c r="CL145" s="29">
        <f t="shared" si="341"/>
        <v>0</v>
      </c>
      <c r="CM145" s="29">
        <f t="shared" si="342"/>
        <v>0</v>
      </c>
      <c r="CN145" s="29">
        <f t="shared" si="343"/>
        <v>0</v>
      </c>
      <c r="CO145" s="29">
        <f t="shared" si="344"/>
        <v>0</v>
      </c>
      <c r="CP145" s="29">
        <f t="shared" si="345"/>
        <v>0</v>
      </c>
      <c r="CQ145" s="6" t="s">
        <v>35</v>
      </c>
    </row>
    <row r="146" ht="14.25" customHeight="1">
      <c r="B146" s="49" t="s">
        <v>96</v>
      </c>
      <c r="C146" s="74" t="s">
        <v>39</v>
      </c>
      <c r="D146" s="75">
        <v>-2.482</v>
      </c>
      <c r="E146" s="75">
        <v>-0.7429999999999999</v>
      </c>
      <c r="F146" s="75">
        <v>-17.808</v>
      </c>
      <c r="G146" s="75">
        <v>0.0</v>
      </c>
      <c r="H146" s="75">
        <f>Inputs!J243/1000</f>
        <v>0.095</v>
      </c>
      <c r="I146" s="75">
        <f>Inputs!K243/1000</f>
        <v>-7.148</v>
      </c>
      <c r="J146" s="75">
        <f>Inputs!L243/1000</f>
        <v>-1.676</v>
      </c>
      <c r="K146" s="75">
        <f>Inputs!M243/1000</f>
        <v>-4.01</v>
      </c>
      <c r="L146" s="75">
        <f>Inputs!N243/1000</f>
        <v>-3.113</v>
      </c>
      <c r="M146" s="75">
        <f>Inputs!O243/1000</f>
        <v>-4.686</v>
      </c>
      <c r="N146" s="75">
        <f>Inputs!P243/1000</f>
        <v>-8.372</v>
      </c>
      <c r="O146" s="75">
        <f>Inputs!Q243/1000</f>
        <v>-3.402</v>
      </c>
      <c r="P146" s="75">
        <f>Inputs!R243/1000</f>
        <v>-135.867</v>
      </c>
      <c r="Q146" s="75">
        <f>Inputs!S243/1000</f>
        <v>16.853</v>
      </c>
      <c r="R146" s="75">
        <f>Inputs!T243/1000</f>
        <v>28.618</v>
      </c>
      <c r="S146" s="75">
        <f>Inputs!U243/1000</f>
        <v>14.882</v>
      </c>
      <c r="T146" s="75">
        <f>Inputs!V243/1000</f>
        <v>4.62</v>
      </c>
      <c r="U146" s="75">
        <f>Inputs!W243/1000</f>
        <v>8.476</v>
      </c>
      <c r="V146" s="75">
        <f>Inputs!X243/1000</f>
        <v>-10.905</v>
      </c>
      <c r="W146" s="75">
        <f>Inputs!Y243/1000</f>
        <v>2.327</v>
      </c>
      <c r="X146" s="75">
        <f>Inputs!Z243/1000</f>
        <v>-17.345</v>
      </c>
      <c r="Y146" s="75">
        <f>Inputs!AA243/1000</f>
        <v>-15.531</v>
      </c>
      <c r="Z146" s="75">
        <f>Inputs!AB243/1000</f>
        <v>-17.352</v>
      </c>
      <c r="AA146" s="75">
        <f>Inputs!AC243/1000</f>
        <v>-31.087</v>
      </c>
      <c r="AB146" s="75">
        <f>Inputs!AD243/1000</f>
        <v>-3.921</v>
      </c>
      <c r="AC146" s="75">
        <f>Inputs!AE243/1000</f>
        <v>-23.124</v>
      </c>
      <c r="AD146" s="75">
        <f>Inputs!AF243/1000</f>
        <v>-34.512</v>
      </c>
      <c r="AE146" s="75">
        <f>Inputs!AG243/1000</f>
        <v>-20.433</v>
      </c>
      <c r="AF146" s="75">
        <f>Inputs!AH243/1000</f>
        <v>-15.074</v>
      </c>
      <c r="AG146" s="75">
        <f>Inputs!AI243/1000</f>
        <v>-23.776</v>
      </c>
      <c r="AH146" s="75">
        <f>Inputs!AJ243/1000</f>
        <v>-31.986</v>
      </c>
      <c r="AI146" s="75">
        <f>Inputs!AK243/1000</f>
        <v>-22.763</v>
      </c>
      <c r="AJ146" s="75">
        <f>Inputs!AL243/1000</f>
        <v>0.032</v>
      </c>
      <c r="AK146" s="75">
        <f t="shared" ref="AK146:BW146" si="346">+AK144+AK145</f>
        <v>-23.48602</v>
      </c>
      <c r="AL146" s="75">
        <f t="shared" si="346"/>
        <v>-35.05009152</v>
      </c>
      <c r="AM146" s="75">
        <f t="shared" si="346"/>
        <v>-27.11951036</v>
      </c>
      <c r="AN146" s="75">
        <f t="shared" si="346"/>
        <v>-23.09696694</v>
      </c>
      <c r="AO146" s="75">
        <f t="shared" si="346"/>
        <v>-23.11435159</v>
      </c>
      <c r="AP146" s="75">
        <f t="shared" si="346"/>
        <v>-24.13138306</v>
      </c>
      <c r="AQ146" s="75">
        <f t="shared" si="346"/>
        <v>-27.30575543</v>
      </c>
      <c r="AR146" s="75">
        <f t="shared" si="346"/>
        <v>-25.54963847</v>
      </c>
      <c r="AS146" s="75">
        <f t="shared" si="346"/>
        <v>-25.44291418</v>
      </c>
      <c r="AT146" s="75">
        <f t="shared" si="346"/>
        <v>-26.43155313</v>
      </c>
      <c r="AU146" s="75">
        <f t="shared" si="346"/>
        <v>-29.83520253</v>
      </c>
      <c r="AV146" s="75">
        <f t="shared" si="346"/>
        <v>-27.91640906</v>
      </c>
      <c r="AW146" s="75">
        <f t="shared" si="346"/>
        <v>-27.79979845</v>
      </c>
      <c r="AX146" s="75">
        <f t="shared" si="346"/>
        <v>-28.88001919</v>
      </c>
      <c r="AY146" s="75">
        <f t="shared" si="346"/>
        <v>-32.59896296</v>
      </c>
      <c r="AZ146" s="75">
        <f t="shared" si="346"/>
        <v>-30.50242357</v>
      </c>
      <c r="BA146" s="75">
        <f t="shared" si="346"/>
        <v>-30.37501083</v>
      </c>
      <c r="BB146" s="75">
        <f t="shared" si="346"/>
        <v>-31.55529697</v>
      </c>
      <c r="BC146" s="75">
        <f t="shared" si="346"/>
        <v>-35.61874216</v>
      </c>
      <c r="BD146" s="75">
        <f t="shared" si="346"/>
        <v>-33.3279915</v>
      </c>
      <c r="BE146" s="75">
        <f t="shared" si="346"/>
        <v>-33.18877598</v>
      </c>
      <c r="BF146" s="75">
        <f t="shared" si="346"/>
        <v>-34.47839699</v>
      </c>
      <c r="BG146" s="75">
        <f t="shared" si="346"/>
        <v>-38.91825622</v>
      </c>
      <c r="BH146" s="75">
        <f t="shared" si="346"/>
        <v>-36.41530368</v>
      </c>
      <c r="BI146" s="75">
        <f t="shared" si="346"/>
        <v>-36.26319204</v>
      </c>
      <c r="BJ146" s="75">
        <f t="shared" si="346"/>
        <v>-37.67227607</v>
      </c>
      <c r="BK146" s="75">
        <f t="shared" si="346"/>
        <v>-42.52341816</v>
      </c>
      <c r="BL146" s="75">
        <f t="shared" si="346"/>
        <v>-39.78860659</v>
      </c>
      <c r="BM146" s="75">
        <f t="shared" si="346"/>
        <v>-39.6224042</v>
      </c>
      <c r="BN146" s="75">
        <f t="shared" si="346"/>
        <v>-41.16201762</v>
      </c>
      <c r="BO146" s="75">
        <f t="shared" si="346"/>
        <v>-46.46254143</v>
      </c>
      <c r="BP146" s="75">
        <f t="shared" si="346"/>
        <v>-36.22866062</v>
      </c>
      <c r="BQ146" s="75">
        <f t="shared" si="346"/>
        <v>-36.07732861</v>
      </c>
      <c r="BR146" s="75">
        <f t="shared" si="346"/>
        <v>-37.47919052</v>
      </c>
      <c r="BS146" s="75">
        <f t="shared" si="346"/>
        <v>-42.30546856</v>
      </c>
      <c r="BT146" s="75">
        <f t="shared" si="346"/>
        <v>-39.58467399</v>
      </c>
      <c r="BU146" s="75">
        <f t="shared" si="346"/>
        <v>-39.41932346</v>
      </c>
      <c r="BV146" s="75">
        <f t="shared" si="346"/>
        <v>-40.95104575</v>
      </c>
      <c r="BW146" s="75">
        <f t="shared" si="346"/>
        <v>-46.22440224</v>
      </c>
      <c r="BX146" s="6" t="s">
        <v>35</v>
      </c>
      <c r="BY146" s="34">
        <f t="shared" si="328"/>
        <v>-21.033</v>
      </c>
      <c r="BZ146" s="34">
        <f t="shared" si="329"/>
        <v>-12.739</v>
      </c>
      <c r="CA146" s="34">
        <f t="shared" si="330"/>
        <v>-19.573</v>
      </c>
      <c r="CB146" s="34">
        <f t="shared" si="331"/>
        <v>-75.514</v>
      </c>
      <c r="CC146" s="34">
        <f t="shared" si="332"/>
        <v>4.518</v>
      </c>
      <c r="CD146" s="34">
        <f t="shared" si="333"/>
        <v>-81.315</v>
      </c>
      <c r="CE146" s="34">
        <f t="shared" si="334"/>
        <v>-81.99</v>
      </c>
      <c r="CF146" s="34">
        <f t="shared" si="335"/>
        <v>-93.599</v>
      </c>
      <c r="CG146" s="34">
        <f t="shared" si="336"/>
        <v>-85.62362188</v>
      </c>
      <c r="CH146" s="34">
        <f t="shared" si="337"/>
        <v>-97.64845702</v>
      </c>
      <c r="CI146" s="34">
        <f t="shared" si="338"/>
        <v>-107.2593083</v>
      </c>
      <c r="CJ146" s="34">
        <f t="shared" si="339"/>
        <v>-117.1951897</v>
      </c>
      <c r="CK146" s="34">
        <f t="shared" si="340"/>
        <v>-128.0514735</v>
      </c>
      <c r="CL146" s="34">
        <f t="shared" si="341"/>
        <v>-139.9134207</v>
      </c>
      <c r="CM146" s="34">
        <f t="shared" si="342"/>
        <v>-152.8741899</v>
      </c>
      <c r="CN146" s="34">
        <f t="shared" si="343"/>
        <v>-167.0355698</v>
      </c>
      <c r="CO146" s="34">
        <f t="shared" si="344"/>
        <v>-152.0906483</v>
      </c>
      <c r="CP146" s="34">
        <f t="shared" si="345"/>
        <v>-166.1794454</v>
      </c>
      <c r="CQ146" s="6" t="s">
        <v>35</v>
      </c>
    </row>
    <row r="147" ht="14.25" customHeight="1">
      <c r="B147" s="10"/>
      <c r="C147" s="9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77"/>
      <c r="AI147" s="77"/>
      <c r="AJ147" s="77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6" t="s">
        <v>35</v>
      </c>
      <c r="CQ147" s="6" t="s">
        <v>35</v>
      </c>
    </row>
    <row r="148" ht="14.25" customHeight="1">
      <c r="B148" s="10" t="s">
        <v>97</v>
      </c>
      <c r="C148" s="9" t="s">
        <v>39</v>
      </c>
      <c r="D148" s="28"/>
      <c r="E148" s="28"/>
      <c r="F148" s="28"/>
      <c r="G148" s="28"/>
      <c r="H148" s="28">
        <f>Inputs!J252/1000</f>
        <v>-1.996</v>
      </c>
      <c r="I148" s="28">
        <f>Inputs!K252/1000</f>
        <v>0</v>
      </c>
      <c r="J148" s="28">
        <f>Inputs!L252/1000</f>
        <v>0</v>
      </c>
      <c r="K148" s="28">
        <f>Inputs!M252/1000</f>
        <v>0</v>
      </c>
      <c r="L148" s="28">
        <f>Inputs!N252/1000</f>
        <v>-0.304</v>
      </c>
      <c r="M148" s="28">
        <f>Inputs!O252/1000</f>
        <v>-0.303</v>
      </c>
      <c r="N148" s="28">
        <f>Inputs!P252/1000</f>
        <v>-0.303</v>
      </c>
      <c r="O148" s="28">
        <f>Inputs!Q252/1000</f>
        <v>0</v>
      </c>
      <c r="P148" s="28">
        <f>Inputs!R252/1000</f>
        <v>-1.808</v>
      </c>
      <c r="Q148" s="28">
        <f>Inputs!S252/1000</f>
        <v>0</v>
      </c>
      <c r="R148" s="28">
        <f>Inputs!T252/1000</f>
        <v>0</v>
      </c>
      <c r="S148" s="28">
        <f>Inputs!U252/1000</f>
        <v>0</v>
      </c>
      <c r="T148" s="28">
        <f>Inputs!V252/1000</f>
        <v>0</v>
      </c>
      <c r="U148" s="28">
        <f>Inputs!W252/1000</f>
        <v>0</v>
      </c>
      <c r="V148" s="28">
        <f>Inputs!X252/1000</f>
        <v>0</v>
      </c>
      <c r="W148" s="28">
        <f>Inputs!Y252/1000</f>
        <v>0</v>
      </c>
      <c r="X148" s="28">
        <f>Inputs!Z252/1000</f>
        <v>-1.936</v>
      </c>
      <c r="Y148" s="28">
        <f>Inputs!AA252/1000</f>
        <v>-1.507</v>
      </c>
      <c r="Z148" s="28">
        <f>Inputs!AB252/1000</f>
        <v>0</v>
      </c>
      <c r="AA148" s="28">
        <f>Inputs!AC252/1000</f>
        <v>-8.848</v>
      </c>
      <c r="AB148" s="28">
        <f>Inputs!AD252/1000</f>
        <v>-1.142</v>
      </c>
      <c r="AC148" s="28">
        <f>Inputs!AE252/1000</f>
        <v>-41.521</v>
      </c>
      <c r="AD148" s="28">
        <f>Inputs!AF252/1000</f>
        <v>0</v>
      </c>
      <c r="AE148" s="28">
        <f>Inputs!AG252/1000</f>
        <v>-0.479</v>
      </c>
      <c r="AF148" s="28">
        <f>Inputs!AH252/1000</f>
        <v>0</v>
      </c>
      <c r="AG148" s="28">
        <f>Inputs!AI252/1000</f>
        <v>-16.337</v>
      </c>
      <c r="AH148" s="28">
        <f>Inputs!AJ252/1000</f>
        <v>-5.12</v>
      </c>
      <c r="AI148" s="28">
        <f>Inputs!AK252/1000</f>
        <v>-1.36</v>
      </c>
      <c r="AJ148" s="28">
        <f>Inputs!AL252/1000</f>
        <v>0</v>
      </c>
      <c r="AK148" s="28">
        <f t="shared" ref="AK148:BW148" si="347">AK250</f>
        <v>-0.7385470936</v>
      </c>
      <c r="AL148" s="28">
        <f t="shared" si="347"/>
        <v>-4.187761097</v>
      </c>
      <c r="AM148" s="28">
        <f t="shared" si="347"/>
        <v>-4.294166022</v>
      </c>
      <c r="AN148" s="28">
        <f t="shared" si="347"/>
        <v>-5.168724348</v>
      </c>
      <c r="AO148" s="28">
        <f t="shared" si="347"/>
        <v>-4.566689505</v>
      </c>
      <c r="AP148" s="28">
        <f t="shared" si="347"/>
        <v>-4.913741342</v>
      </c>
      <c r="AQ148" s="28">
        <f t="shared" si="347"/>
        <v>-6.907324578</v>
      </c>
      <c r="AR148" s="28">
        <f t="shared" si="347"/>
        <v>-6.773375376</v>
      </c>
      <c r="AS148" s="28">
        <f t="shared" si="347"/>
        <v>-6.22269564</v>
      </c>
      <c r="AT148" s="28">
        <f t="shared" si="347"/>
        <v>-6.63291609</v>
      </c>
      <c r="AU148" s="28">
        <f t="shared" si="347"/>
        <v>-8.54361506</v>
      </c>
      <c r="AV148" s="28">
        <f t="shared" si="347"/>
        <v>-8.242639398</v>
      </c>
      <c r="AW148" s="28">
        <f t="shared" si="347"/>
        <v>-7.999470164</v>
      </c>
      <c r="AX148" s="28">
        <f t="shared" si="347"/>
        <v>-8.495663159</v>
      </c>
      <c r="AY148" s="28">
        <f t="shared" si="347"/>
        <v>-10.15439755</v>
      </c>
      <c r="AZ148" s="28">
        <f t="shared" si="347"/>
        <v>-9.362133723</v>
      </c>
      <c r="BA148" s="28">
        <f t="shared" si="347"/>
        <v>-9.22842712</v>
      </c>
      <c r="BB148" s="28">
        <f t="shared" si="347"/>
        <v>-9.772134218</v>
      </c>
      <c r="BC148" s="28">
        <f t="shared" si="347"/>
        <v>-11.43594801</v>
      </c>
      <c r="BD148" s="28">
        <f t="shared" si="347"/>
        <v>-10.57351099</v>
      </c>
      <c r="BE148" s="28">
        <f t="shared" si="347"/>
        <v>-10.42888568</v>
      </c>
      <c r="BF148" s="28">
        <f t="shared" si="347"/>
        <v>-11.02464761</v>
      </c>
      <c r="BG148" s="28">
        <f t="shared" si="347"/>
        <v>-12.84443942</v>
      </c>
      <c r="BH148" s="28">
        <f t="shared" si="347"/>
        <v>-11.90404889</v>
      </c>
      <c r="BI148" s="28">
        <f t="shared" si="347"/>
        <v>-11.7480491</v>
      </c>
      <c r="BJ148" s="28">
        <f t="shared" si="347"/>
        <v>-12.40111226</v>
      </c>
      <c r="BK148" s="28">
        <f t="shared" si="347"/>
        <v>-14.39169002</v>
      </c>
      <c r="BL148" s="28">
        <f t="shared" si="347"/>
        <v>-13.36652311</v>
      </c>
      <c r="BM148" s="28">
        <f t="shared" si="347"/>
        <v>-13.19852475</v>
      </c>
      <c r="BN148" s="28">
        <f t="shared" si="347"/>
        <v>-13.9146401</v>
      </c>
      <c r="BO148" s="28">
        <f t="shared" si="347"/>
        <v>-16.09226424</v>
      </c>
      <c r="BP148" s="28">
        <f t="shared" si="347"/>
        <v>-14.97487913</v>
      </c>
      <c r="BQ148" s="28">
        <f t="shared" si="347"/>
        <v>-14.79416457</v>
      </c>
      <c r="BR148" s="28">
        <f t="shared" si="347"/>
        <v>-15.61067576</v>
      </c>
      <c r="BS148" s="28">
        <f t="shared" si="347"/>
        <v>-18.02300157</v>
      </c>
      <c r="BT148" s="28">
        <f t="shared" si="347"/>
        <v>-16.83577875</v>
      </c>
      <c r="BU148" s="28">
        <f t="shared" si="347"/>
        <v>-16.67560193</v>
      </c>
      <c r="BV148" s="28">
        <f t="shared" si="347"/>
        <v>-17.56806128</v>
      </c>
      <c r="BW148" s="28">
        <f t="shared" si="347"/>
        <v>-20.2048378</v>
      </c>
      <c r="BX148" s="6" t="s">
        <v>35</v>
      </c>
      <c r="BY148" s="29">
        <f t="shared" ref="BY148:BY152" si="348">SUM(D148:G148)</f>
        <v>0</v>
      </c>
      <c r="BZ148" s="29">
        <f t="shared" ref="BZ148:BZ152" si="349">SUM(H148:K148)</f>
        <v>-1.996</v>
      </c>
      <c r="CA148" s="29">
        <f t="shared" ref="CA148:CA152" si="350">SUM(L148:O148)</f>
        <v>-0.91</v>
      </c>
      <c r="CB148" s="29">
        <f t="shared" ref="CB148:CB152" si="351">SUM(P148:S148)</f>
        <v>-1.808</v>
      </c>
      <c r="CC148" s="29">
        <f t="shared" ref="CC148:CC152" si="352">SUM(T148:W148)</f>
        <v>0</v>
      </c>
      <c r="CD148" s="29">
        <f t="shared" ref="CD148:CD152" si="353">SUM(X148:AA148)</f>
        <v>-12.291</v>
      </c>
      <c r="CE148" s="29">
        <f t="shared" ref="CE148:CE152" si="354">SUM(AB148:AE148)</f>
        <v>-43.142</v>
      </c>
      <c r="CF148" s="29">
        <f t="shared" ref="CF148:CF152" si="355">SUM(AF148:AI148)</f>
        <v>-22.817</v>
      </c>
      <c r="CG148" s="29">
        <f t="shared" ref="CG148:CG152" si="356">SUM(AJ148:AM148)</f>
        <v>-9.220474213</v>
      </c>
      <c r="CH148" s="29">
        <f t="shared" ref="CH148:CH152" si="357">SUM(AN148:AQ148)</f>
        <v>-21.55647977</v>
      </c>
      <c r="CI148" s="29">
        <f t="shared" ref="CI148:CI152" si="358">SUM(AR148:AU148)</f>
        <v>-28.17260216</v>
      </c>
      <c r="CJ148" s="29">
        <f t="shared" ref="CJ148:CJ152" si="359">SUM(AV148:AY148)</f>
        <v>-34.89217027</v>
      </c>
      <c r="CK148" s="29">
        <f t="shared" ref="CK148:CK152" si="360">SUM(AZ148:BC148)</f>
        <v>-39.79864307</v>
      </c>
      <c r="CL148" s="29">
        <f t="shared" ref="CL148:CL152" si="361">SUM(BD148:BG148)</f>
        <v>-44.8714837</v>
      </c>
      <c r="CM148" s="29">
        <f t="shared" ref="CM148:CM152" si="362">SUM(BH148:BK148)</f>
        <v>-50.44490027</v>
      </c>
      <c r="CN148" s="29">
        <f t="shared" ref="CN148:CN152" si="363">SUM(BL148:BO148)</f>
        <v>-56.5719522</v>
      </c>
      <c r="CO148" s="29">
        <f t="shared" ref="CO148:CO152" si="364">SUM(BP148:BS148)</f>
        <v>-63.40272103</v>
      </c>
      <c r="CP148" s="29">
        <f t="shared" ref="CP148:CP152" si="365">SUM(BT148:BW148)</f>
        <v>-71.28427975</v>
      </c>
      <c r="CQ148" s="6" t="s">
        <v>35</v>
      </c>
    </row>
    <row r="149" ht="14.25" customHeight="1">
      <c r="B149" s="10" t="s">
        <v>98</v>
      </c>
      <c r="C149" s="9" t="s">
        <v>39</v>
      </c>
      <c r="D149" s="28">
        <v>0.0</v>
      </c>
      <c r="E149" s="28">
        <v>0.0</v>
      </c>
      <c r="F149" s="28">
        <v>0.0</v>
      </c>
      <c r="G149" s="28">
        <v>0.006000000000000227</v>
      </c>
      <c r="H149" s="28">
        <v>0.0</v>
      </c>
      <c r="I149" s="28">
        <f>Inputs!K246/1000</f>
        <v>11.5</v>
      </c>
      <c r="J149" s="28">
        <f>Inputs!L246/1000</f>
        <v>0</v>
      </c>
      <c r="K149" s="28">
        <f>Inputs!M246/1000</f>
        <v>0</v>
      </c>
      <c r="L149" s="28">
        <f>Inputs!N246/1000</f>
        <v>0</v>
      </c>
      <c r="M149" s="28">
        <f>Inputs!O246/1000</f>
        <v>0</v>
      </c>
      <c r="N149" s="28">
        <f>Inputs!P246/1000</f>
        <v>0</v>
      </c>
      <c r="O149" s="28">
        <f>Inputs!Q246/1000</f>
        <v>20</v>
      </c>
      <c r="P149" s="28">
        <f>Inputs!R246/1000</f>
        <v>157.512</v>
      </c>
      <c r="Q149" s="28">
        <f>Inputs!S246/1000</f>
        <v>-0.105</v>
      </c>
      <c r="R149" s="28">
        <f>Inputs!T246/1000</f>
        <v>2.275</v>
      </c>
      <c r="S149" s="28">
        <f>Inputs!U246/1000</f>
        <v>0.097</v>
      </c>
      <c r="T149" s="28">
        <f>Inputs!V246/1000</f>
        <v>0</v>
      </c>
      <c r="U149" s="28">
        <f>Inputs!W246/1000</f>
        <v>0.305</v>
      </c>
      <c r="V149" s="28">
        <f>Inputs!X246/1000</f>
        <v>0</v>
      </c>
      <c r="W149" s="28">
        <f>Inputs!Y246/1000</f>
        <v>0</v>
      </c>
      <c r="X149" s="28">
        <f>Inputs!Z246/1000</f>
        <v>0.23</v>
      </c>
      <c r="Y149" s="28">
        <f>Inputs!AA246/1000</f>
        <v>0</v>
      </c>
      <c r="Z149" s="28">
        <f>Inputs!AB246/1000</f>
        <v>0</v>
      </c>
      <c r="AA149" s="28">
        <f>Inputs!AC246/1000</f>
        <v>0</v>
      </c>
      <c r="AB149" s="28">
        <f>Inputs!AD246/1000</f>
        <v>0</v>
      </c>
      <c r="AC149" s="28">
        <f>Inputs!AE246/1000</f>
        <v>0</v>
      </c>
      <c r="AD149" s="28">
        <f>Inputs!AF246/1000</f>
        <v>0</v>
      </c>
      <c r="AE149" s="28">
        <f>Inputs!AG246/1000</f>
        <v>0</v>
      </c>
      <c r="AF149" s="28">
        <f>Inputs!AH246/1000</f>
        <v>84.716</v>
      </c>
      <c r="AG149" s="28">
        <f>Inputs!AI246/1000</f>
        <v>-0.019</v>
      </c>
      <c r="AH149" s="28">
        <f>Inputs!AJ246/1000</f>
        <v>0</v>
      </c>
      <c r="AI149" s="28">
        <f>Inputs!AK246/1000</f>
        <v>-0.094</v>
      </c>
      <c r="AJ149" s="28">
        <f>Inputs!AL246/1000</f>
        <v>0</v>
      </c>
      <c r="AK149" s="28">
        <v>0.0</v>
      </c>
      <c r="AL149" s="28">
        <v>0.0</v>
      </c>
      <c r="AM149" s="28">
        <v>0.0</v>
      </c>
      <c r="AN149" s="28">
        <v>0.0</v>
      </c>
      <c r="AO149" s="28">
        <v>0.0</v>
      </c>
      <c r="AP149" s="28">
        <v>0.0</v>
      </c>
      <c r="AQ149" s="28">
        <v>0.0</v>
      </c>
      <c r="AR149" s="28">
        <v>0.0</v>
      </c>
      <c r="AS149" s="28">
        <v>0.0</v>
      </c>
      <c r="AT149" s="28">
        <v>0.0</v>
      </c>
      <c r="AU149" s="28">
        <v>0.0</v>
      </c>
      <c r="AV149" s="28">
        <v>0.0</v>
      </c>
      <c r="AW149" s="28">
        <v>0.0</v>
      </c>
      <c r="AX149" s="28">
        <v>0.0</v>
      </c>
      <c r="AY149" s="28">
        <v>0.0</v>
      </c>
      <c r="AZ149" s="28">
        <v>0.0</v>
      </c>
      <c r="BA149" s="28">
        <v>0.0</v>
      </c>
      <c r="BB149" s="28">
        <v>0.0</v>
      </c>
      <c r="BC149" s="28">
        <v>0.0</v>
      </c>
      <c r="BD149" s="28">
        <v>0.0</v>
      </c>
      <c r="BE149" s="28">
        <v>0.0</v>
      </c>
      <c r="BF149" s="28">
        <v>0.0</v>
      </c>
      <c r="BG149" s="28">
        <v>0.0</v>
      </c>
      <c r="BH149" s="28">
        <v>0.0</v>
      </c>
      <c r="BI149" s="28">
        <v>0.0</v>
      </c>
      <c r="BJ149" s="28">
        <v>0.0</v>
      </c>
      <c r="BK149" s="28">
        <v>0.0</v>
      </c>
      <c r="BL149" s="28">
        <v>0.0</v>
      </c>
      <c r="BM149" s="28">
        <v>0.0</v>
      </c>
      <c r="BN149" s="28">
        <v>0.0</v>
      </c>
      <c r="BO149" s="28">
        <v>0.0</v>
      </c>
      <c r="BP149" s="28">
        <v>0.0</v>
      </c>
      <c r="BQ149" s="28">
        <v>0.0</v>
      </c>
      <c r="BR149" s="28">
        <v>0.0</v>
      </c>
      <c r="BS149" s="28">
        <v>0.0</v>
      </c>
      <c r="BT149" s="28">
        <v>0.0</v>
      </c>
      <c r="BU149" s="28">
        <v>0.0</v>
      </c>
      <c r="BV149" s="28">
        <v>0.0</v>
      </c>
      <c r="BW149" s="28">
        <v>0.0</v>
      </c>
      <c r="BX149" s="6" t="s">
        <v>35</v>
      </c>
      <c r="BY149" s="29">
        <f t="shared" si="348"/>
        <v>0.006</v>
      </c>
      <c r="BZ149" s="29">
        <f t="shared" si="349"/>
        <v>11.5</v>
      </c>
      <c r="CA149" s="29">
        <f t="shared" si="350"/>
        <v>20</v>
      </c>
      <c r="CB149" s="29">
        <f t="shared" si="351"/>
        <v>159.779</v>
      </c>
      <c r="CC149" s="29">
        <f t="shared" si="352"/>
        <v>0.305</v>
      </c>
      <c r="CD149" s="29">
        <f t="shared" si="353"/>
        <v>0.23</v>
      </c>
      <c r="CE149" s="29">
        <f t="shared" si="354"/>
        <v>0</v>
      </c>
      <c r="CF149" s="29">
        <f t="shared" si="355"/>
        <v>84.603</v>
      </c>
      <c r="CG149" s="29">
        <f t="shared" si="356"/>
        <v>0</v>
      </c>
      <c r="CH149" s="29">
        <f t="shared" si="357"/>
        <v>0</v>
      </c>
      <c r="CI149" s="29">
        <f t="shared" si="358"/>
        <v>0</v>
      </c>
      <c r="CJ149" s="29">
        <f t="shared" si="359"/>
        <v>0</v>
      </c>
      <c r="CK149" s="29">
        <f t="shared" si="360"/>
        <v>0</v>
      </c>
      <c r="CL149" s="29">
        <f t="shared" si="361"/>
        <v>0</v>
      </c>
      <c r="CM149" s="29">
        <f t="shared" si="362"/>
        <v>0</v>
      </c>
      <c r="CN149" s="29">
        <f t="shared" si="363"/>
        <v>0</v>
      </c>
      <c r="CO149" s="29">
        <f t="shared" si="364"/>
        <v>0</v>
      </c>
      <c r="CP149" s="29">
        <f t="shared" si="365"/>
        <v>0</v>
      </c>
      <c r="CQ149" s="6" t="s">
        <v>35</v>
      </c>
    </row>
    <row r="150" ht="14.25" customHeight="1">
      <c r="B150" s="10" t="s">
        <v>99</v>
      </c>
      <c r="C150" s="9" t="s">
        <v>39</v>
      </c>
      <c r="D150" s="28"/>
      <c r="E150" s="28"/>
      <c r="F150" s="28"/>
      <c r="G150" s="28"/>
      <c r="H150" s="28">
        <v>-2.682</v>
      </c>
      <c r="I150" s="28">
        <f>(Inputs!K248+Inputs!K255+Inputs!K256+Inputs!K257+Inputs!K258+Inputs!K259)/1000</f>
        <v>-8.921</v>
      </c>
      <c r="J150" s="28">
        <f>(Inputs!L248+Inputs!L255+Inputs!L256+Inputs!L257+Inputs!L258+Inputs!L259)/1000</f>
        <v>-3.625</v>
      </c>
      <c r="K150" s="28">
        <f>(Inputs!M248+Inputs!M255+Inputs!M256+Inputs!M257+Inputs!M258+Inputs!M259)/1000</f>
        <v>2.389</v>
      </c>
      <c r="L150" s="28">
        <f>(Inputs!N248+Inputs!N255+Inputs!N256+Inputs!N257+Inputs!N258+Inputs!N259)/1000</f>
        <v>-2.206</v>
      </c>
      <c r="M150" s="28">
        <f>(Inputs!O248+Inputs!O255+Inputs!O256+Inputs!O257+Inputs!O258+Inputs!O259)/1000</f>
        <v>19.779</v>
      </c>
      <c r="N150" s="28">
        <f>(Inputs!P248+Inputs!P255+Inputs!P256+Inputs!P257+Inputs!P258+Inputs!P259)/1000</f>
        <v>-7.112</v>
      </c>
      <c r="O150" s="28">
        <f>(Inputs!Q248+Inputs!Q255+Inputs!Q256+Inputs!Q257+Inputs!Q258+Inputs!Q259)/1000</f>
        <v>-2.954</v>
      </c>
      <c r="P150" s="28">
        <f>(Inputs!R248+Inputs!R255+Inputs!R256+Inputs!R257+Inputs!R258+Inputs!R259)/1000</f>
        <v>-12.486</v>
      </c>
      <c r="Q150" s="28">
        <f>(Inputs!S248+Inputs!S255+Inputs!S256+Inputs!S257+Inputs!S258+Inputs!S259)/1000</f>
        <v>-4.316</v>
      </c>
      <c r="R150" s="28">
        <f>(Inputs!T248+Inputs!T255+Inputs!T256+Inputs!T257+Inputs!T258+Inputs!T259)/1000</f>
        <v>-7.785</v>
      </c>
      <c r="S150" s="28">
        <f>(Inputs!U248+Inputs!U255+Inputs!U256+Inputs!U257+Inputs!U258+Inputs!U259)/1000</f>
        <v>-8.943</v>
      </c>
      <c r="T150" s="28">
        <f>(Inputs!V248+Inputs!V255+Inputs!V256+Inputs!V257+Inputs!V258+Inputs!V259)/1000</f>
        <v>-7.569</v>
      </c>
      <c r="U150" s="28">
        <f>(Inputs!W248+Inputs!W255+Inputs!W256+Inputs!W257+Inputs!W258+Inputs!W259)/1000</f>
        <v>-3.639</v>
      </c>
      <c r="V150" s="28">
        <f>(Inputs!X248+Inputs!X255+Inputs!X256+Inputs!X257+Inputs!X258+Inputs!X259)/1000</f>
        <v>-7.471</v>
      </c>
      <c r="W150" s="28">
        <f>(Inputs!Y248+Inputs!Y255+Inputs!Y256+Inputs!Y257+Inputs!Y258+Inputs!Y259)/1000</f>
        <v>16.905</v>
      </c>
      <c r="X150" s="28">
        <f>(Inputs!Z248+Inputs!Z255+Inputs!Z256+Inputs!Z257+Inputs!Z258+Inputs!Z259)/1000</f>
        <v>-8.853</v>
      </c>
      <c r="Y150" s="28">
        <f>(Inputs!AA248+Inputs!AA255+Inputs!AA256+Inputs!AA257+Inputs!AA258+Inputs!AA259)/1000</f>
        <v>-7.392</v>
      </c>
      <c r="Z150" s="28">
        <f>(Inputs!AB248+Inputs!AB255+Inputs!AB256+Inputs!AB257+Inputs!AB258+Inputs!AB259)/1000</f>
        <v>44.239</v>
      </c>
      <c r="AA150" s="28">
        <f>(Inputs!AC248+Inputs!AC255+Inputs!AC256+Inputs!AC257+Inputs!AC258+Inputs!AC259)/1000</f>
        <v>15.675</v>
      </c>
      <c r="AB150" s="28">
        <f>(Inputs!AD248+Inputs!AD255+Inputs!AD256+Inputs!AD257+Inputs!AD258+Inputs!AD259)/1000</f>
        <v>86.007</v>
      </c>
      <c r="AC150" s="28">
        <f>(Inputs!AE248+Inputs!AE255+Inputs!AE256+Inputs!AE257+Inputs!AE258+Inputs!AE259)/1000</f>
        <v>3.932</v>
      </c>
      <c r="AD150" s="28">
        <f>(Inputs!AF248+Inputs!AF255+Inputs!AF256+Inputs!AF257+Inputs!AF258+Inputs!AF259)/1000</f>
        <v>-10.659</v>
      </c>
      <c r="AE150" s="28">
        <f>(Inputs!AG248+Inputs!AG255+Inputs!AG256+Inputs!AG257+Inputs!AG258+Inputs!AG259)/1000</f>
        <v>90.245</v>
      </c>
      <c r="AF150" s="28">
        <f>(Inputs!AH248+Inputs!AH255+Inputs!AH256+Inputs!AH257+Inputs!AH258+Inputs!AH259)/1000</f>
        <v>-29.2</v>
      </c>
      <c r="AG150" s="28">
        <f>(Inputs!AI248+Inputs!AI255+Inputs!AI256+Inputs!AI257+Inputs!AI258+Inputs!AI259)/1000</f>
        <v>25.227</v>
      </c>
      <c r="AH150" s="28">
        <f>(Inputs!AJ248+Inputs!AJ255+Inputs!AJ256+Inputs!AJ257+Inputs!AJ258+Inputs!AJ259)/1000</f>
        <v>36.039</v>
      </c>
      <c r="AI150" s="28">
        <f>(Inputs!AK248+Inputs!AK255+Inputs!AK256+Inputs!AK257+Inputs!AK258+Inputs!AK259)/1000</f>
        <v>14.507</v>
      </c>
      <c r="AJ150" s="28">
        <f>(Inputs!AL248+Inputs!AL255+Inputs!AL256+Inputs!AL257+Inputs!AL258+Inputs!AL259)/1000</f>
        <v>157.67</v>
      </c>
      <c r="AK150" s="28">
        <f t="shared" ref="AK150:BW150" si="366">+AK230+AK231</f>
        <v>0</v>
      </c>
      <c r="AL150" s="28">
        <f t="shared" si="366"/>
        <v>0</v>
      </c>
      <c r="AM150" s="28">
        <f t="shared" si="366"/>
        <v>0</v>
      </c>
      <c r="AN150" s="28">
        <f t="shared" si="366"/>
        <v>0</v>
      </c>
      <c r="AO150" s="28">
        <f t="shared" si="366"/>
        <v>0</v>
      </c>
      <c r="AP150" s="28">
        <f t="shared" si="366"/>
        <v>0</v>
      </c>
      <c r="AQ150" s="28">
        <f t="shared" si="366"/>
        <v>0</v>
      </c>
      <c r="AR150" s="28">
        <f t="shared" si="366"/>
        <v>0</v>
      </c>
      <c r="AS150" s="28">
        <f t="shared" si="366"/>
        <v>0</v>
      </c>
      <c r="AT150" s="28">
        <f t="shared" si="366"/>
        <v>0</v>
      </c>
      <c r="AU150" s="28">
        <f t="shared" si="366"/>
        <v>0</v>
      </c>
      <c r="AV150" s="28">
        <f t="shared" si="366"/>
        <v>0</v>
      </c>
      <c r="AW150" s="28">
        <f t="shared" si="366"/>
        <v>0</v>
      </c>
      <c r="AX150" s="28">
        <f t="shared" si="366"/>
        <v>0</v>
      </c>
      <c r="AY150" s="28">
        <f t="shared" si="366"/>
        <v>0</v>
      </c>
      <c r="AZ150" s="28">
        <f t="shared" si="366"/>
        <v>0</v>
      </c>
      <c r="BA150" s="28">
        <f t="shared" si="366"/>
        <v>0</v>
      </c>
      <c r="BB150" s="28">
        <f t="shared" si="366"/>
        <v>0</v>
      </c>
      <c r="BC150" s="28">
        <f t="shared" si="366"/>
        <v>0</v>
      </c>
      <c r="BD150" s="28">
        <f t="shared" si="366"/>
        <v>0</v>
      </c>
      <c r="BE150" s="28">
        <f t="shared" si="366"/>
        <v>0</v>
      </c>
      <c r="BF150" s="28">
        <f t="shared" si="366"/>
        <v>0</v>
      </c>
      <c r="BG150" s="28">
        <f t="shared" si="366"/>
        <v>0</v>
      </c>
      <c r="BH150" s="28">
        <f t="shared" si="366"/>
        <v>0</v>
      </c>
      <c r="BI150" s="28">
        <f t="shared" si="366"/>
        <v>0</v>
      </c>
      <c r="BJ150" s="28">
        <f t="shared" si="366"/>
        <v>0</v>
      </c>
      <c r="BK150" s="28">
        <f t="shared" si="366"/>
        <v>0</v>
      </c>
      <c r="BL150" s="28">
        <f t="shared" si="366"/>
        <v>0</v>
      </c>
      <c r="BM150" s="28">
        <f t="shared" si="366"/>
        <v>0</v>
      </c>
      <c r="BN150" s="28">
        <f t="shared" si="366"/>
        <v>0</v>
      </c>
      <c r="BO150" s="28">
        <f t="shared" si="366"/>
        <v>0</v>
      </c>
      <c r="BP150" s="28">
        <f t="shared" si="366"/>
        <v>0</v>
      </c>
      <c r="BQ150" s="28">
        <f t="shared" si="366"/>
        <v>0</v>
      </c>
      <c r="BR150" s="28">
        <f t="shared" si="366"/>
        <v>0</v>
      </c>
      <c r="BS150" s="28">
        <f t="shared" si="366"/>
        <v>0</v>
      </c>
      <c r="BT150" s="28">
        <f t="shared" si="366"/>
        <v>0</v>
      </c>
      <c r="BU150" s="28">
        <f t="shared" si="366"/>
        <v>0</v>
      </c>
      <c r="BV150" s="28">
        <f t="shared" si="366"/>
        <v>0</v>
      </c>
      <c r="BW150" s="28">
        <f t="shared" si="366"/>
        <v>0</v>
      </c>
      <c r="BX150" s="6" t="s">
        <v>35</v>
      </c>
      <c r="BY150" s="29">
        <f t="shared" si="348"/>
        <v>0</v>
      </c>
      <c r="BZ150" s="29">
        <f t="shared" si="349"/>
        <v>-12.839</v>
      </c>
      <c r="CA150" s="29">
        <f t="shared" si="350"/>
        <v>7.507</v>
      </c>
      <c r="CB150" s="29">
        <f t="shared" si="351"/>
        <v>-33.53</v>
      </c>
      <c r="CC150" s="29">
        <f t="shared" si="352"/>
        <v>-1.774</v>
      </c>
      <c r="CD150" s="29">
        <f t="shared" si="353"/>
        <v>43.669</v>
      </c>
      <c r="CE150" s="29">
        <f t="shared" si="354"/>
        <v>169.525</v>
      </c>
      <c r="CF150" s="29">
        <f t="shared" si="355"/>
        <v>46.573</v>
      </c>
      <c r="CG150" s="29">
        <f t="shared" si="356"/>
        <v>157.67</v>
      </c>
      <c r="CH150" s="29">
        <f t="shared" si="357"/>
        <v>0</v>
      </c>
      <c r="CI150" s="29">
        <f t="shared" si="358"/>
        <v>0</v>
      </c>
      <c r="CJ150" s="29">
        <f t="shared" si="359"/>
        <v>0</v>
      </c>
      <c r="CK150" s="29">
        <f t="shared" si="360"/>
        <v>0</v>
      </c>
      <c r="CL150" s="29">
        <f t="shared" si="361"/>
        <v>0</v>
      </c>
      <c r="CM150" s="29">
        <f t="shared" si="362"/>
        <v>0</v>
      </c>
      <c r="CN150" s="29">
        <f t="shared" si="363"/>
        <v>0</v>
      </c>
      <c r="CO150" s="29">
        <f t="shared" si="364"/>
        <v>0</v>
      </c>
      <c r="CP150" s="29">
        <f t="shared" si="365"/>
        <v>0</v>
      </c>
      <c r="CQ150" s="6" t="s">
        <v>35</v>
      </c>
    </row>
    <row r="151" ht="14.25" customHeight="1">
      <c r="B151" s="10" t="s">
        <v>74</v>
      </c>
      <c r="C151" s="78" t="s">
        <v>39</v>
      </c>
      <c r="D151" s="28">
        <v>-3.613</v>
      </c>
      <c r="E151" s="28">
        <v>21.985000000000003</v>
      </c>
      <c r="F151" s="28">
        <v>13.984999999999998</v>
      </c>
      <c r="G151" s="28">
        <v>16.626</v>
      </c>
      <c r="H151" s="28">
        <v>6.4399999999999995</v>
      </c>
      <c r="I151" s="28">
        <f t="shared" ref="I151:AJ151" si="367">I152-SUM(I148:I150)</f>
        <v>-5.456</v>
      </c>
      <c r="J151" s="28">
        <f t="shared" si="367"/>
        <v>3.876</v>
      </c>
      <c r="K151" s="28">
        <f t="shared" si="367"/>
        <v>1.136</v>
      </c>
      <c r="L151" s="28">
        <f t="shared" si="367"/>
        <v>2.591</v>
      </c>
      <c r="M151" s="28">
        <f t="shared" si="367"/>
        <v>-18.062</v>
      </c>
      <c r="N151" s="28">
        <f t="shared" si="367"/>
        <v>4.131</v>
      </c>
      <c r="O151" s="28">
        <f t="shared" si="367"/>
        <v>3.668</v>
      </c>
      <c r="P151" s="28">
        <f t="shared" si="367"/>
        <v>-4.845</v>
      </c>
      <c r="Q151" s="28">
        <f t="shared" si="367"/>
        <v>-0.229</v>
      </c>
      <c r="R151" s="28">
        <f t="shared" si="367"/>
        <v>-0.341</v>
      </c>
      <c r="S151" s="28">
        <f t="shared" si="367"/>
        <v>-0.427</v>
      </c>
      <c r="T151" s="28">
        <f t="shared" si="367"/>
        <v>-0.02</v>
      </c>
      <c r="U151" s="28">
        <f t="shared" si="367"/>
        <v>-3.188</v>
      </c>
      <c r="V151" s="28">
        <f t="shared" si="367"/>
        <v>-2.463</v>
      </c>
      <c r="W151" s="28">
        <f t="shared" si="367"/>
        <v>-2.93</v>
      </c>
      <c r="X151" s="28">
        <f t="shared" si="367"/>
        <v>0.176</v>
      </c>
      <c r="Y151" s="28">
        <f t="shared" si="367"/>
        <v>-3.398</v>
      </c>
      <c r="Z151" s="28">
        <f t="shared" si="367"/>
        <v>-6.038</v>
      </c>
      <c r="AA151" s="28">
        <f t="shared" si="367"/>
        <v>4.664</v>
      </c>
      <c r="AB151" s="28">
        <f t="shared" si="367"/>
        <v>-9.985</v>
      </c>
      <c r="AC151" s="28">
        <f t="shared" si="367"/>
        <v>-14.969</v>
      </c>
      <c r="AD151" s="28">
        <f t="shared" si="367"/>
        <v>-14.711</v>
      </c>
      <c r="AE151" s="28">
        <f t="shared" si="367"/>
        <v>-5.518</v>
      </c>
      <c r="AF151" s="28">
        <f t="shared" si="367"/>
        <v>-4.749</v>
      </c>
      <c r="AG151" s="28">
        <f t="shared" si="367"/>
        <v>-4.334</v>
      </c>
      <c r="AH151" s="28">
        <f t="shared" si="367"/>
        <v>-8.677</v>
      </c>
      <c r="AI151" s="28">
        <f t="shared" si="367"/>
        <v>1.895</v>
      </c>
      <c r="AJ151" s="28">
        <f t="shared" si="367"/>
        <v>-2.43</v>
      </c>
      <c r="AK151" s="28">
        <v>0.0</v>
      </c>
      <c r="AL151" s="28">
        <v>0.0</v>
      </c>
      <c r="AM151" s="28">
        <v>0.0</v>
      </c>
      <c r="AN151" s="28">
        <v>0.0</v>
      </c>
      <c r="AO151" s="28">
        <v>0.0</v>
      </c>
      <c r="AP151" s="28">
        <v>0.0</v>
      </c>
      <c r="AQ151" s="28">
        <v>0.0</v>
      </c>
      <c r="AR151" s="28">
        <v>0.0</v>
      </c>
      <c r="AS151" s="28">
        <v>0.0</v>
      </c>
      <c r="AT151" s="28">
        <v>0.0</v>
      </c>
      <c r="AU151" s="28">
        <v>0.0</v>
      </c>
      <c r="AV151" s="28">
        <v>0.0</v>
      </c>
      <c r="AW151" s="28">
        <v>0.0</v>
      </c>
      <c r="AX151" s="28">
        <v>0.0</v>
      </c>
      <c r="AY151" s="28">
        <v>0.0</v>
      </c>
      <c r="AZ151" s="28">
        <v>0.0</v>
      </c>
      <c r="BA151" s="28">
        <v>0.0</v>
      </c>
      <c r="BB151" s="28">
        <v>0.0</v>
      </c>
      <c r="BC151" s="28">
        <v>0.0</v>
      </c>
      <c r="BD151" s="28">
        <v>0.0</v>
      </c>
      <c r="BE151" s="28">
        <v>0.0</v>
      </c>
      <c r="BF151" s="28">
        <v>0.0</v>
      </c>
      <c r="BG151" s="28">
        <v>0.0</v>
      </c>
      <c r="BH151" s="28">
        <v>0.0</v>
      </c>
      <c r="BI151" s="28">
        <v>0.0</v>
      </c>
      <c r="BJ151" s="28">
        <v>0.0</v>
      </c>
      <c r="BK151" s="28">
        <v>0.0</v>
      </c>
      <c r="BL151" s="28">
        <v>0.0</v>
      </c>
      <c r="BM151" s="28">
        <v>0.0</v>
      </c>
      <c r="BN151" s="28">
        <v>0.0</v>
      </c>
      <c r="BO151" s="28">
        <v>0.0</v>
      </c>
      <c r="BP151" s="28">
        <v>0.0</v>
      </c>
      <c r="BQ151" s="28">
        <v>0.0</v>
      </c>
      <c r="BR151" s="28">
        <v>0.0</v>
      </c>
      <c r="BS151" s="28">
        <v>0.0</v>
      </c>
      <c r="BT151" s="28">
        <v>0.0</v>
      </c>
      <c r="BU151" s="28">
        <v>0.0</v>
      </c>
      <c r="BV151" s="28">
        <v>0.0</v>
      </c>
      <c r="BW151" s="28">
        <v>0.0</v>
      </c>
      <c r="BX151" s="6" t="s">
        <v>35</v>
      </c>
      <c r="BY151" s="29">
        <f t="shared" si="348"/>
        <v>48.983</v>
      </c>
      <c r="BZ151" s="29">
        <f t="shared" si="349"/>
        <v>5.996</v>
      </c>
      <c r="CA151" s="29">
        <f t="shared" si="350"/>
        <v>-7.672</v>
      </c>
      <c r="CB151" s="29">
        <f t="shared" si="351"/>
        <v>-5.842</v>
      </c>
      <c r="CC151" s="29">
        <f t="shared" si="352"/>
        <v>-8.601</v>
      </c>
      <c r="CD151" s="29">
        <f t="shared" si="353"/>
        <v>-4.596</v>
      </c>
      <c r="CE151" s="29">
        <f t="shared" si="354"/>
        <v>-45.183</v>
      </c>
      <c r="CF151" s="29">
        <f t="shared" si="355"/>
        <v>-15.865</v>
      </c>
      <c r="CG151" s="29">
        <f t="shared" si="356"/>
        <v>-2.43</v>
      </c>
      <c r="CH151" s="29">
        <f t="shared" si="357"/>
        <v>0</v>
      </c>
      <c r="CI151" s="29">
        <f t="shared" si="358"/>
        <v>0</v>
      </c>
      <c r="CJ151" s="29">
        <f t="shared" si="359"/>
        <v>0</v>
      </c>
      <c r="CK151" s="29">
        <f t="shared" si="360"/>
        <v>0</v>
      </c>
      <c r="CL151" s="29">
        <f t="shared" si="361"/>
        <v>0</v>
      </c>
      <c r="CM151" s="29">
        <f t="shared" si="362"/>
        <v>0</v>
      </c>
      <c r="CN151" s="29">
        <f t="shared" si="363"/>
        <v>0</v>
      </c>
      <c r="CO151" s="29">
        <f t="shared" si="364"/>
        <v>0</v>
      </c>
      <c r="CP151" s="29">
        <f t="shared" si="365"/>
        <v>0</v>
      </c>
      <c r="CQ151" s="6" t="s">
        <v>35</v>
      </c>
    </row>
    <row r="152" ht="14.25" customHeight="1">
      <c r="B152" s="49" t="s">
        <v>100</v>
      </c>
      <c r="C152" s="15" t="s">
        <v>39</v>
      </c>
      <c r="D152" s="75">
        <v>-3.613</v>
      </c>
      <c r="E152" s="75">
        <v>21.985000000000003</v>
      </c>
      <c r="F152" s="75">
        <v>13.984999999999998</v>
      </c>
      <c r="G152" s="75">
        <v>16.632</v>
      </c>
      <c r="H152" s="75">
        <v>1.762</v>
      </c>
      <c r="I152" s="75">
        <f>Inputs!K268/1000</f>
        <v>-2.877</v>
      </c>
      <c r="J152" s="75">
        <f>Inputs!L268/1000</f>
        <v>0.251</v>
      </c>
      <c r="K152" s="75">
        <f>Inputs!M268/1000</f>
        <v>3.525</v>
      </c>
      <c r="L152" s="75">
        <f>Inputs!N268/1000</f>
        <v>0.081</v>
      </c>
      <c r="M152" s="75">
        <f>Inputs!O268/1000</f>
        <v>1.414</v>
      </c>
      <c r="N152" s="75">
        <f>Inputs!P268/1000</f>
        <v>-3.284</v>
      </c>
      <c r="O152" s="75">
        <f>Inputs!Q268/1000</f>
        <v>20.714</v>
      </c>
      <c r="P152" s="75">
        <f>Inputs!R268/1000</f>
        <v>138.373</v>
      </c>
      <c r="Q152" s="75">
        <f>Inputs!S268/1000</f>
        <v>-4.65</v>
      </c>
      <c r="R152" s="75">
        <f>Inputs!T268/1000</f>
        <v>-5.851</v>
      </c>
      <c r="S152" s="75">
        <f>Inputs!U268/1000</f>
        <v>-9.273</v>
      </c>
      <c r="T152" s="75">
        <f>Inputs!V268/1000</f>
        <v>-7.589</v>
      </c>
      <c r="U152" s="75">
        <f>Inputs!W268/1000</f>
        <v>-6.522</v>
      </c>
      <c r="V152" s="75">
        <f>Inputs!X268/1000</f>
        <v>-9.934</v>
      </c>
      <c r="W152" s="75">
        <f>Inputs!Y268/1000</f>
        <v>13.975</v>
      </c>
      <c r="X152" s="75">
        <f>Inputs!Z268/1000</f>
        <v>-10.383</v>
      </c>
      <c r="Y152" s="75">
        <f>Inputs!AA268/1000</f>
        <v>-12.297</v>
      </c>
      <c r="Z152" s="75">
        <f>Inputs!AB268/1000</f>
        <v>38.201</v>
      </c>
      <c r="AA152" s="75">
        <f>Inputs!AC268/1000</f>
        <v>11.491</v>
      </c>
      <c r="AB152" s="75">
        <f>Inputs!AD268/1000</f>
        <v>74.88</v>
      </c>
      <c r="AC152" s="75">
        <f>Inputs!AE268/1000</f>
        <v>-52.558</v>
      </c>
      <c r="AD152" s="75">
        <f>Inputs!AF268/1000</f>
        <v>-25.37</v>
      </c>
      <c r="AE152" s="75">
        <f>Inputs!AG268/1000</f>
        <v>84.248</v>
      </c>
      <c r="AF152" s="75">
        <f>Inputs!AH268/1000</f>
        <v>50.767</v>
      </c>
      <c r="AG152" s="75">
        <f>Inputs!AI268/1000</f>
        <v>4.537</v>
      </c>
      <c r="AH152" s="75">
        <f>Inputs!AJ268/1000</f>
        <v>22.242</v>
      </c>
      <c r="AI152" s="75">
        <f>Inputs!AK268/1000</f>
        <v>14.948</v>
      </c>
      <c r="AJ152" s="75">
        <f>Inputs!AL268/1000</f>
        <v>155.24</v>
      </c>
      <c r="AK152" s="75">
        <f t="shared" ref="AK152:BW152" si="368">+AK148+AK149+AK150+AK151</f>
        <v>-0.7385470936</v>
      </c>
      <c r="AL152" s="75">
        <f t="shared" si="368"/>
        <v>-4.187761097</v>
      </c>
      <c r="AM152" s="75">
        <f t="shared" si="368"/>
        <v>-4.294166022</v>
      </c>
      <c r="AN152" s="75">
        <f t="shared" si="368"/>
        <v>-5.168724348</v>
      </c>
      <c r="AO152" s="75">
        <f t="shared" si="368"/>
        <v>-4.566689505</v>
      </c>
      <c r="AP152" s="75">
        <f t="shared" si="368"/>
        <v>-4.913741342</v>
      </c>
      <c r="AQ152" s="75">
        <f t="shared" si="368"/>
        <v>-6.907324578</v>
      </c>
      <c r="AR152" s="75">
        <f t="shared" si="368"/>
        <v>-6.773375376</v>
      </c>
      <c r="AS152" s="75">
        <f t="shared" si="368"/>
        <v>-6.22269564</v>
      </c>
      <c r="AT152" s="75">
        <f t="shared" si="368"/>
        <v>-6.63291609</v>
      </c>
      <c r="AU152" s="75">
        <f t="shared" si="368"/>
        <v>-8.54361506</v>
      </c>
      <c r="AV152" s="75">
        <f t="shared" si="368"/>
        <v>-8.242639398</v>
      </c>
      <c r="AW152" s="75">
        <f t="shared" si="368"/>
        <v>-7.999470164</v>
      </c>
      <c r="AX152" s="75">
        <f t="shared" si="368"/>
        <v>-8.495663159</v>
      </c>
      <c r="AY152" s="75">
        <f t="shared" si="368"/>
        <v>-10.15439755</v>
      </c>
      <c r="AZ152" s="75">
        <f t="shared" si="368"/>
        <v>-9.362133723</v>
      </c>
      <c r="BA152" s="75">
        <f t="shared" si="368"/>
        <v>-9.22842712</v>
      </c>
      <c r="BB152" s="75">
        <f t="shared" si="368"/>
        <v>-9.772134218</v>
      </c>
      <c r="BC152" s="75">
        <f t="shared" si="368"/>
        <v>-11.43594801</v>
      </c>
      <c r="BD152" s="75">
        <f t="shared" si="368"/>
        <v>-10.57351099</v>
      </c>
      <c r="BE152" s="75">
        <f t="shared" si="368"/>
        <v>-10.42888568</v>
      </c>
      <c r="BF152" s="75">
        <f t="shared" si="368"/>
        <v>-11.02464761</v>
      </c>
      <c r="BG152" s="75">
        <f t="shared" si="368"/>
        <v>-12.84443942</v>
      </c>
      <c r="BH152" s="75">
        <f t="shared" si="368"/>
        <v>-11.90404889</v>
      </c>
      <c r="BI152" s="75">
        <f t="shared" si="368"/>
        <v>-11.7480491</v>
      </c>
      <c r="BJ152" s="75">
        <f t="shared" si="368"/>
        <v>-12.40111226</v>
      </c>
      <c r="BK152" s="75">
        <f t="shared" si="368"/>
        <v>-14.39169002</v>
      </c>
      <c r="BL152" s="75">
        <f t="shared" si="368"/>
        <v>-13.36652311</v>
      </c>
      <c r="BM152" s="75">
        <f t="shared" si="368"/>
        <v>-13.19852475</v>
      </c>
      <c r="BN152" s="75">
        <f t="shared" si="368"/>
        <v>-13.9146401</v>
      </c>
      <c r="BO152" s="75">
        <f t="shared" si="368"/>
        <v>-16.09226424</v>
      </c>
      <c r="BP152" s="75">
        <f t="shared" si="368"/>
        <v>-14.97487913</v>
      </c>
      <c r="BQ152" s="75">
        <f t="shared" si="368"/>
        <v>-14.79416457</v>
      </c>
      <c r="BR152" s="75">
        <f t="shared" si="368"/>
        <v>-15.61067576</v>
      </c>
      <c r="BS152" s="75">
        <f t="shared" si="368"/>
        <v>-18.02300157</v>
      </c>
      <c r="BT152" s="75">
        <f t="shared" si="368"/>
        <v>-16.83577875</v>
      </c>
      <c r="BU152" s="75">
        <f t="shared" si="368"/>
        <v>-16.67560193</v>
      </c>
      <c r="BV152" s="75">
        <f t="shared" si="368"/>
        <v>-17.56806128</v>
      </c>
      <c r="BW152" s="75">
        <f t="shared" si="368"/>
        <v>-20.2048378</v>
      </c>
      <c r="BX152" s="6" t="s">
        <v>35</v>
      </c>
      <c r="BY152" s="34">
        <f t="shared" si="348"/>
        <v>48.989</v>
      </c>
      <c r="BZ152" s="34">
        <f t="shared" si="349"/>
        <v>2.661</v>
      </c>
      <c r="CA152" s="34">
        <f t="shared" si="350"/>
        <v>18.925</v>
      </c>
      <c r="CB152" s="34">
        <f t="shared" si="351"/>
        <v>118.599</v>
      </c>
      <c r="CC152" s="34">
        <f t="shared" si="352"/>
        <v>-10.07</v>
      </c>
      <c r="CD152" s="34">
        <f t="shared" si="353"/>
        <v>27.012</v>
      </c>
      <c r="CE152" s="34">
        <f t="shared" si="354"/>
        <v>81.2</v>
      </c>
      <c r="CF152" s="34">
        <f t="shared" si="355"/>
        <v>92.494</v>
      </c>
      <c r="CG152" s="34">
        <f t="shared" si="356"/>
        <v>146.0195258</v>
      </c>
      <c r="CH152" s="34">
        <f t="shared" si="357"/>
        <v>-21.55647977</v>
      </c>
      <c r="CI152" s="34">
        <f t="shared" si="358"/>
        <v>-28.17260216</v>
      </c>
      <c r="CJ152" s="34">
        <f t="shared" si="359"/>
        <v>-34.89217027</v>
      </c>
      <c r="CK152" s="34">
        <f t="shared" si="360"/>
        <v>-39.79864307</v>
      </c>
      <c r="CL152" s="34">
        <f t="shared" si="361"/>
        <v>-44.8714837</v>
      </c>
      <c r="CM152" s="34">
        <f t="shared" si="362"/>
        <v>-50.44490027</v>
      </c>
      <c r="CN152" s="34">
        <f t="shared" si="363"/>
        <v>-56.5719522</v>
      </c>
      <c r="CO152" s="34">
        <f t="shared" si="364"/>
        <v>-63.40272103</v>
      </c>
      <c r="CP152" s="34">
        <f t="shared" si="365"/>
        <v>-71.28427975</v>
      </c>
      <c r="CQ152" s="6" t="s">
        <v>35</v>
      </c>
    </row>
    <row r="153" ht="14.25" customHeight="1">
      <c r="B153" s="10"/>
      <c r="C153" s="9"/>
      <c r="BX153" s="6" t="s">
        <v>35</v>
      </c>
      <c r="CQ153" s="6" t="s">
        <v>35</v>
      </c>
    </row>
    <row r="154" ht="14.25" customHeight="1">
      <c r="B154" s="49" t="s">
        <v>101</v>
      </c>
      <c r="C154" s="79" t="s">
        <v>39</v>
      </c>
      <c r="D154" s="75"/>
      <c r="E154" s="75">
        <f t="shared" ref="E154:G154" si="369">E158-E157</f>
        <v>26.23</v>
      </c>
      <c r="F154" s="75">
        <f t="shared" si="369"/>
        <v>-31.228</v>
      </c>
      <c r="G154" s="75">
        <f t="shared" si="369"/>
        <v>-2.337</v>
      </c>
      <c r="H154" s="75">
        <f t="shared" ref="H154:BW154" si="370">+H142+H146+H152</f>
        <v>1.723</v>
      </c>
      <c r="I154" s="75">
        <f t="shared" si="370"/>
        <v>2.387</v>
      </c>
      <c r="J154" s="75">
        <f t="shared" si="370"/>
        <v>0.34666169</v>
      </c>
      <c r="K154" s="75">
        <f t="shared" si="370"/>
        <v>-1.70066169</v>
      </c>
      <c r="L154" s="75">
        <f t="shared" si="370"/>
        <v>1.24129017</v>
      </c>
      <c r="M154" s="75">
        <f t="shared" si="370"/>
        <v>7.619</v>
      </c>
      <c r="N154" s="75">
        <f t="shared" si="370"/>
        <v>1.036448586</v>
      </c>
      <c r="O154" s="75">
        <f t="shared" si="370"/>
        <v>20.86126124</v>
      </c>
      <c r="P154" s="75">
        <f t="shared" si="370"/>
        <v>-26.427</v>
      </c>
      <c r="Q154" s="75">
        <f t="shared" si="370"/>
        <v>19.916</v>
      </c>
      <c r="R154" s="75">
        <f t="shared" si="370"/>
        <v>19.799</v>
      </c>
      <c r="S154" s="75">
        <f t="shared" si="370"/>
        <v>4.59</v>
      </c>
      <c r="T154" s="75">
        <f t="shared" si="370"/>
        <v>-8.668</v>
      </c>
      <c r="U154" s="75">
        <f t="shared" si="370"/>
        <v>6.767102</v>
      </c>
      <c r="V154" s="75">
        <f t="shared" si="370"/>
        <v>0.49355722</v>
      </c>
      <c r="W154" s="75">
        <f t="shared" si="370"/>
        <v>15.40959833</v>
      </c>
      <c r="X154" s="75">
        <f t="shared" si="370"/>
        <v>-12.31464527</v>
      </c>
      <c r="Y154" s="75">
        <f t="shared" si="370"/>
        <v>-9.067</v>
      </c>
      <c r="Z154" s="75">
        <f t="shared" si="370"/>
        <v>46.882</v>
      </c>
      <c r="AA154" s="75">
        <f t="shared" si="370"/>
        <v>13.50052699</v>
      </c>
      <c r="AB154" s="75">
        <f t="shared" si="370"/>
        <v>75.34083693</v>
      </c>
      <c r="AC154" s="75">
        <f t="shared" si="370"/>
        <v>-112.554</v>
      </c>
      <c r="AD154" s="75">
        <f t="shared" si="370"/>
        <v>14.325</v>
      </c>
      <c r="AE154" s="75">
        <f t="shared" si="370"/>
        <v>43.74016307</v>
      </c>
      <c r="AF154" s="75">
        <f t="shared" si="370"/>
        <v>48.99</v>
      </c>
      <c r="AG154" s="75">
        <f t="shared" si="370"/>
        <v>4.891</v>
      </c>
      <c r="AH154" s="75">
        <f t="shared" si="370"/>
        <v>2.366</v>
      </c>
      <c r="AI154" s="75">
        <f t="shared" si="370"/>
        <v>50.399</v>
      </c>
      <c r="AJ154" s="75">
        <f t="shared" si="370"/>
        <v>116.744</v>
      </c>
      <c r="AK154" s="75">
        <f t="shared" si="370"/>
        <v>83.31615345</v>
      </c>
      <c r="AL154" s="75">
        <f t="shared" si="370"/>
        <v>22.67672839</v>
      </c>
      <c r="AM154" s="75">
        <f t="shared" si="370"/>
        <v>-15.1055065</v>
      </c>
      <c r="AN154" s="75">
        <f t="shared" si="370"/>
        <v>-88.30250029</v>
      </c>
      <c r="AO154" s="75">
        <f t="shared" si="370"/>
        <v>94.66238405</v>
      </c>
      <c r="AP154" s="75">
        <f t="shared" si="370"/>
        <v>34.26985158</v>
      </c>
      <c r="AQ154" s="75">
        <f t="shared" si="370"/>
        <v>-6.522192805</v>
      </c>
      <c r="AR154" s="75">
        <f t="shared" si="370"/>
        <v>-104.4253867</v>
      </c>
      <c r="AS154" s="75">
        <f t="shared" si="370"/>
        <v>108.2220091</v>
      </c>
      <c r="AT154" s="75">
        <f t="shared" si="370"/>
        <v>41.5202186</v>
      </c>
      <c r="AU154" s="75">
        <f t="shared" si="370"/>
        <v>-4.569439773</v>
      </c>
      <c r="AV154" s="75">
        <f t="shared" si="370"/>
        <v>-112.232191</v>
      </c>
      <c r="AW154" s="75">
        <f t="shared" si="370"/>
        <v>120.9600743</v>
      </c>
      <c r="AX154" s="75">
        <f t="shared" si="370"/>
        <v>48.37486306</v>
      </c>
      <c r="AY154" s="75">
        <f t="shared" si="370"/>
        <v>-3.250938141</v>
      </c>
      <c r="AZ154" s="75">
        <f t="shared" si="370"/>
        <v>-122.2678314</v>
      </c>
      <c r="BA154" s="75">
        <f t="shared" si="370"/>
        <v>132.9296772</v>
      </c>
      <c r="BB154" s="75">
        <f t="shared" si="370"/>
        <v>53.60536478</v>
      </c>
      <c r="BC154" s="75">
        <f t="shared" si="370"/>
        <v>-3.210413493</v>
      </c>
      <c r="BD154" s="75">
        <f t="shared" si="370"/>
        <v>-133.2006752</v>
      </c>
      <c r="BE154" s="75">
        <f t="shared" si="370"/>
        <v>145.6748106</v>
      </c>
      <c r="BF154" s="75">
        <f t="shared" si="370"/>
        <v>59.02231875</v>
      </c>
      <c r="BG154" s="75">
        <f t="shared" si="370"/>
        <v>-3.036724082</v>
      </c>
      <c r="BH154" s="75">
        <f t="shared" si="370"/>
        <v>-145.0474487</v>
      </c>
      <c r="BI154" s="75">
        <f t="shared" si="370"/>
        <v>159.6841954</v>
      </c>
      <c r="BJ154" s="75">
        <f t="shared" si="370"/>
        <v>65.03382517</v>
      </c>
      <c r="BK154" s="75">
        <f t="shared" si="370"/>
        <v>-2.746899342</v>
      </c>
      <c r="BL154" s="75">
        <f t="shared" si="370"/>
        <v>-157.8884923</v>
      </c>
      <c r="BM154" s="75">
        <f t="shared" si="370"/>
        <v>175.0937582</v>
      </c>
      <c r="BN154" s="75">
        <f t="shared" si="370"/>
        <v>71.69800635</v>
      </c>
      <c r="BO154" s="75">
        <f t="shared" si="370"/>
        <v>-2.338506655</v>
      </c>
      <c r="BP154" s="75">
        <f t="shared" si="370"/>
        <v>-164.5823438</v>
      </c>
      <c r="BQ154" s="75">
        <f t="shared" si="370"/>
        <v>198.9939552</v>
      </c>
      <c r="BR154" s="75">
        <f t="shared" si="370"/>
        <v>86.18119731</v>
      </c>
      <c r="BS154" s="75">
        <f t="shared" si="370"/>
        <v>6.126569788</v>
      </c>
      <c r="BT154" s="75">
        <f t="shared" si="370"/>
        <v>-179.755803</v>
      </c>
      <c r="BU154" s="75">
        <f t="shared" si="370"/>
        <v>217.6574247</v>
      </c>
      <c r="BV154" s="75">
        <f t="shared" si="370"/>
        <v>94.43939007</v>
      </c>
      <c r="BW154" s="75">
        <f t="shared" si="370"/>
        <v>7.014601466</v>
      </c>
      <c r="BX154" s="6" t="s">
        <v>35</v>
      </c>
      <c r="BY154" s="75">
        <f t="shared" ref="BY154:CP154" si="371">+BY142+BY146+BY152</f>
        <v>9.89</v>
      </c>
      <c r="BZ154" s="75">
        <f t="shared" si="371"/>
        <v>2.756</v>
      </c>
      <c r="CA154" s="75">
        <f t="shared" si="371"/>
        <v>30.758</v>
      </c>
      <c r="CB154" s="75">
        <f t="shared" si="371"/>
        <v>17.878</v>
      </c>
      <c r="CC154" s="75">
        <f t="shared" si="371"/>
        <v>14.00225755</v>
      </c>
      <c r="CD154" s="75">
        <f t="shared" si="371"/>
        <v>39.00088172</v>
      </c>
      <c r="CE154" s="75">
        <f t="shared" si="371"/>
        <v>20.852</v>
      </c>
      <c r="CF154" s="75">
        <f t="shared" si="371"/>
        <v>106.646</v>
      </c>
      <c r="CG154" s="75">
        <f t="shared" si="371"/>
        <v>207.6313753</v>
      </c>
      <c r="CH154" s="75">
        <f t="shared" si="371"/>
        <v>34.10754253</v>
      </c>
      <c r="CI154" s="75">
        <f t="shared" si="371"/>
        <v>40.74740123</v>
      </c>
      <c r="CJ154" s="75">
        <f t="shared" si="371"/>
        <v>53.85180816</v>
      </c>
      <c r="CK154" s="75">
        <f t="shared" si="371"/>
        <v>61.05679706</v>
      </c>
      <c r="CL154" s="75">
        <f t="shared" si="371"/>
        <v>68.45973008</v>
      </c>
      <c r="CM154" s="75">
        <f t="shared" si="371"/>
        <v>76.9236725</v>
      </c>
      <c r="CN154" s="75">
        <f t="shared" si="371"/>
        <v>86.56476567</v>
      </c>
      <c r="CO154" s="75">
        <f t="shared" si="371"/>
        <v>126.7193786</v>
      </c>
      <c r="CP154" s="75">
        <f t="shared" si="371"/>
        <v>139.3556133</v>
      </c>
      <c r="CQ154" s="6" t="s">
        <v>35</v>
      </c>
    </row>
    <row r="155" ht="14.25" customHeight="1">
      <c r="B155" s="63" t="s">
        <v>75</v>
      </c>
      <c r="C155" s="9"/>
      <c r="E155" s="54">
        <f t="shared" ref="E155:G155" si="372">((E142+E146+E152)+D158)-E158</f>
        <v>-0.311</v>
      </c>
      <c r="F155" s="54">
        <f t="shared" si="372"/>
        <v>12.531</v>
      </c>
      <c r="G155" s="54">
        <f t="shared" si="372"/>
        <v>5.404</v>
      </c>
      <c r="H155" s="54">
        <f t="shared" ref="H155:AJ155" si="373">H154+H157-H158</f>
        <v>1.823</v>
      </c>
      <c r="I155" s="54">
        <f t="shared" si="373"/>
        <v>-0.501</v>
      </c>
      <c r="J155" s="54">
        <f t="shared" si="373"/>
        <v>0.53566169</v>
      </c>
      <c r="K155" s="54">
        <f t="shared" si="373"/>
        <v>-0.02166169</v>
      </c>
      <c r="L155" s="54">
        <f t="shared" si="373"/>
        <v>-0.43470983</v>
      </c>
      <c r="M155" s="54">
        <f t="shared" si="373"/>
        <v>-14.187</v>
      </c>
      <c r="N155" s="54">
        <f t="shared" si="373"/>
        <v>1.277448586</v>
      </c>
      <c r="O155" s="54">
        <f t="shared" si="373"/>
        <v>3.002261244</v>
      </c>
      <c r="P155" s="54">
        <f t="shared" si="373"/>
        <v>-129.351</v>
      </c>
      <c r="Q155" s="54">
        <f t="shared" si="373"/>
        <v>18.261</v>
      </c>
      <c r="R155" s="54">
        <f t="shared" si="373"/>
        <v>33.465</v>
      </c>
      <c r="S155" s="54">
        <f t="shared" si="373"/>
        <v>29.609</v>
      </c>
      <c r="T155" s="54">
        <f t="shared" si="373"/>
        <v>23.19</v>
      </c>
      <c r="U155" s="54">
        <f t="shared" si="373"/>
        <v>14.774102</v>
      </c>
      <c r="V155" s="54">
        <f t="shared" si="373"/>
        <v>-0.05944278</v>
      </c>
      <c r="W155" s="54">
        <f t="shared" si="373"/>
        <v>9.87059833</v>
      </c>
      <c r="X155" s="54">
        <f t="shared" si="373"/>
        <v>-2.07264527</v>
      </c>
      <c r="Y155" s="54">
        <f t="shared" si="373"/>
        <v>-0.108</v>
      </c>
      <c r="Z155" s="54">
        <f t="shared" si="373"/>
        <v>0.31</v>
      </c>
      <c r="AA155" s="54">
        <f t="shared" si="373"/>
        <v>1.63352699</v>
      </c>
      <c r="AB155" s="54">
        <f t="shared" si="373"/>
        <v>-0.00916307</v>
      </c>
      <c r="AC155" s="54">
        <f t="shared" si="373"/>
        <v>-0.181</v>
      </c>
      <c r="AD155" s="54">
        <f t="shared" si="373"/>
        <v>0.18</v>
      </c>
      <c r="AE155" s="54">
        <f t="shared" si="373"/>
        <v>-0.15283693</v>
      </c>
      <c r="AF155" s="54">
        <f t="shared" si="373"/>
        <v>0.051</v>
      </c>
      <c r="AG155" s="54">
        <f t="shared" si="373"/>
        <v>-0.814</v>
      </c>
      <c r="AH155" s="54">
        <f t="shared" si="373"/>
        <v>0.797</v>
      </c>
      <c r="AI155" s="54">
        <f t="shared" si="373"/>
        <v>-0.225</v>
      </c>
      <c r="AJ155" s="54">
        <f t="shared" si="373"/>
        <v>0.022</v>
      </c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6" t="s">
        <v>35</v>
      </c>
      <c r="CQ155" s="6" t="s">
        <v>35</v>
      </c>
    </row>
    <row r="156" ht="14.25" customHeight="1">
      <c r="B156" s="10"/>
      <c r="C156" s="9"/>
      <c r="BX156" s="6" t="s">
        <v>35</v>
      </c>
      <c r="CQ156" s="6" t="s">
        <v>35</v>
      </c>
    </row>
    <row r="157" ht="14.25" customHeight="1">
      <c r="B157" s="10" t="s">
        <v>102</v>
      </c>
      <c r="C157" s="9" t="s">
        <v>39</v>
      </c>
      <c r="D157" s="54"/>
      <c r="E157" s="54">
        <f t="shared" ref="E157:BW157" si="374">D158</f>
        <v>9.843</v>
      </c>
      <c r="F157" s="54">
        <f t="shared" si="374"/>
        <v>36.073</v>
      </c>
      <c r="G157" s="54">
        <f t="shared" si="374"/>
        <v>4.845</v>
      </c>
      <c r="H157" s="54">
        <f t="shared" si="374"/>
        <v>2.508</v>
      </c>
      <c r="I157" s="54">
        <f t="shared" si="374"/>
        <v>2.408</v>
      </c>
      <c r="J157" s="54">
        <f t="shared" si="374"/>
        <v>5.296</v>
      </c>
      <c r="K157" s="54">
        <f t="shared" si="374"/>
        <v>5.107</v>
      </c>
      <c r="L157" s="54">
        <f t="shared" si="374"/>
        <v>3.428</v>
      </c>
      <c r="M157" s="54">
        <f t="shared" si="374"/>
        <v>5.104</v>
      </c>
      <c r="N157" s="54">
        <f t="shared" si="374"/>
        <v>26.91</v>
      </c>
      <c r="O157" s="54">
        <f t="shared" si="374"/>
        <v>26.669</v>
      </c>
      <c r="P157" s="54">
        <f t="shared" si="374"/>
        <v>44.528</v>
      </c>
      <c r="Q157" s="54">
        <f t="shared" si="374"/>
        <v>147.452</v>
      </c>
      <c r="R157" s="54">
        <f t="shared" si="374"/>
        <v>149.107</v>
      </c>
      <c r="S157" s="54">
        <f t="shared" si="374"/>
        <v>135.441</v>
      </c>
      <c r="T157" s="54">
        <f t="shared" si="374"/>
        <v>110.422</v>
      </c>
      <c r="U157" s="54">
        <f t="shared" si="374"/>
        <v>78.564</v>
      </c>
      <c r="V157" s="54">
        <f t="shared" si="374"/>
        <v>70.557</v>
      </c>
      <c r="W157" s="54">
        <f t="shared" si="374"/>
        <v>71.11</v>
      </c>
      <c r="X157" s="54">
        <f t="shared" si="374"/>
        <v>76.649</v>
      </c>
      <c r="Y157" s="54">
        <f t="shared" si="374"/>
        <v>66.407</v>
      </c>
      <c r="Z157" s="54">
        <f t="shared" si="374"/>
        <v>57.448</v>
      </c>
      <c r="AA157" s="54">
        <f t="shared" si="374"/>
        <v>104.02</v>
      </c>
      <c r="AB157" s="54">
        <f t="shared" si="374"/>
        <v>115.887</v>
      </c>
      <c r="AC157" s="54">
        <f t="shared" si="374"/>
        <v>191.237</v>
      </c>
      <c r="AD157" s="54">
        <f t="shared" si="374"/>
        <v>78.864</v>
      </c>
      <c r="AE157" s="54">
        <f t="shared" si="374"/>
        <v>93.009</v>
      </c>
      <c r="AF157" s="54">
        <f t="shared" si="374"/>
        <v>136.902</v>
      </c>
      <c r="AG157" s="54">
        <f t="shared" si="374"/>
        <v>185.841</v>
      </c>
      <c r="AH157" s="54">
        <f t="shared" si="374"/>
        <v>191.546</v>
      </c>
      <c r="AI157" s="54">
        <f t="shared" si="374"/>
        <v>193.115</v>
      </c>
      <c r="AJ157" s="54">
        <f t="shared" si="374"/>
        <v>243.739</v>
      </c>
      <c r="AK157" s="54">
        <f t="shared" si="374"/>
        <v>360.461</v>
      </c>
      <c r="AL157" s="54">
        <f t="shared" si="374"/>
        <v>443.7771534</v>
      </c>
      <c r="AM157" s="54">
        <f t="shared" si="374"/>
        <v>466.4538818</v>
      </c>
      <c r="AN157" s="54">
        <f t="shared" si="374"/>
        <v>451.3483753</v>
      </c>
      <c r="AO157" s="54">
        <f t="shared" si="374"/>
        <v>363.045875</v>
      </c>
      <c r="AP157" s="54">
        <f t="shared" si="374"/>
        <v>457.7082591</v>
      </c>
      <c r="AQ157" s="54">
        <f t="shared" si="374"/>
        <v>491.9781107</v>
      </c>
      <c r="AR157" s="54">
        <f t="shared" si="374"/>
        <v>485.4559179</v>
      </c>
      <c r="AS157" s="54">
        <f t="shared" si="374"/>
        <v>381.0305312</v>
      </c>
      <c r="AT157" s="54">
        <f t="shared" si="374"/>
        <v>489.2525403</v>
      </c>
      <c r="AU157" s="54">
        <f t="shared" si="374"/>
        <v>530.7727589</v>
      </c>
      <c r="AV157" s="54">
        <f t="shared" si="374"/>
        <v>526.2033191</v>
      </c>
      <c r="AW157" s="54">
        <f t="shared" si="374"/>
        <v>413.9711281</v>
      </c>
      <c r="AX157" s="54">
        <f t="shared" si="374"/>
        <v>534.9312023</v>
      </c>
      <c r="AY157" s="54">
        <f t="shared" si="374"/>
        <v>583.3060654</v>
      </c>
      <c r="AZ157" s="54">
        <f t="shared" si="374"/>
        <v>580.0551272</v>
      </c>
      <c r="BA157" s="54">
        <f t="shared" si="374"/>
        <v>457.7872958</v>
      </c>
      <c r="BB157" s="54">
        <f t="shared" si="374"/>
        <v>590.716973</v>
      </c>
      <c r="BC157" s="54">
        <f t="shared" si="374"/>
        <v>644.3223378</v>
      </c>
      <c r="BD157" s="54">
        <f t="shared" si="374"/>
        <v>641.1119243</v>
      </c>
      <c r="BE157" s="54">
        <f t="shared" si="374"/>
        <v>507.9112491</v>
      </c>
      <c r="BF157" s="54">
        <f t="shared" si="374"/>
        <v>653.5860597</v>
      </c>
      <c r="BG157" s="54">
        <f t="shared" si="374"/>
        <v>712.6083785</v>
      </c>
      <c r="BH157" s="54">
        <f t="shared" si="374"/>
        <v>709.5716544</v>
      </c>
      <c r="BI157" s="54">
        <f t="shared" si="374"/>
        <v>564.5242057</v>
      </c>
      <c r="BJ157" s="54">
        <f t="shared" si="374"/>
        <v>724.2084011</v>
      </c>
      <c r="BK157" s="54">
        <f t="shared" si="374"/>
        <v>789.2422262</v>
      </c>
      <c r="BL157" s="54">
        <f t="shared" si="374"/>
        <v>786.4953269</v>
      </c>
      <c r="BM157" s="54">
        <f t="shared" si="374"/>
        <v>628.6068346</v>
      </c>
      <c r="BN157" s="54">
        <f t="shared" si="374"/>
        <v>803.7005929</v>
      </c>
      <c r="BO157" s="54">
        <f t="shared" si="374"/>
        <v>875.3985992</v>
      </c>
      <c r="BP157" s="54">
        <f t="shared" si="374"/>
        <v>873.0600926</v>
      </c>
      <c r="BQ157" s="54">
        <f t="shared" si="374"/>
        <v>708.4777488</v>
      </c>
      <c r="BR157" s="54">
        <f t="shared" si="374"/>
        <v>907.471704</v>
      </c>
      <c r="BS157" s="54">
        <f t="shared" si="374"/>
        <v>993.6529013</v>
      </c>
      <c r="BT157" s="54">
        <f t="shared" si="374"/>
        <v>999.7794711</v>
      </c>
      <c r="BU157" s="54">
        <f t="shared" si="374"/>
        <v>820.0236682</v>
      </c>
      <c r="BV157" s="54">
        <f t="shared" si="374"/>
        <v>1037.681093</v>
      </c>
      <c r="BW157" s="54">
        <f t="shared" si="374"/>
        <v>1132.120483</v>
      </c>
      <c r="BX157" s="6" t="s">
        <v>35</v>
      </c>
      <c r="BY157" s="54"/>
      <c r="BZ157" s="54">
        <f t="shared" ref="BZ157:CP157" si="375">BY158</f>
        <v>2.508</v>
      </c>
      <c r="CA157" s="54">
        <f t="shared" si="375"/>
        <v>3.428</v>
      </c>
      <c r="CB157" s="54">
        <f t="shared" si="375"/>
        <v>44.528</v>
      </c>
      <c r="CC157" s="54">
        <f t="shared" si="375"/>
        <v>110.422</v>
      </c>
      <c r="CD157" s="54">
        <f t="shared" si="375"/>
        <v>76.649</v>
      </c>
      <c r="CE157" s="54">
        <f t="shared" si="375"/>
        <v>115.887</v>
      </c>
      <c r="CF157" s="54">
        <f t="shared" si="375"/>
        <v>136.902</v>
      </c>
      <c r="CG157" s="54">
        <f t="shared" si="375"/>
        <v>243.739</v>
      </c>
      <c r="CH157" s="54">
        <f t="shared" si="375"/>
        <v>451.3483753</v>
      </c>
      <c r="CI157" s="54">
        <f t="shared" si="375"/>
        <v>485.4559179</v>
      </c>
      <c r="CJ157" s="54">
        <f t="shared" si="375"/>
        <v>526.2033191</v>
      </c>
      <c r="CK157" s="54">
        <f t="shared" si="375"/>
        <v>580.0551272</v>
      </c>
      <c r="CL157" s="54">
        <f t="shared" si="375"/>
        <v>530.7727589</v>
      </c>
      <c r="CM157" s="54">
        <f t="shared" si="375"/>
        <v>583.3060654</v>
      </c>
      <c r="CN157" s="54">
        <f t="shared" si="375"/>
        <v>644.3223378</v>
      </c>
      <c r="CO157" s="54">
        <f t="shared" si="375"/>
        <v>534.9312023</v>
      </c>
      <c r="CP157" s="54">
        <f t="shared" si="375"/>
        <v>590.716973</v>
      </c>
      <c r="CQ157" s="6" t="s">
        <v>35</v>
      </c>
    </row>
    <row r="158" ht="14.25" customHeight="1">
      <c r="B158" s="59" t="s">
        <v>103</v>
      </c>
      <c r="C158" s="9" t="s">
        <v>39</v>
      </c>
      <c r="D158" s="54">
        <f>D107</f>
        <v>9.843</v>
      </c>
      <c r="E158" s="54">
        <f t="shared" ref="E158:AJ158" si="376">E61</f>
        <v>36.073</v>
      </c>
      <c r="F158" s="54">
        <f t="shared" si="376"/>
        <v>4.845</v>
      </c>
      <c r="G158" s="54">
        <f t="shared" si="376"/>
        <v>2.508</v>
      </c>
      <c r="H158" s="54">
        <f t="shared" si="376"/>
        <v>2.408</v>
      </c>
      <c r="I158" s="54">
        <f t="shared" si="376"/>
        <v>5.296</v>
      </c>
      <c r="J158" s="54">
        <f t="shared" si="376"/>
        <v>5.107</v>
      </c>
      <c r="K158" s="54">
        <f t="shared" si="376"/>
        <v>3.428</v>
      </c>
      <c r="L158" s="54">
        <f t="shared" si="376"/>
        <v>5.104</v>
      </c>
      <c r="M158" s="54">
        <f t="shared" si="376"/>
        <v>26.91</v>
      </c>
      <c r="N158" s="54">
        <f t="shared" si="376"/>
        <v>26.669</v>
      </c>
      <c r="O158" s="54">
        <f t="shared" si="376"/>
        <v>44.528</v>
      </c>
      <c r="P158" s="54">
        <f t="shared" si="376"/>
        <v>147.452</v>
      </c>
      <c r="Q158" s="54">
        <f t="shared" si="376"/>
        <v>149.107</v>
      </c>
      <c r="R158" s="54">
        <f t="shared" si="376"/>
        <v>135.441</v>
      </c>
      <c r="S158" s="54">
        <f t="shared" si="376"/>
        <v>110.422</v>
      </c>
      <c r="T158" s="54">
        <f t="shared" si="376"/>
        <v>78.564</v>
      </c>
      <c r="U158" s="54">
        <f t="shared" si="376"/>
        <v>70.557</v>
      </c>
      <c r="V158" s="54">
        <f t="shared" si="376"/>
        <v>71.11</v>
      </c>
      <c r="W158" s="54">
        <f t="shared" si="376"/>
        <v>76.649</v>
      </c>
      <c r="X158" s="54">
        <f t="shared" si="376"/>
        <v>66.407</v>
      </c>
      <c r="Y158" s="54">
        <f t="shared" si="376"/>
        <v>57.448</v>
      </c>
      <c r="Z158" s="54">
        <f t="shared" si="376"/>
        <v>104.02</v>
      </c>
      <c r="AA158" s="54">
        <f t="shared" si="376"/>
        <v>115.887</v>
      </c>
      <c r="AB158" s="54">
        <f t="shared" si="376"/>
        <v>191.237</v>
      </c>
      <c r="AC158" s="54">
        <f t="shared" si="376"/>
        <v>78.864</v>
      </c>
      <c r="AD158" s="54">
        <f t="shared" si="376"/>
        <v>93.009</v>
      </c>
      <c r="AE158" s="54">
        <f t="shared" si="376"/>
        <v>136.902</v>
      </c>
      <c r="AF158" s="54">
        <f t="shared" si="376"/>
        <v>185.841</v>
      </c>
      <c r="AG158" s="54">
        <f t="shared" si="376"/>
        <v>191.546</v>
      </c>
      <c r="AH158" s="54">
        <f t="shared" si="376"/>
        <v>193.115</v>
      </c>
      <c r="AI158" s="54">
        <f t="shared" si="376"/>
        <v>243.739</v>
      </c>
      <c r="AJ158" s="54">
        <f t="shared" si="376"/>
        <v>360.461</v>
      </c>
      <c r="AK158" s="54">
        <f t="shared" ref="AK158:BW158" si="377">AK157+AK154</f>
        <v>443.7771534</v>
      </c>
      <c r="AL158" s="54">
        <f t="shared" si="377"/>
        <v>466.4538818</v>
      </c>
      <c r="AM158" s="54">
        <f t="shared" si="377"/>
        <v>451.3483753</v>
      </c>
      <c r="AN158" s="54">
        <f t="shared" si="377"/>
        <v>363.045875</v>
      </c>
      <c r="AO158" s="54">
        <f t="shared" si="377"/>
        <v>457.7082591</v>
      </c>
      <c r="AP158" s="54">
        <f t="shared" si="377"/>
        <v>491.9781107</v>
      </c>
      <c r="AQ158" s="54">
        <f t="shared" si="377"/>
        <v>485.4559179</v>
      </c>
      <c r="AR158" s="54">
        <f t="shared" si="377"/>
        <v>381.0305312</v>
      </c>
      <c r="AS158" s="54">
        <f t="shared" si="377"/>
        <v>489.2525403</v>
      </c>
      <c r="AT158" s="54">
        <f t="shared" si="377"/>
        <v>530.7727589</v>
      </c>
      <c r="AU158" s="54">
        <f t="shared" si="377"/>
        <v>526.2033191</v>
      </c>
      <c r="AV158" s="54">
        <f t="shared" si="377"/>
        <v>413.9711281</v>
      </c>
      <c r="AW158" s="54">
        <f t="shared" si="377"/>
        <v>534.9312023</v>
      </c>
      <c r="AX158" s="54">
        <f t="shared" si="377"/>
        <v>583.3060654</v>
      </c>
      <c r="AY158" s="54">
        <f t="shared" si="377"/>
        <v>580.0551272</v>
      </c>
      <c r="AZ158" s="54">
        <f t="shared" si="377"/>
        <v>457.7872958</v>
      </c>
      <c r="BA158" s="54">
        <f t="shared" si="377"/>
        <v>590.716973</v>
      </c>
      <c r="BB158" s="54">
        <f t="shared" si="377"/>
        <v>644.3223378</v>
      </c>
      <c r="BC158" s="54">
        <f t="shared" si="377"/>
        <v>641.1119243</v>
      </c>
      <c r="BD158" s="54">
        <f t="shared" si="377"/>
        <v>507.9112491</v>
      </c>
      <c r="BE158" s="54">
        <f t="shared" si="377"/>
        <v>653.5860597</v>
      </c>
      <c r="BF158" s="54">
        <f t="shared" si="377"/>
        <v>712.6083785</v>
      </c>
      <c r="BG158" s="54">
        <f t="shared" si="377"/>
        <v>709.5716544</v>
      </c>
      <c r="BH158" s="54">
        <f t="shared" si="377"/>
        <v>564.5242057</v>
      </c>
      <c r="BI158" s="54">
        <f t="shared" si="377"/>
        <v>724.2084011</v>
      </c>
      <c r="BJ158" s="54">
        <f t="shared" si="377"/>
        <v>789.2422262</v>
      </c>
      <c r="BK158" s="54">
        <f t="shared" si="377"/>
        <v>786.4953269</v>
      </c>
      <c r="BL158" s="54">
        <f t="shared" si="377"/>
        <v>628.6068346</v>
      </c>
      <c r="BM158" s="54">
        <f t="shared" si="377"/>
        <v>803.7005929</v>
      </c>
      <c r="BN158" s="54">
        <f t="shared" si="377"/>
        <v>875.3985992</v>
      </c>
      <c r="BO158" s="54">
        <f t="shared" si="377"/>
        <v>873.0600926</v>
      </c>
      <c r="BP158" s="54">
        <f t="shared" si="377"/>
        <v>708.4777488</v>
      </c>
      <c r="BQ158" s="54">
        <f t="shared" si="377"/>
        <v>907.471704</v>
      </c>
      <c r="BR158" s="54">
        <f t="shared" si="377"/>
        <v>993.6529013</v>
      </c>
      <c r="BS158" s="54">
        <f t="shared" si="377"/>
        <v>999.7794711</v>
      </c>
      <c r="BT158" s="54">
        <f t="shared" si="377"/>
        <v>820.0236682</v>
      </c>
      <c r="BU158" s="54">
        <f t="shared" si="377"/>
        <v>1037.681093</v>
      </c>
      <c r="BV158" s="54">
        <f t="shared" si="377"/>
        <v>1132.120483</v>
      </c>
      <c r="BW158" s="54">
        <f t="shared" si="377"/>
        <v>1139.135084</v>
      </c>
      <c r="BX158" s="6" t="s">
        <v>35</v>
      </c>
      <c r="BY158" s="54">
        <f>G158</f>
        <v>2.508</v>
      </c>
      <c r="BZ158" s="54">
        <f>K158</f>
        <v>3.428</v>
      </c>
      <c r="CA158" s="54">
        <f>O158</f>
        <v>44.528</v>
      </c>
      <c r="CB158" s="54">
        <f>S158</f>
        <v>110.422</v>
      </c>
      <c r="CC158" s="54">
        <f>W158</f>
        <v>76.649</v>
      </c>
      <c r="CD158" s="54">
        <f>AA158</f>
        <v>115.887</v>
      </c>
      <c r="CE158" s="54">
        <f>AE158</f>
        <v>136.902</v>
      </c>
      <c r="CF158" s="54">
        <f>AI158</f>
        <v>243.739</v>
      </c>
      <c r="CG158" s="54">
        <f>AM158</f>
        <v>451.3483753</v>
      </c>
      <c r="CH158" s="54">
        <f>AQ158</f>
        <v>485.4559179</v>
      </c>
      <c r="CI158" s="54">
        <f>AU158</f>
        <v>526.2033191</v>
      </c>
      <c r="CJ158" s="54">
        <f>AY158</f>
        <v>580.0551272</v>
      </c>
      <c r="CK158" s="54">
        <f>AT158</f>
        <v>530.7727589</v>
      </c>
      <c r="CL158" s="54">
        <f>AX158</f>
        <v>583.3060654</v>
      </c>
      <c r="CM158" s="54">
        <f>BB158</f>
        <v>644.3223378</v>
      </c>
      <c r="CN158" s="54">
        <f>AW158</f>
        <v>534.9312023</v>
      </c>
      <c r="CO158" s="54">
        <f>BA158</f>
        <v>590.716973</v>
      </c>
      <c r="CP158" s="54">
        <f>BE158</f>
        <v>653.5860597</v>
      </c>
      <c r="CQ158" s="6" t="s">
        <v>35</v>
      </c>
    </row>
    <row r="159" ht="14.25" customHeight="1">
      <c r="BX159" s="6" t="s">
        <v>35</v>
      </c>
      <c r="CQ159" s="6" t="s">
        <v>35</v>
      </c>
    </row>
    <row r="160" ht="14.25" customHeight="1">
      <c r="A160" s="11" t="s">
        <v>36</v>
      </c>
      <c r="B160" s="2" t="s">
        <v>81</v>
      </c>
      <c r="C160" s="3"/>
      <c r="AH160" s="46"/>
      <c r="BX160" s="6" t="s">
        <v>35</v>
      </c>
      <c r="CQ160" s="6" t="s">
        <v>35</v>
      </c>
    </row>
    <row r="161" ht="14.25" customHeight="1">
      <c r="A161" s="9"/>
      <c r="B161" s="10"/>
      <c r="C161" s="9"/>
      <c r="BX161" s="6" t="s">
        <v>35</v>
      </c>
      <c r="CQ161" s="6" t="s">
        <v>35</v>
      </c>
    </row>
    <row r="162" ht="14.25" customHeight="1">
      <c r="A162" s="9"/>
      <c r="B162" s="73" t="s">
        <v>81</v>
      </c>
      <c r="C162" s="74" t="s">
        <v>39</v>
      </c>
      <c r="D162" s="17">
        <f t="shared" ref="D162:BW162" si="378">+D167-D182</f>
        <v>38.436</v>
      </c>
      <c r="E162" s="17">
        <f t="shared" si="378"/>
        <v>32.315</v>
      </c>
      <c r="F162" s="17">
        <f t="shared" si="378"/>
        <v>36.591</v>
      </c>
      <c r="G162" s="17">
        <f t="shared" si="378"/>
        <v>49.577</v>
      </c>
      <c r="H162" s="17">
        <f t="shared" si="378"/>
        <v>47.089</v>
      </c>
      <c r="I162" s="17">
        <f t="shared" si="378"/>
        <v>36.082</v>
      </c>
      <c r="J162" s="17">
        <f t="shared" si="378"/>
        <v>38.304</v>
      </c>
      <c r="K162" s="17">
        <f t="shared" si="378"/>
        <v>47.966</v>
      </c>
      <c r="L162" s="17">
        <f t="shared" si="378"/>
        <v>45.99</v>
      </c>
      <c r="M162" s="17">
        <f t="shared" si="378"/>
        <v>39.085</v>
      </c>
      <c r="N162" s="17">
        <f t="shared" si="378"/>
        <v>35.044</v>
      </c>
      <c r="O162" s="17">
        <f t="shared" si="378"/>
        <v>38.978</v>
      </c>
      <c r="P162" s="17">
        <f t="shared" si="378"/>
        <v>61.325</v>
      </c>
      <c r="Q162" s="17">
        <f t="shared" si="378"/>
        <v>44.879</v>
      </c>
      <c r="R162" s="17">
        <f t="shared" si="378"/>
        <v>50.593</v>
      </c>
      <c r="S162" s="17">
        <f t="shared" si="378"/>
        <v>53.571</v>
      </c>
      <c r="T162" s="17">
        <f t="shared" si="378"/>
        <v>62.283</v>
      </c>
      <c r="U162" s="17">
        <f t="shared" si="378"/>
        <v>74.135</v>
      </c>
      <c r="V162" s="17">
        <f t="shared" si="378"/>
        <v>63.186</v>
      </c>
      <c r="W162" s="17">
        <f t="shared" si="378"/>
        <v>70.32</v>
      </c>
      <c r="X162" s="17">
        <f t="shared" si="378"/>
        <v>70.85399999</v>
      </c>
      <c r="Y162" s="17">
        <f t="shared" si="378"/>
        <v>83.21700005</v>
      </c>
      <c r="Z162" s="17">
        <f t="shared" si="378"/>
        <v>108.38</v>
      </c>
      <c r="AA162" s="17">
        <f t="shared" si="378"/>
        <v>104.3109999</v>
      </c>
      <c r="AB162" s="17">
        <f t="shared" si="378"/>
        <v>119.154</v>
      </c>
      <c r="AC162" s="17">
        <f t="shared" si="378"/>
        <v>162.691</v>
      </c>
      <c r="AD162" s="17">
        <f t="shared" si="378"/>
        <v>118.183</v>
      </c>
      <c r="AE162" s="17">
        <f t="shared" si="378"/>
        <v>162.511</v>
      </c>
      <c r="AF162" s="17">
        <f t="shared" si="378"/>
        <v>159.215</v>
      </c>
      <c r="AG162" s="17">
        <f t="shared" si="378"/>
        <v>143.976</v>
      </c>
      <c r="AH162" s="17">
        <f t="shared" si="378"/>
        <v>181.101</v>
      </c>
      <c r="AI162" s="17">
        <f t="shared" si="378"/>
        <v>183.402</v>
      </c>
      <c r="AJ162" s="17">
        <f t="shared" si="378"/>
        <v>250.39</v>
      </c>
      <c r="AK162" s="17">
        <f t="shared" si="378"/>
        <v>163.8665278</v>
      </c>
      <c r="AL162" s="17">
        <f t="shared" si="378"/>
        <v>137.0298394</v>
      </c>
      <c r="AM162" s="17">
        <f t="shared" si="378"/>
        <v>156.2892492</v>
      </c>
      <c r="AN162" s="17">
        <f t="shared" si="378"/>
        <v>255.647444</v>
      </c>
      <c r="AO162" s="17">
        <f t="shared" si="378"/>
        <v>170.3269634</v>
      </c>
      <c r="AP162" s="17">
        <f t="shared" si="378"/>
        <v>145.3590595</v>
      </c>
      <c r="AQ162" s="17">
        <f t="shared" si="378"/>
        <v>164.5420038</v>
      </c>
      <c r="AR162" s="17">
        <f t="shared" si="378"/>
        <v>283.2734199</v>
      </c>
      <c r="AS162" s="17">
        <f t="shared" si="378"/>
        <v>187.963242</v>
      </c>
      <c r="AT162" s="17">
        <f t="shared" si="378"/>
        <v>159.7184063</v>
      </c>
      <c r="AU162" s="17">
        <f t="shared" si="378"/>
        <v>180.1109288</v>
      </c>
      <c r="AV162" s="17">
        <f t="shared" si="378"/>
        <v>309.5142295</v>
      </c>
      <c r="AW162" s="17">
        <f t="shared" si="378"/>
        <v>205.3750685</v>
      </c>
      <c r="AX162" s="17">
        <f t="shared" si="378"/>
        <v>174.5137948</v>
      </c>
      <c r="AY162" s="17">
        <f t="shared" si="378"/>
        <v>196.7953625</v>
      </c>
      <c r="AZ162" s="17">
        <f t="shared" si="378"/>
        <v>338.1858358</v>
      </c>
      <c r="BA162" s="17">
        <f t="shared" si="378"/>
        <v>224.3998258</v>
      </c>
      <c r="BB162" s="17">
        <f t="shared" si="378"/>
        <v>190.6797424</v>
      </c>
      <c r="BC162" s="17">
        <f t="shared" si="378"/>
        <v>215.0253455</v>
      </c>
      <c r="BD162" s="17">
        <f t="shared" si="378"/>
        <v>369.5134137</v>
      </c>
      <c r="BE162" s="17">
        <f t="shared" si="378"/>
        <v>245.1869265</v>
      </c>
      <c r="BF162" s="17">
        <f t="shared" si="378"/>
        <v>208.3432098</v>
      </c>
      <c r="BG162" s="17">
        <f t="shared" si="378"/>
        <v>234.9440486</v>
      </c>
      <c r="BH162" s="17">
        <f t="shared" si="378"/>
        <v>403.742997</v>
      </c>
      <c r="BI162" s="17">
        <f t="shared" si="378"/>
        <v>267.8996239</v>
      </c>
      <c r="BJ162" s="17">
        <f t="shared" si="378"/>
        <v>227.6429186</v>
      </c>
      <c r="BK162" s="17">
        <f t="shared" si="378"/>
        <v>256.7079051</v>
      </c>
      <c r="BL162" s="17">
        <f t="shared" si="378"/>
        <v>441.1434108</v>
      </c>
      <c r="BM162" s="17">
        <f t="shared" si="378"/>
        <v>292.716294</v>
      </c>
      <c r="BN162" s="17">
        <f t="shared" si="378"/>
        <v>248.7304406</v>
      </c>
      <c r="BO162" s="17">
        <f t="shared" si="378"/>
        <v>280.4878392</v>
      </c>
      <c r="BP162" s="17">
        <f t="shared" si="378"/>
        <v>482.0083824</v>
      </c>
      <c r="BQ162" s="17">
        <f t="shared" si="378"/>
        <v>319.8318368</v>
      </c>
      <c r="BR162" s="17">
        <f t="shared" si="378"/>
        <v>271.7713886</v>
      </c>
      <c r="BS162" s="17">
        <f t="shared" si="378"/>
        <v>306.4706087</v>
      </c>
      <c r="BT162" s="17">
        <f t="shared" si="378"/>
        <v>526.6588483</v>
      </c>
      <c r="BU162" s="17">
        <f t="shared" si="378"/>
        <v>349.4592065</v>
      </c>
      <c r="BV162" s="17">
        <f t="shared" si="378"/>
        <v>296.9467166</v>
      </c>
      <c r="BW162" s="17">
        <f t="shared" si="378"/>
        <v>334.8602716</v>
      </c>
      <c r="BX162" s="6" t="s">
        <v>35</v>
      </c>
      <c r="BY162" s="17">
        <f t="shared" ref="BY162:CP162" si="379">+BY167-BY182</f>
        <v>49.577</v>
      </c>
      <c r="BZ162" s="17">
        <f t="shared" si="379"/>
        <v>47.966</v>
      </c>
      <c r="CA162" s="17">
        <f t="shared" si="379"/>
        <v>38.978</v>
      </c>
      <c r="CB162" s="17">
        <f t="shared" si="379"/>
        <v>53.571</v>
      </c>
      <c r="CC162" s="17">
        <f t="shared" si="379"/>
        <v>70.32</v>
      </c>
      <c r="CD162" s="17">
        <f t="shared" si="379"/>
        <v>104.3109999</v>
      </c>
      <c r="CE162" s="17">
        <f t="shared" si="379"/>
        <v>162.511</v>
      </c>
      <c r="CF162" s="17">
        <f t="shared" si="379"/>
        <v>183.402</v>
      </c>
      <c r="CG162" s="17">
        <f t="shared" si="379"/>
        <v>156.2892492</v>
      </c>
      <c r="CH162" s="17">
        <f t="shared" si="379"/>
        <v>164.5420038</v>
      </c>
      <c r="CI162" s="17">
        <f t="shared" si="379"/>
        <v>180.1109288</v>
      </c>
      <c r="CJ162" s="17">
        <f t="shared" si="379"/>
        <v>196.7953625</v>
      </c>
      <c r="CK162" s="17">
        <f t="shared" si="379"/>
        <v>215.0253455</v>
      </c>
      <c r="CL162" s="17">
        <f t="shared" si="379"/>
        <v>234.9440486</v>
      </c>
      <c r="CM162" s="17">
        <f t="shared" si="379"/>
        <v>256.7079051</v>
      </c>
      <c r="CN162" s="17">
        <f t="shared" si="379"/>
        <v>280.4878392</v>
      </c>
      <c r="CO162" s="17">
        <f t="shared" si="379"/>
        <v>306.4706087</v>
      </c>
      <c r="CP162" s="17">
        <f t="shared" si="379"/>
        <v>334.8602716</v>
      </c>
      <c r="CQ162" s="6" t="s">
        <v>35</v>
      </c>
    </row>
    <row r="163" ht="14.25" customHeight="1">
      <c r="A163" s="9"/>
      <c r="B163" s="80" t="s">
        <v>104</v>
      </c>
      <c r="C163" s="9" t="s">
        <v>39</v>
      </c>
      <c r="E163" s="81">
        <f t="shared" ref="E163:BW163" si="380">E162-D162</f>
        <v>-6.121</v>
      </c>
      <c r="F163" s="81">
        <f t="shared" si="380"/>
        <v>4.276</v>
      </c>
      <c r="G163" s="81">
        <f t="shared" si="380"/>
        <v>12.986</v>
      </c>
      <c r="H163" s="81">
        <f t="shared" si="380"/>
        <v>-2.488</v>
      </c>
      <c r="I163" s="81">
        <f t="shared" si="380"/>
        <v>-11.007</v>
      </c>
      <c r="J163" s="81">
        <f t="shared" si="380"/>
        <v>2.222</v>
      </c>
      <c r="K163" s="81">
        <f t="shared" si="380"/>
        <v>9.662</v>
      </c>
      <c r="L163" s="81">
        <f t="shared" si="380"/>
        <v>-1.976</v>
      </c>
      <c r="M163" s="81">
        <f t="shared" si="380"/>
        <v>-6.905</v>
      </c>
      <c r="N163" s="81">
        <f t="shared" si="380"/>
        <v>-4.041</v>
      </c>
      <c r="O163" s="81">
        <f t="shared" si="380"/>
        <v>3.934</v>
      </c>
      <c r="P163" s="81">
        <f t="shared" si="380"/>
        <v>22.347</v>
      </c>
      <c r="Q163" s="81">
        <f t="shared" si="380"/>
        <v>-16.446</v>
      </c>
      <c r="R163" s="81">
        <f t="shared" si="380"/>
        <v>5.714</v>
      </c>
      <c r="S163" s="81">
        <f t="shared" si="380"/>
        <v>2.978</v>
      </c>
      <c r="T163" s="81">
        <f t="shared" si="380"/>
        <v>8.712</v>
      </c>
      <c r="U163" s="81">
        <f t="shared" si="380"/>
        <v>11.852</v>
      </c>
      <c r="V163" s="81">
        <f t="shared" si="380"/>
        <v>-10.949</v>
      </c>
      <c r="W163" s="81">
        <f t="shared" si="380"/>
        <v>7.134</v>
      </c>
      <c r="X163" s="81">
        <f t="shared" si="380"/>
        <v>0.53399999</v>
      </c>
      <c r="Y163" s="81">
        <f t="shared" si="380"/>
        <v>12.36300006</v>
      </c>
      <c r="Z163" s="81">
        <f t="shared" si="380"/>
        <v>25.16299991</v>
      </c>
      <c r="AA163" s="81">
        <f t="shared" si="380"/>
        <v>-4.06900002</v>
      </c>
      <c r="AB163" s="81">
        <f t="shared" si="380"/>
        <v>14.84300006</v>
      </c>
      <c r="AC163" s="81">
        <f t="shared" si="380"/>
        <v>43.537</v>
      </c>
      <c r="AD163" s="81">
        <f t="shared" si="380"/>
        <v>-44.508</v>
      </c>
      <c r="AE163" s="81">
        <f t="shared" si="380"/>
        <v>44.328</v>
      </c>
      <c r="AF163" s="81">
        <f t="shared" si="380"/>
        <v>-3.296</v>
      </c>
      <c r="AG163" s="81">
        <f t="shared" si="380"/>
        <v>-15.239</v>
      </c>
      <c r="AH163" s="81">
        <f t="shared" si="380"/>
        <v>37.125</v>
      </c>
      <c r="AI163" s="81">
        <f t="shared" si="380"/>
        <v>2.301</v>
      </c>
      <c r="AJ163" s="81">
        <f t="shared" si="380"/>
        <v>66.988</v>
      </c>
      <c r="AK163" s="81">
        <f t="shared" si="380"/>
        <v>-86.52347217</v>
      </c>
      <c r="AL163" s="81">
        <f t="shared" si="380"/>
        <v>-26.83668841</v>
      </c>
      <c r="AM163" s="81">
        <f t="shared" si="380"/>
        <v>19.25940983</v>
      </c>
      <c r="AN163" s="81">
        <f t="shared" si="380"/>
        <v>99.3581948</v>
      </c>
      <c r="AO163" s="81">
        <f t="shared" si="380"/>
        <v>-85.32048065</v>
      </c>
      <c r="AP163" s="81">
        <f t="shared" si="380"/>
        <v>-24.96790385</v>
      </c>
      <c r="AQ163" s="81">
        <f t="shared" si="380"/>
        <v>19.18294428</v>
      </c>
      <c r="AR163" s="81">
        <f t="shared" si="380"/>
        <v>118.7314161</v>
      </c>
      <c r="AS163" s="81">
        <f t="shared" si="380"/>
        <v>-95.31017793</v>
      </c>
      <c r="AT163" s="81">
        <f t="shared" si="380"/>
        <v>-28.24483561</v>
      </c>
      <c r="AU163" s="81">
        <f t="shared" si="380"/>
        <v>20.39252244</v>
      </c>
      <c r="AV163" s="81">
        <f t="shared" si="380"/>
        <v>129.4033007</v>
      </c>
      <c r="AW163" s="81">
        <f t="shared" si="380"/>
        <v>-104.139161</v>
      </c>
      <c r="AX163" s="81">
        <f t="shared" si="380"/>
        <v>-30.86127366</v>
      </c>
      <c r="AY163" s="81">
        <f t="shared" si="380"/>
        <v>22.28156766</v>
      </c>
      <c r="AZ163" s="81">
        <f t="shared" si="380"/>
        <v>141.3904733</v>
      </c>
      <c r="BA163" s="81">
        <f t="shared" si="380"/>
        <v>-113.78601</v>
      </c>
      <c r="BB163" s="81">
        <f t="shared" si="380"/>
        <v>-33.72008338</v>
      </c>
      <c r="BC163" s="81">
        <f t="shared" si="380"/>
        <v>24.34560309</v>
      </c>
      <c r="BD163" s="81">
        <f t="shared" si="380"/>
        <v>154.4880682</v>
      </c>
      <c r="BE163" s="81">
        <f t="shared" si="380"/>
        <v>-124.3264872</v>
      </c>
      <c r="BF163" s="81">
        <f t="shared" si="380"/>
        <v>-36.84371668</v>
      </c>
      <c r="BG163" s="81">
        <f t="shared" si="380"/>
        <v>26.60083881</v>
      </c>
      <c r="BH163" s="81">
        <f t="shared" si="380"/>
        <v>168.7989484</v>
      </c>
      <c r="BI163" s="81">
        <f t="shared" si="380"/>
        <v>-135.8433732</v>
      </c>
      <c r="BJ163" s="81">
        <f t="shared" si="380"/>
        <v>-40.25670529</v>
      </c>
      <c r="BK163" s="81">
        <f t="shared" si="380"/>
        <v>29.06498651</v>
      </c>
      <c r="BL163" s="81">
        <f t="shared" si="380"/>
        <v>184.4355057</v>
      </c>
      <c r="BM163" s="81">
        <f t="shared" si="380"/>
        <v>-148.4271168</v>
      </c>
      <c r="BN163" s="81">
        <f t="shared" si="380"/>
        <v>-43.9858534</v>
      </c>
      <c r="BO163" s="81">
        <f t="shared" si="380"/>
        <v>31.75739859</v>
      </c>
      <c r="BP163" s="81">
        <f t="shared" si="380"/>
        <v>201.5205432</v>
      </c>
      <c r="BQ163" s="81">
        <f t="shared" si="380"/>
        <v>-162.1765456</v>
      </c>
      <c r="BR163" s="81">
        <f t="shared" si="380"/>
        <v>-48.06044821</v>
      </c>
      <c r="BS163" s="81">
        <f t="shared" si="380"/>
        <v>34.69922014</v>
      </c>
      <c r="BT163" s="81">
        <f t="shared" si="380"/>
        <v>220.1882396</v>
      </c>
      <c r="BU163" s="81">
        <f t="shared" si="380"/>
        <v>-177.1996418</v>
      </c>
      <c r="BV163" s="81">
        <f t="shared" si="380"/>
        <v>-52.51248988</v>
      </c>
      <c r="BW163" s="81">
        <f t="shared" si="380"/>
        <v>37.913555</v>
      </c>
      <c r="BX163" s="6" t="s">
        <v>35</v>
      </c>
      <c r="BY163" s="81"/>
      <c r="BZ163" s="81">
        <f t="shared" ref="BZ163:CP163" si="381">BZ162-BY162</f>
        <v>-1.611</v>
      </c>
      <c r="CA163" s="81">
        <f t="shared" si="381"/>
        <v>-8.988</v>
      </c>
      <c r="CB163" s="81">
        <f t="shared" si="381"/>
        <v>14.593</v>
      </c>
      <c r="CC163" s="81">
        <f t="shared" si="381"/>
        <v>16.749</v>
      </c>
      <c r="CD163" s="81">
        <f t="shared" si="381"/>
        <v>33.99099994</v>
      </c>
      <c r="CE163" s="81">
        <f t="shared" si="381"/>
        <v>58.20000006</v>
      </c>
      <c r="CF163" s="81">
        <f t="shared" si="381"/>
        <v>20.891</v>
      </c>
      <c r="CG163" s="81">
        <f t="shared" si="381"/>
        <v>-27.11275075</v>
      </c>
      <c r="CH163" s="81">
        <f t="shared" si="381"/>
        <v>8.252754574</v>
      </c>
      <c r="CI163" s="81">
        <f t="shared" si="381"/>
        <v>15.56892496</v>
      </c>
      <c r="CJ163" s="81">
        <f t="shared" si="381"/>
        <v>16.68443369</v>
      </c>
      <c r="CK163" s="81">
        <f t="shared" si="381"/>
        <v>18.22998303</v>
      </c>
      <c r="CL163" s="81">
        <f t="shared" si="381"/>
        <v>19.91870312</v>
      </c>
      <c r="CM163" s="81">
        <f t="shared" si="381"/>
        <v>21.76385646</v>
      </c>
      <c r="CN163" s="81">
        <f t="shared" si="381"/>
        <v>23.77993412</v>
      </c>
      <c r="CO163" s="81">
        <f t="shared" si="381"/>
        <v>25.98276954</v>
      </c>
      <c r="CP163" s="81">
        <f t="shared" si="381"/>
        <v>28.38966288</v>
      </c>
      <c r="CQ163" s="6" t="s">
        <v>35</v>
      </c>
    </row>
    <row r="164" ht="14.25" customHeight="1">
      <c r="A164" s="9"/>
      <c r="B164" s="10" t="s">
        <v>47</v>
      </c>
      <c r="C164" s="9" t="s">
        <v>42</v>
      </c>
      <c r="D164" s="82">
        <f t="shared" ref="D164:BW164" si="382">D162/D11</f>
        <v>0.7350263903</v>
      </c>
      <c r="E164" s="82">
        <f t="shared" si="382"/>
        <v>0.5981379336</v>
      </c>
      <c r="F164" s="82">
        <f t="shared" si="382"/>
        <v>0.5959543315</v>
      </c>
      <c r="G164" s="82">
        <f t="shared" si="382"/>
        <v>0.7207530712</v>
      </c>
      <c r="H164" s="82">
        <f t="shared" si="382"/>
        <v>0.61881045</v>
      </c>
      <c r="I164" s="82">
        <f t="shared" si="382"/>
        <v>0.4278870099</v>
      </c>
      <c r="J164" s="82">
        <f t="shared" si="382"/>
        <v>0.4794952681</v>
      </c>
      <c r="K164" s="82">
        <f t="shared" si="382"/>
        <v>0.5517709448</v>
      </c>
      <c r="L164" s="82">
        <f t="shared" si="382"/>
        <v>0.5548986486</v>
      </c>
      <c r="M164" s="82">
        <f t="shared" si="382"/>
        <v>0.4227416285</v>
      </c>
      <c r="N164" s="82">
        <f t="shared" si="382"/>
        <v>0.4104089568</v>
      </c>
      <c r="O164" s="82">
        <f t="shared" si="382"/>
        <v>0.443496268</v>
      </c>
      <c r="P164" s="82">
        <f t="shared" si="382"/>
        <v>0.8622507803</v>
      </c>
      <c r="Q164" s="82">
        <f t="shared" si="382"/>
        <v>0.9313701075</v>
      </c>
      <c r="R164" s="82">
        <f t="shared" si="382"/>
        <v>0.922775275</v>
      </c>
      <c r="S164" s="82">
        <f t="shared" si="382"/>
        <v>0.7869061958</v>
      </c>
      <c r="T164" s="82">
        <f t="shared" si="382"/>
        <v>0.7940107852</v>
      </c>
      <c r="U164" s="82">
        <f t="shared" si="382"/>
        <v>0.6647448083</v>
      </c>
      <c r="V164" s="82">
        <f t="shared" si="382"/>
        <v>0.5112839145</v>
      </c>
      <c r="W164" s="82">
        <f t="shared" si="382"/>
        <v>0.5879942806</v>
      </c>
      <c r="X164" s="82">
        <f t="shared" si="382"/>
        <v>0.5480322999</v>
      </c>
      <c r="Y164" s="82">
        <f t="shared" si="382"/>
        <v>0.4524089118</v>
      </c>
      <c r="Z164" s="82">
        <f t="shared" si="382"/>
        <v>0.4259567125</v>
      </c>
      <c r="AA164" s="82">
        <f t="shared" si="382"/>
        <v>0.424330316</v>
      </c>
      <c r="AB164" s="82">
        <f t="shared" si="382"/>
        <v>0.4938780247</v>
      </c>
      <c r="AC164" s="82">
        <f t="shared" si="382"/>
        <v>0.6406822245</v>
      </c>
      <c r="AD164" s="82">
        <f t="shared" si="382"/>
        <v>0.4394122481</v>
      </c>
      <c r="AE164" s="82">
        <f t="shared" si="382"/>
        <v>0.5757554286</v>
      </c>
      <c r="AF164" s="82">
        <f t="shared" si="382"/>
        <v>0.73563861</v>
      </c>
      <c r="AG164" s="82">
        <f t="shared" si="382"/>
        <v>0.7014323297</v>
      </c>
      <c r="AH164" s="82">
        <f t="shared" si="382"/>
        <v>0.4611970174</v>
      </c>
      <c r="AI164" s="82">
        <f t="shared" si="382"/>
        <v>0.4369908481</v>
      </c>
      <c r="AJ164" s="82">
        <f t="shared" si="382"/>
        <v>0.6788488389</v>
      </c>
      <c r="AK164" s="82">
        <f t="shared" si="382"/>
        <v>0.4622045308</v>
      </c>
      <c r="AL164" s="82">
        <f t="shared" si="382"/>
        <v>0.3815055095</v>
      </c>
      <c r="AM164" s="82">
        <f t="shared" si="382"/>
        <v>0.3817689771</v>
      </c>
      <c r="AN164" s="82">
        <f t="shared" si="382"/>
        <v>0.6641065333</v>
      </c>
      <c r="AO164" s="82">
        <f t="shared" si="382"/>
        <v>0.4421330083</v>
      </c>
      <c r="AP164" s="82">
        <f t="shared" si="382"/>
        <v>0.3614191342</v>
      </c>
      <c r="AQ164" s="82">
        <f t="shared" si="382"/>
        <v>0.3615545541</v>
      </c>
      <c r="AR164" s="82">
        <f t="shared" si="382"/>
        <v>0.6652307512</v>
      </c>
      <c r="AS164" s="82">
        <f t="shared" si="382"/>
        <v>0.4432587571</v>
      </c>
      <c r="AT164" s="82">
        <f t="shared" si="382"/>
        <v>0.3625630447</v>
      </c>
      <c r="AU164" s="82">
        <f t="shared" si="382"/>
        <v>0.3622115759</v>
      </c>
      <c r="AV164" s="82">
        <f t="shared" si="382"/>
        <v>0.6652307512</v>
      </c>
      <c r="AW164" s="82">
        <f t="shared" si="382"/>
        <v>0.4432587571</v>
      </c>
      <c r="AX164" s="82">
        <f t="shared" si="382"/>
        <v>0.3625630447</v>
      </c>
      <c r="AY164" s="82">
        <f t="shared" si="382"/>
        <v>0.3622115759</v>
      </c>
      <c r="AZ164" s="82">
        <f t="shared" si="382"/>
        <v>0.6652307512</v>
      </c>
      <c r="BA164" s="82">
        <f t="shared" si="382"/>
        <v>0.4432587571</v>
      </c>
      <c r="BB164" s="82">
        <f t="shared" si="382"/>
        <v>0.3625630447</v>
      </c>
      <c r="BC164" s="82">
        <f t="shared" si="382"/>
        <v>0.3622115759</v>
      </c>
      <c r="BD164" s="82">
        <f t="shared" si="382"/>
        <v>0.6652307512</v>
      </c>
      <c r="BE164" s="82">
        <f t="shared" si="382"/>
        <v>0.4432587571</v>
      </c>
      <c r="BF164" s="82">
        <f t="shared" si="382"/>
        <v>0.3625630447</v>
      </c>
      <c r="BG164" s="82">
        <f t="shared" si="382"/>
        <v>0.3622115759</v>
      </c>
      <c r="BH164" s="82">
        <f t="shared" si="382"/>
        <v>0.6652307512</v>
      </c>
      <c r="BI164" s="82">
        <f t="shared" si="382"/>
        <v>0.4432587571</v>
      </c>
      <c r="BJ164" s="82">
        <f t="shared" si="382"/>
        <v>0.3625630447</v>
      </c>
      <c r="BK164" s="82">
        <f t="shared" si="382"/>
        <v>0.3622115759</v>
      </c>
      <c r="BL164" s="82">
        <f t="shared" si="382"/>
        <v>0.6652307512</v>
      </c>
      <c r="BM164" s="82">
        <f t="shared" si="382"/>
        <v>0.4432587571</v>
      </c>
      <c r="BN164" s="82">
        <f t="shared" si="382"/>
        <v>0.3625630447</v>
      </c>
      <c r="BO164" s="82">
        <f t="shared" si="382"/>
        <v>0.3622115759</v>
      </c>
      <c r="BP164" s="82">
        <f t="shared" si="382"/>
        <v>0.6652307512</v>
      </c>
      <c r="BQ164" s="82">
        <f t="shared" si="382"/>
        <v>0.4432587571</v>
      </c>
      <c r="BR164" s="82">
        <f t="shared" si="382"/>
        <v>0.3625630447</v>
      </c>
      <c r="BS164" s="82">
        <f t="shared" si="382"/>
        <v>0.3622115759</v>
      </c>
      <c r="BT164" s="82">
        <f t="shared" si="382"/>
        <v>0.6652307512</v>
      </c>
      <c r="BU164" s="82">
        <f t="shared" si="382"/>
        <v>0.4432587571</v>
      </c>
      <c r="BV164" s="82">
        <f t="shared" si="382"/>
        <v>0.3625630447</v>
      </c>
      <c r="BW164" s="82">
        <f t="shared" si="382"/>
        <v>0.3622115759</v>
      </c>
      <c r="BX164" s="6" t="s">
        <v>35</v>
      </c>
      <c r="BY164" s="82">
        <f t="shared" ref="BY164:CP164" si="383">BY162/BY11</f>
        <v>0.2096261342</v>
      </c>
      <c r="BZ164" s="82">
        <f t="shared" si="383"/>
        <v>0.1465787793</v>
      </c>
      <c r="CA164" s="82">
        <f t="shared" si="383"/>
        <v>0.1118091173</v>
      </c>
      <c r="CB164" s="82">
        <f t="shared" si="383"/>
        <v>0.2211730997</v>
      </c>
      <c r="CC164" s="82">
        <f t="shared" si="383"/>
        <v>0.162348981</v>
      </c>
      <c r="CD164" s="82">
        <f t="shared" si="383"/>
        <v>0.1282258996</v>
      </c>
      <c r="CE164" s="82">
        <f t="shared" si="383"/>
        <v>0.1553033706</v>
      </c>
      <c r="CF164" s="82">
        <f t="shared" si="383"/>
        <v>0.1486167609</v>
      </c>
      <c r="CG164" s="82">
        <f t="shared" si="383"/>
        <v>0.1047556463</v>
      </c>
      <c r="CH164" s="82">
        <f t="shared" si="383"/>
        <v>0.1011026752</v>
      </c>
      <c r="CI164" s="82">
        <f t="shared" si="383"/>
        <v>0.1007526144</v>
      </c>
      <c r="CJ164" s="82">
        <f t="shared" si="383"/>
        <v>0.1007526144</v>
      </c>
      <c r="CK164" s="82">
        <f t="shared" si="383"/>
        <v>0.1007526144</v>
      </c>
      <c r="CL164" s="82">
        <f t="shared" si="383"/>
        <v>0.1007526144</v>
      </c>
      <c r="CM164" s="82">
        <f t="shared" si="383"/>
        <v>0.1007526144</v>
      </c>
      <c r="CN164" s="82">
        <f t="shared" si="383"/>
        <v>0.1007526144</v>
      </c>
      <c r="CO164" s="82">
        <f t="shared" si="383"/>
        <v>0.1007526144</v>
      </c>
      <c r="CP164" s="82">
        <f t="shared" si="383"/>
        <v>0.1007526144</v>
      </c>
      <c r="CQ164" s="6" t="s">
        <v>35</v>
      </c>
    </row>
    <row r="165" ht="14.25" customHeight="1">
      <c r="A165" s="9"/>
      <c r="B165" s="10"/>
      <c r="C165" s="9"/>
      <c r="BX165" s="6" t="s">
        <v>35</v>
      </c>
      <c r="CQ165" s="6" t="s">
        <v>35</v>
      </c>
    </row>
    <row r="166" ht="14.25" customHeight="1">
      <c r="A166" s="9"/>
      <c r="B166" s="10"/>
      <c r="C166" s="9"/>
      <c r="BX166" s="6" t="s">
        <v>35</v>
      </c>
      <c r="CQ166" s="6" t="s">
        <v>35</v>
      </c>
    </row>
    <row r="167" ht="14.25" customHeight="1">
      <c r="A167" s="9"/>
      <c r="B167" s="83" t="s">
        <v>105</v>
      </c>
      <c r="C167" s="84" t="s">
        <v>39</v>
      </c>
      <c r="D167" s="85">
        <f t="shared" ref="D167:BW167" si="384">+D170+D174+D178</f>
        <v>54.895</v>
      </c>
      <c r="E167" s="85">
        <f t="shared" si="384"/>
        <v>51.59</v>
      </c>
      <c r="F167" s="85">
        <f t="shared" si="384"/>
        <v>70.217</v>
      </c>
      <c r="G167" s="85">
        <f t="shared" si="384"/>
        <v>80.719</v>
      </c>
      <c r="H167" s="85">
        <f t="shared" si="384"/>
        <v>89.726</v>
      </c>
      <c r="I167" s="85">
        <f t="shared" si="384"/>
        <v>86.278</v>
      </c>
      <c r="J167" s="85">
        <f t="shared" si="384"/>
        <v>86.606</v>
      </c>
      <c r="K167" s="85">
        <f t="shared" si="384"/>
        <v>93.878</v>
      </c>
      <c r="L167" s="85">
        <f t="shared" si="384"/>
        <v>97.474</v>
      </c>
      <c r="M167" s="85">
        <f t="shared" si="384"/>
        <v>91.728</v>
      </c>
      <c r="N167" s="85">
        <f t="shared" si="384"/>
        <v>87.085</v>
      </c>
      <c r="O167" s="85">
        <f t="shared" si="384"/>
        <v>78.321</v>
      </c>
      <c r="P167" s="85">
        <f t="shared" si="384"/>
        <v>96.112</v>
      </c>
      <c r="Q167" s="85">
        <f t="shared" si="384"/>
        <v>79.84</v>
      </c>
      <c r="R167" s="85">
        <f t="shared" si="384"/>
        <v>83.484</v>
      </c>
      <c r="S167" s="85">
        <f t="shared" si="384"/>
        <v>87.148</v>
      </c>
      <c r="T167" s="85">
        <f t="shared" si="384"/>
        <v>102.004</v>
      </c>
      <c r="U167" s="85">
        <f t="shared" si="384"/>
        <v>124.648</v>
      </c>
      <c r="V167" s="85">
        <f t="shared" si="384"/>
        <v>123.029</v>
      </c>
      <c r="W167" s="85">
        <f t="shared" si="384"/>
        <v>125.132</v>
      </c>
      <c r="X167" s="85">
        <f t="shared" si="384"/>
        <v>137.724</v>
      </c>
      <c r="Y167" s="85">
        <f t="shared" si="384"/>
        <v>177.872</v>
      </c>
      <c r="Z167" s="85">
        <f t="shared" si="384"/>
        <v>227.158</v>
      </c>
      <c r="AA167" s="85">
        <f t="shared" si="384"/>
        <v>223.026</v>
      </c>
      <c r="AB167" s="85">
        <f t="shared" si="384"/>
        <v>245.288</v>
      </c>
      <c r="AC167" s="85">
        <f t="shared" si="384"/>
        <v>294.572</v>
      </c>
      <c r="AD167" s="85">
        <f t="shared" si="384"/>
        <v>258.634</v>
      </c>
      <c r="AE167" s="85">
        <f t="shared" si="384"/>
        <v>296.765</v>
      </c>
      <c r="AF167" s="85">
        <f t="shared" si="384"/>
        <v>265.235</v>
      </c>
      <c r="AG167" s="85">
        <f t="shared" si="384"/>
        <v>256.332</v>
      </c>
      <c r="AH167" s="85">
        <f t="shared" si="384"/>
        <v>387.907</v>
      </c>
      <c r="AI167" s="85">
        <f t="shared" si="384"/>
        <v>345.348</v>
      </c>
      <c r="AJ167" s="85">
        <f t="shared" si="384"/>
        <v>414.315</v>
      </c>
      <c r="AK167" s="85">
        <f t="shared" si="384"/>
        <v>368.6618696</v>
      </c>
      <c r="AL167" s="85">
        <f t="shared" si="384"/>
        <v>343.0587109</v>
      </c>
      <c r="AM167" s="85">
        <f t="shared" si="384"/>
        <v>337.0706833</v>
      </c>
      <c r="AN167" s="85">
        <f t="shared" si="384"/>
        <v>423.8360557</v>
      </c>
      <c r="AO167" s="85">
        <f t="shared" si="384"/>
        <v>392.1092073</v>
      </c>
      <c r="AP167" s="85">
        <f t="shared" si="384"/>
        <v>375.2987444</v>
      </c>
      <c r="AQ167" s="85">
        <f t="shared" si="384"/>
        <v>364.7069364</v>
      </c>
      <c r="AR167" s="85">
        <f t="shared" si="384"/>
        <v>468.8205095</v>
      </c>
      <c r="AS167" s="85">
        <f t="shared" si="384"/>
        <v>431.5841471</v>
      </c>
      <c r="AT167" s="85">
        <f t="shared" si="384"/>
        <v>411.0565137</v>
      </c>
      <c r="AU167" s="85">
        <f t="shared" si="384"/>
        <v>398.4792611</v>
      </c>
      <c r="AV167" s="85">
        <f t="shared" si="384"/>
        <v>512.2493272</v>
      </c>
      <c r="AW167" s="85">
        <f t="shared" si="384"/>
        <v>471.5636038</v>
      </c>
      <c r="AX167" s="85">
        <f t="shared" si="384"/>
        <v>449.1344093</v>
      </c>
      <c r="AY167" s="85">
        <f t="shared" si="384"/>
        <v>435.3920728</v>
      </c>
      <c r="AZ167" s="85">
        <f t="shared" si="384"/>
        <v>559.7011392</v>
      </c>
      <c r="BA167" s="85">
        <f t="shared" si="384"/>
        <v>515.246526</v>
      </c>
      <c r="BB167" s="85">
        <f t="shared" si="384"/>
        <v>490.7396207</v>
      </c>
      <c r="BC167" s="85">
        <f t="shared" si="384"/>
        <v>475.7242738</v>
      </c>
      <c r="BD167" s="85">
        <f t="shared" si="384"/>
        <v>611.5486124</v>
      </c>
      <c r="BE167" s="85">
        <f t="shared" si="384"/>
        <v>562.9759811</v>
      </c>
      <c r="BF167" s="85">
        <f t="shared" si="384"/>
        <v>536.198898</v>
      </c>
      <c r="BG167" s="85">
        <f t="shared" si="384"/>
        <v>519.7926163</v>
      </c>
      <c r="BH167" s="85">
        <f t="shared" si="384"/>
        <v>668.1989353</v>
      </c>
      <c r="BI167" s="85">
        <f t="shared" si="384"/>
        <v>615.1268166</v>
      </c>
      <c r="BJ167" s="85">
        <f t="shared" si="384"/>
        <v>585.8692596</v>
      </c>
      <c r="BK167" s="85">
        <f t="shared" si="384"/>
        <v>567.9431949</v>
      </c>
      <c r="BL167" s="85">
        <f t="shared" si="384"/>
        <v>730.0970161</v>
      </c>
      <c r="BM167" s="85">
        <f t="shared" si="384"/>
        <v>672.1086037</v>
      </c>
      <c r="BN167" s="85">
        <f t="shared" si="384"/>
        <v>640.1407959</v>
      </c>
      <c r="BO167" s="85">
        <f t="shared" si="384"/>
        <v>620.5541644</v>
      </c>
      <c r="BP167" s="85">
        <f t="shared" si="384"/>
        <v>797.7289768</v>
      </c>
      <c r="BQ167" s="85">
        <f t="shared" si="384"/>
        <v>734.3688535</v>
      </c>
      <c r="BR167" s="85">
        <f t="shared" si="384"/>
        <v>699.4397332</v>
      </c>
      <c r="BS167" s="85">
        <f t="shared" si="384"/>
        <v>678.0387095</v>
      </c>
      <c r="BT167" s="85">
        <f t="shared" si="384"/>
        <v>871.6259708</v>
      </c>
      <c r="BU167" s="85">
        <f t="shared" si="384"/>
        <v>802.3965325</v>
      </c>
      <c r="BV167" s="85">
        <f t="shared" si="384"/>
        <v>764.2317806</v>
      </c>
      <c r="BW167" s="85">
        <f t="shared" si="384"/>
        <v>740.84829</v>
      </c>
      <c r="BX167" s="6" t="s">
        <v>35</v>
      </c>
      <c r="BY167" s="85">
        <f t="shared" ref="BY167:CP167" si="385">+BY170+BY174+BY178</f>
        <v>80.719</v>
      </c>
      <c r="BZ167" s="85">
        <f t="shared" si="385"/>
        <v>93.878</v>
      </c>
      <c r="CA167" s="85">
        <f t="shared" si="385"/>
        <v>78.321</v>
      </c>
      <c r="CB167" s="85">
        <f t="shared" si="385"/>
        <v>87.148</v>
      </c>
      <c r="CC167" s="85">
        <f t="shared" si="385"/>
        <v>125.132</v>
      </c>
      <c r="CD167" s="85">
        <f t="shared" si="385"/>
        <v>223.026</v>
      </c>
      <c r="CE167" s="85">
        <f t="shared" si="385"/>
        <v>296.765</v>
      </c>
      <c r="CF167" s="85">
        <f t="shared" si="385"/>
        <v>345.348</v>
      </c>
      <c r="CG167" s="85">
        <f t="shared" si="385"/>
        <v>337.0706833</v>
      </c>
      <c r="CH167" s="85">
        <f t="shared" si="385"/>
        <v>364.7069364</v>
      </c>
      <c r="CI167" s="85">
        <f t="shared" si="385"/>
        <v>398.4792611</v>
      </c>
      <c r="CJ167" s="85">
        <f t="shared" si="385"/>
        <v>435.3920728</v>
      </c>
      <c r="CK167" s="85">
        <f t="shared" si="385"/>
        <v>475.7242738</v>
      </c>
      <c r="CL167" s="85">
        <f t="shared" si="385"/>
        <v>519.7926163</v>
      </c>
      <c r="CM167" s="85">
        <f t="shared" si="385"/>
        <v>567.9431949</v>
      </c>
      <c r="CN167" s="85">
        <f t="shared" si="385"/>
        <v>620.5541644</v>
      </c>
      <c r="CO167" s="85">
        <f t="shared" si="385"/>
        <v>678.0387095</v>
      </c>
      <c r="CP167" s="85">
        <f t="shared" si="385"/>
        <v>740.84829</v>
      </c>
      <c r="CQ167" s="6" t="s">
        <v>35</v>
      </c>
    </row>
    <row r="168" ht="14.25" customHeight="1">
      <c r="A168" s="9"/>
      <c r="B168" s="10" t="s">
        <v>106</v>
      </c>
      <c r="C168" s="9"/>
      <c r="BX168" s="6" t="s">
        <v>35</v>
      </c>
      <c r="BZ168" s="81">
        <f t="shared" ref="BZ168:CP168" si="386">BZ167-BY167</f>
        <v>13.159</v>
      </c>
      <c r="CA168" s="81">
        <f t="shared" si="386"/>
        <v>-15.557</v>
      </c>
      <c r="CB168" s="81">
        <f t="shared" si="386"/>
        <v>8.827</v>
      </c>
      <c r="CC168" s="81">
        <f t="shared" si="386"/>
        <v>37.984</v>
      </c>
      <c r="CD168" s="81">
        <f t="shared" si="386"/>
        <v>97.894</v>
      </c>
      <c r="CE168" s="81">
        <f t="shared" si="386"/>
        <v>73.739</v>
      </c>
      <c r="CF168" s="81">
        <f t="shared" si="386"/>
        <v>48.583</v>
      </c>
      <c r="CG168" s="81">
        <f t="shared" si="386"/>
        <v>-8.277316652</v>
      </c>
      <c r="CH168" s="81">
        <f t="shared" si="386"/>
        <v>27.63625309</v>
      </c>
      <c r="CI168" s="81">
        <f t="shared" si="386"/>
        <v>33.77232465</v>
      </c>
      <c r="CJ168" s="81">
        <f t="shared" si="386"/>
        <v>36.91281175</v>
      </c>
      <c r="CK168" s="81">
        <f t="shared" si="386"/>
        <v>40.33220093</v>
      </c>
      <c r="CL168" s="81">
        <f t="shared" si="386"/>
        <v>44.06834252</v>
      </c>
      <c r="CM168" s="81">
        <f t="shared" si="386"/>
        <v>48.15057863</v>
      </c>
      <c r="CN168" s="81">
        <f t="shared" si="386"/>
        <v>52.61096947</v>
      </c>
      <c r="CO168" s="81">
        <f t="shared" si="386"/>
        <v>57.48454509</v>
      </c>
      <c r="CP168" s="81">
        <f t="shared" si="386"/>
        <v>62.80958054</v>
      </c>
      <c r="CQ168" s="6" t="s">
        <v>35</v>
      </c>
    </row>
    <row r="169" ht="14.25" customHeight="1">
      <c r="A169" s="9"/>
      <c r="B169" s="10"/>
      <c r="C169" s="9"/>
      <c r="BX169" s="6" t="s">
        <v>35</v>
      </c>
      <c r="CQ169" s="6" t="s">
        <v>35</v>
      </c>
    </row>
    <row r="170" ht="14.25" customHeight="1">
      <c r="A170" s="9"/>
      <c r="B170" s="59" t="s">
        <v>69</v>
      </c>
      <c r="C170" s="86" t="s">
        <v>39</v>
      </c>
      <c r="D170" s="87">
        <f t="shared" ref="D170:AJ170" si="387">D62</f>
        <v>49.519</v>
      </c>
      <c r="E170" s="87">
        <f t="shared" si="387"/>
        <v>44.691</v>
      </c>
      <c r="F170" s="87">
        <f t="shared" si="387"/>
        <v>58.978</v>
      </c>
      <c r="G170" s="87">
        <f t="shared" si="387"/>
        <v>67.184</v>
      </c>
      <c r="H170" s="87">
        <f t="shared" si="387"/>
        <v>76.973</v>
      </c>
      <c r="I170" s="87">
        <f t="shared" si="387"/>
        <v>70.422</v>
      </c>
      <c r="J170" s="87">
        <f t="shared" si="387"/>
        <v>66.556</v>
      </c>
      <c r="K170" s="87">
        <f t="shared" si="387"/>
        <v>69.815</v>
      </c>
      <c r="L170" s="87">
        <f t="shared" si="387"/>
        <v>71.528</v>
      </c>
      <c r="M170" s="87">
        <f t="shared" si="387"/>
        <v>65.509</v>
      </c>
      <c r="N170" s="87">
        <f t="shared" si="387"/>
        <v>60.125</v>
      </c>
      <c r="O170" s="87">
        <f t="shared" si="387"/>
        <v>52.607</v>
      </c>
      <c r="P170" s="87">
        <f t="shared" si="387"/>
        <v>69.492</v>
      </c>
      <c r="Q170" s="87">
        <f t="shared" si="387"/>
        <v>51.624</v>
      </c>
      <c r="R170" s="87">
        <f t="shared" si="387"/>
        <v>54.726</v>
      </c>
      <c r="S170" s="87">
        <f t="shared" si="387"/>
        <v>63.078</v>
      </c>
      <c r="T170" s="87">
        <f t="shared" si="387"/>
        <v>79.141</v>
      </c>
      <c r="U170" s="87">
        <f t="shared" si="387"/>
        <v>103.303</v>
      </c>
      <c r="V170" s="87">
        <f t="shared" si="387"/>
        <v>105.848</v>
      </c>
      <c r="W170" s="87">
        <f t="shared" si="387"/>
        <v>108.811</v>
      </c>
      <c r="X170" s="87">
        <f t="shared" si="387"/>
        <v>122.12</v>
      </c>
      <c r="Y170" s="87">
        <f t="shared" si="387"/>
        <v>159.082</v>
      </c>
      <c r="Z170" s="87">
        <f t="shared" si="387"/>
        <v>205.139</v>
      </c>
      <c r="AA170" s="87">
        <f t="shared" si="387"/>
        <v>205.273</v>
      </c>
      <c r="AB170" s="87">
        <f t="shared" si="387"/>
        <v>226.922</v>
      </c>
      <c r="AC170" s="87">
        <f t="shared" si="387"/>
        <v>271.795</v>
      </c>
      <c r="AD170" s="87">
        <f t="shared" si="387"/>
        <v>232.718</v>
      </c>
      <c r="AE170" s="87">
        <f t="shared" si="387"/>
        <v>276.728</v>
      </c>
      <c r="AF170" s="87">
        <f t="shared" si="387"/>
        <v>239.246</v>
      </c>
      <c r="AG170" s="87">
        <f t="shared" si="387"/>
        <v>223.53</v>
      </c>
      <c r="AH170" s="87">
        <f t="shared" si="387"/>
        <v>356.208</v>
      </c>
      <c r="AI170" s="87">
        <f t="shared" si="387"/>
        <v>319.533</v>
      </c>
      <c r="AJ170" s="87">
        <f t="shared" si="387"/>
        <v>380.24</v>
      </c>
      <c r="AK170" s="87">
        <f t="shared" ref="AK170:BW170" si="388">(AK171*AK$11)/($D$197/4)</f>
        <v>312.2686394</v>
      </c>
      <c r="AL170" s="87">
        <f t="shared" si="388"/>
        <v>314.0157137</v>
      </c>
      <c r="AM170" s="87">
        <f t="shared" si="388"/>
        <v>311.682531</v>
      </c>
      <c r="AN170" s="87">
        <f t="shared" si="388"/>
        <v>388.4047274</v>
      </c>
      <c r="AO170" s="87">
        <f t="shared" si="388"/>
        <v>330.8711853</v>
      </c>
      <c r="AP170" s="87">
        <f t="shared" si="388"/>
        <v>342.8003816</v>
      </c>
      <c r="AQ170" s="87">
        <f t="shared" si="388"/>
        <v>336.5122885</v>
      </c>
      <c r="AR170" s="87">
        <f t="shared" si="388"/>
        <v>429.649503</v>
      </c>
      <c r="AS170" s="87">
        <f t="shared" si="388"/>
        <v>364.2034751</v>
      </c>
      <c r="AT170" s="87">
        <f t="shared" si="388"/>
        <v>375.4756401</v>
      </c>
      <c r="AU170" s="87">
        <f t="shared" si="388"/>
        <v>367.6848387</v>
      </c>
      <c r="AV170" s="87">
        <f t="shared" si="388"/>
        <v>469.4497455</v>
      </c>
      <c r="AW170" s="87">
        <f t="shared" si="388"/>
        <v>397.9411765</v>
      </c>
      <c r="AX170" s="87">
        <f t="shared" si="388"/>
        <v>410.2575295</v>
      </c>
      <c r="AY170" s="87">
        <f t="shared" si="388"/>
        <v>401.7450334</v>
      </c>
      <c r="AZ170" s="87">
        <f t="shared" si="388"/>
        <v>512.936852</v>
      </c>
      <c r="BA170" s="87">
        <f t="shared" si="388"/>
        <v>434.8041432</v>
      </c>
      <c r="BB170" s="87">
        <f t="shared" si="388"/>
        <v>448.2614119</v>
      </c>
      <c r="BC170" s="87">
        <f t="shared" si="388"/>
        <v>438.9603674</v>
      </c>
      <c r="BD170" s="87">
        <f t="shared" si="388"/>
        <v>560.4523523</v>
      </c>
      <c r="BE170" s="87">
        <f t="shared" si="388"/>
        <v>475.0818817</v>
      </c>
      <c r="BF170" s="87">
        <f t="shared" si="388"/>
        <v>489.7857539</v>
      </c>
      <c r="BG170" s="87">
        <f t="shared" si="388"/>
        <v>479.6231145</v>
      </c>
      <c r="BH170" s="87">
        <f t="shared" si="388"/>
        <v>612.3694135</v>
      </c>
      <c r="BI170" s="87">
        <f t="shared" si="388"/>
        <v>519.0907168</v>
      </c>
      <c r="BJ170" s="87">
        <f t="shared" si="388"/>
        <v>535.1566705</v>
      </c>
      <c r="BK170" s="87">
        <f t="shared" si="388"/>
        <v>524.0526231</v>
      </c>
      <c r="BL170" s="87">
        <f t="shared" si="388"/>
        <v>669.0957706</v>
      </c>
      <c r="BM170" s="87">
        <f t="shared" si="388"/>
        <v>567.1762755</v>
      </c>
      <c r="BN170" s="87">
        <f t="shared" si="388"/>
        <v>584.7304862</v>
      </c>
      <c r="BO170" s="87">
        <f t="shared" si="388"/>
        <v>572.5978241</v>
      </c>
      <c r="BP170" s="87">
        <f t="shared" si="388"/>
        <v>731.0769291</v>
      </c>
      <c r="BQ170" s="87">
        <f t="shared" si="388"/>
        <v>619.716202</v>
      </c>
      <c r="BR170" s="87">
        <f t="shared" si="388"/>
        <v>638.8965331</v>
      </c>
      <c r="BS170" s="87">
        <f t="shared" si="388"/>
        <v>625.6399714</v>
      </c>
      <c r="BT170" s="87">
        <f t="shared" si="388"/>
        <v>798.7996633</v>
      </c>
      <c r="BU170" s="87">
        <f t="shared" si="388"/>
        <v>677.1231231</v>
      </c>
      <c r="BV170" s="87">
        <f t="shared" si="388"/>
        <v>698.080209</v>
      </c>
      <c r="BW170" s="87">
        <f t="shared" si="388"/>
        <v>683.5956362</v>
      </c>
      <c r="BX170" s="6" t="s">
        <v>35</v>
      </c>
      <c r="BY170" s="87">
        <f t="shared" ref="BY170:CP170" si="389">BY62</f>
        <v>67.184</v>
      </c>
      <c r="BZ170" s="87">
        <f t="shared" si="389"/>
        <v>69.815</v>
      </c>
      <c r="CA170" s="87">
        <f t="shared" si="389"/>
        <v>52.607</v>
      </c>
      <c r="CB170" s="87">
        <f t="shared" si="389"/>
        <v>63.078</v>
      </c>
      <c r="CC170" s="87">
        <f t="shared" si="389"/>
        <v>108.811</v>
      </c>
      <c r="CD170" s="87">
        <f t="shared" si="389"/>
        <v>205.273</v>
      </c>
      <c r="CE170" s="87">
        <f t="shared" si="389"/>
        <v>276.728</v>
      </c>
      <c r="CF170" s="87">
        <f t="shared" si="389"/>
        <v>319.533</v>
      </c>
      <c r="CG170" s="87">
        <f t="shared" si="389"/>
        <v>311.682531</v>
      </c>
      <c r="CH170" s="87">
        <f t="shared" si="389"/>
        <v>336.5122885</v>
      </c>
      <c r="CI170" s="87">
        <f t="shared" si="389"/>
        <v>367.6848387</v>
      </c>
      <c r="CJ170" s="87">
        <f t="shared" si="389"/>
        <v>401.7450334</v>
      </c>
      <c r="CK170" s="87">
        <f t="shared" si="389"/>
        <v>438.9603674</v>
      </c>
      <c r="CL170" s="87">
        <f t="shared" si="389"/>
        <v>479.6231145</v>
      </c>
      <c r="CM170" s="87">
        <f t="shared" si="389"/>
        <v>524.0526231</v>
      </c>
      <c r="CN170" s="87">
        <f t="shared" si="389"/>
        <v>572.5978241</v>
      </c>
      <c r="CO170" s="87">
        <f t="shared" si="389"/>
        <v>625.6399714</v>
      </c>
      <c r="CP170" s="87">
        <f t="shared" si="389"/>
        <v>683.5956362</v>
      </c>
      <c r="CQ170" s="6" t="s">
        <v>35</v>
      </c>
    </row>
    <row r="171" ht="14.25" customHeight="1">
      <c r="A171" s="9"/>
      <c r="B171" s="10" t="s">
        <v>107</v>
      </c>
      <c r="C171" s="9" t="s">
        <v>108</v>
      </c>
      <c r="D171" s="81">
        <f t="shared" ref="D171:AJ171" si="390">D170/D$11*($D$197/4)</f>
        <v>86.41109061</v>
      </c>
      <c r="E171" s="81">
        <f t="shared" si="390"/>
        <v>75.48317014</v>
      </c>
      <c r="F171" s="81">
        <f t="shared" si="390"/>
        <v>87.65195687</v>
      </c>
      <c r="G171" s="81">
        <f t="shared" si="390"/>
        <v>89.12611761</v>
      </c>
      <c r="H171" s="81">
        <f t="shared" si="390"/>
        <v>92.30164858</v>
      </c>
      <c r="I171" s="81">
        <f t="shared" si="390"/>
        <v>76.20434386</v>
      </c>
      <c r="J171" s="81">
        <f t="shared" si="390"/>
        <v>76.02567473</v>
      </c>
      <c r="K171" s="81">
        <f t="shared" si="390"/>
        <v>73.28362437</v>
      </c>
      <c r="L171" s="81">
        <f t="shared" si="390"/>
        <v>78.75156853</v>
      </c>
      <c r="M171" s="81">
        <f t="shared" si="390"/>
        <v>64.65449782</v>
      </c>
      <c r="N171" s="81">
        <f t="shared" si="390"/>
        <v>64.25266138</v>
      </c>
      <c r="O171" s="81">
        <f t="shared" si="390"/>
        <v>54.61938774</v>
      </c>
      <c r="P171" s="81">
        <f t="shared" si="390"/>
        <v>89.15869914</v>
      </c>
      <c r="Q171" s="81">
        <f t="shared" si="390"/>
        <v>97.76055286</v>
      </c>
      <c r="R171" s="81">
        <f t="shared" si="390"/>
        <v>91.08190308</v>
      </c>
      <c r="S171" s="81">
        <f t="shared" si="390"/>
        <v>84.54812862</v>
      </c>
      <c r="T171" s="81">
        <f t="shared" si="390"/>
        <v>92.06430629</v>
      </c>
      <c r="U171" s="81">
        <f t="shared" si="390"/>
        <v>84.52349943</v>
      </c>
      <c r="V171" s="81">
        <f t="shared" si="390"/>
        <v>78.15500514</v>
      </c>
      <c r="W171" s="81">
        <f t="shared" si="390"/>
        <v>83.02328523</v>
      </c>
      <c r="X171" s="81">
        <f t="shared" si="390"/>
        <v>86.19090712</v>
      </c>
      <c r="Y171" s="81">
        <f t="shared" si="390"/>
        <v>78.91744409</v>
      </c>
      <c r="Z171" s="81">
        <f t="shared" si="390"/>
        <v>73.56943609</v>
      </c>
      <c r="AA171" s="81">
        <f t="shared" si="390"/>
        <v>76.19713719</v>
      </c>
      <c r="AB171" s="81">
        <f t="shared" si="390"/>
        <v>85.82633195</v>
      </c>
      <c r="AC171" s="81">
        <f t="shared" si="390"/>
        <v>97.66826715</v>
      </c>
      <c r="AD171" s="81">
        <f t="shared" si="390"/>
        <v>78.95506531</v>
      </c>
      <c r="AE171" s="81">
        <f t="shared" si="390"/>
        <v>89.46254654</v>
      </c>
      <c r="AF171" s="81">
        <f t="shared" si="390"/>
        <v>100.8690876</v>
      </c>
      <c r="AG171" s="81">
        <f t="shared" si="390"/>
        <v>99.37207688</v>
      </c>
      <c r="AH171" s="81">
        <f t="shared" si="390"/>
        <v>82.7755707</v>
      </c>
      <c r="AI171" s="81">
        <f t="shared" si="390"/>
        <v>69.47312976</v>
      </c>
      <c r="AJ171" s="81">
        <f t="shared" si="390"/>
        <v>94.0690534</v>
      </c>
      <c r="AK171" s="81">
        <f t="shared" ref="AK171:BW171" si="391">AG171+AK172</f>
        <v>80.37207688</v>
      </c>
      <c r="AL171" s="81">
        <f t="shared" si="391"/>
        <v>79.7755707</v>
      </c>
      <c r="AM171" s="81">
        <f t="shared" si="391"/>
        <v>69.47312976</v>
      </c>
      <c r="AN171" s="81">
        <f t="shared" si="391"/>
        <v>92.0690534</v>
      </c>
      <c r="AO171" s="81">
        <f t="shared" si="391"/>
        <v>78.37207688</v>
      </c>
      <c r="AP171" s="81">
        <f t="shared" si="391"/>
        <v>77.7755707</v>
      </c>
      <c r="AQ171" s="81">
        <f t="shared" si="391"/>
        <v>67.47312976</v>
      </c>
      <c r="AR171" s="81">
        <f t="shared" si="391"/>
        <v>92.0690534</v>
      </c>
      <c r="AS171" s="81">
        <f t="shared" si="391"/>
        <v>78.37207688</v>
      </c>
      <c r="AT171" s="81">
        <f t="shared" si="391"/>
        <v>77.7755707</v>
      </c>
      <c r="AU171" s="81">
        <f t="shared" si="391"/>
        <v>67.47312976</v>
      </c>
      <c r="AV171" s="81">
        <f t="shared" si="391"/>
        <v>92.0690534</v>
      </c>
      <c r="AW171" s="81">
        <f t="shared" si="391"/>
        <v>78.37207688</v>
      </c>
      <c r="AX171" s="81">
        <f t="shared" si="391"/>
        <v>77.7755707</v>
      </c>
      <c r="AY171" s="81">
        <f t="shared" si="391"/>
        <v>67.47312976</v>
      </c>
      <c r="AZ171" s="81">
        <f t="shared" si="391"/>
        <v>92.0690534</v>
      </c>
      <c r="BA171" s="81">
        <f t="shared" si="391"/>
        <v>78.37207688</v>
      </c>
      <c r="BB171" s="81">
        <f t="shared" si="391"/>
        <v>77.7755707</v>
      </c>
      <c r="BC171" s="81">
        <f t="shared" si="391"/>
        <v>67.47312976</v>
      </c>
      <c r="BD171" s="81">
        <f t="shared" si="391"/>
        <v>92.0690534</v>
      </c>
      <c r="BE171" s="81">
        <f t="shared" si="391"/>
        <v>78.37207688</v>
      </c>
      <c r="BF171" s="81">
        <f t="shared" si="391"/>
        <v>77.7755707</v>
      </c>
      <c r="BG171" s="81">
        <f t="shared" si="391"/>
        <v>67.47312976</v>
      </c>
      <c r="BH171" s="81">
        <f t="shared" si="391"/>
        <v>92.0690534</v>
      </c>
      <c r="BI171" s="81">
        <f t="shared" si="391"/>
        <v>78.37207688</v>
      </c>
      <c r="BJ171" s="81">
        <f t="shared" si="391"/>
        <v>77.7755707</v>
      </c>
      <c r="BK171" s="81">
        <f t="shared" si="391"/>
        <v>67.47312976</v>
      </c>
      <c r="BL171" s="81">
        <f t="shared" si="391"/>
        <v>92.0690534</v>
      </c>
      <c r="BM171" s="81">
        <f t="shared" si="391"/>
        <v>78.37207688</v>
      </c>
      <c r="BN171" s="81">
        <f t="shared" si="391"/>
        <v>77.7755707</v>
      </c>
      <c r="BO171" s="81">
        <f t="shared" si="391"/>
        <v>67.47312976</v>
      </c>
      <c r="BP171" s="81">
        <f t="shared" si="391"/>
        <v>92.0690534</v>
      </c>
      <c r="BQ171" s="81">
        <f t="shared" si="391"/>
        <v>78.37207688</v>
      </c>
      <c r="BR171" s="81">
        <f t="shared" si="391"/>
        <v>77.7755707</v>
      </c>
      <c r="BS171" s="81">
        <f t="shared" si="391"/>
        <v>67.47312976</v>
      </c>
      <c r="BT171" s="81">
        <f t="shared" si="391"/>
        <v>92.0690534</v>
      </c>
      <c r="BU171" s="81">
        <f t="shared" si="391"/>
        <v>78.37207688</v>
      </c>
      <c r="BV171" s="81">
        <f t="shared" si="391"/>
        <v>77.7755707</v>
      </c>
      <c r="BW171" s="81">
        <f t="shared" si="391"/>
        <v>67.47312976</v>
      </c>
      <c r="BX171" s="6" t="s">
        <v>35</v>
      </c>
      <c r="BY171" s="81">
        <f t="shared" ref="BY171:CP171" si="392">BY170/BY$11*($D$197)</f>
        <v>103.6869033</v>
      </c>
      <c r="BZ171" s="81">
        <f t="shared" si="392"/>
        <v>77.87161904</v>
      </c>
      <c r="CA171" s="81">
        <f t="shared" si="392"/>
        <v>55.08001733</v>
      </c>
      <c r="CB171" s="81">
        <f t="shared" si="392"/>
        <v>95.05464199</v>
      </c>
      <c r="CC171" s="81">
        <f t="shared" si="392"/>
        <v>91.69303991</v>
      </c>
      <c r="CD171" s="81">
        <f t="shared" si="392"/>
        <v>92.10227119</v>
      </c>
      <c r="CE171" s="81">
        <f t="shared" si="392"/>
        <v>96.52595063</v>
      </c>
      <c r="CF171" s="81">
        <f t="shared" si="392"/>
        <v>94.50881238</v>
      </c>
      <c r="CG171" s="81">
        <f t="shared" si="392"/>
        <v>76.25242538</v>
      </c>
      <c r="CH171" s="81">
        <f t="shared" si="392"/>
        <v>75.47092236</v>
      </c>
      <c r="CI171" s="81">
        <f t="shared" si="392"/>
        <v>75.07318567</v>
      </c>
      <c r="CJ171" s="81">
        <f t="shared" si="392"/>
        <v>75.07318567</v>
      </c>
      <c r="CK171" s="81">
        <f t="shared" si="392"/>
        <v>75.07318567</v>
      </c>
      <c r="CL171" s="81">
        <f t="shared" si="392"/>
        <v>75.07318567</v>
      </c>
      <c r="CM171" s="81">
        <f t="shared" si="392"/>
        <v>75.07318567</v>
      </c>
      <c r="CN171" s="81">
        <f t="shared" si="392"/>
        <v>75.07318567</v>
      </c>
      <c r="CO171" s="81">
        <f t="shared" si="392"/>
        <v>75.07318567</v>
      </c>
      <c r="CP171" s="81">
        <f t="shared" si="392"/>
        <v>75.07318567</v>
      </c>
      <c r="CQ171" s="6" t="s">
        <v>35</v>
      </c>
    </row>
    <row r="172" ht="14.25" customHeight="1">
      <c r="A172" s="9"/>
      <c r="B172" s="10" t="s">
        <v>106</v>
      </c>
      <c r="C172" s="9"/>
      <c r="H172" s="81">
        <f t="shared" ref="H172:AJ172" si="393">H171-D171</f>
        <v>5.890557969</v>
      </c>
      <c r="I172" s="81">
        <f t="shared" si="393"/>
        <v>0.7211737157</v>
      </c>
      <c r="J172" s="81">
        <f t="shared" si="393"/>
        <v>-11.62628214</v>
      </c>
      <c r="K172" s="81">
        <f t="shared" si="393"/>
        <v>-15.84249324</v>
      </c>
      <c r="L172" s="81">
        <f t="shared" si="393"/>
        <v>-13.55008004</v>
      </c>
      <c r="M172" s="81">
        <f t="shared" si="393"/>
        <v>-11.54984604</v>
      </c>
      <c r="N172" s="81">
        <f t="shared" si="393"/>
        <v>-11.77301335</v>
      </c>
      <c r="O172" s="81">
        <f t="shared" si="393"/>
        <v>-18.66423663</v>
      </c>
      <c r="P172" s="81">
        <f t="shared" si="393"/>
        <v>10.4071306</v>
      </c>
      <c r="Q172" s="81">
        <f t="shared" si="393"/>
        <v>33.10605504</v>
      </c>
      <c r="R172" s="81">
        <f t="shared" si="393"/>
        <v>26.8292417</v>
      </c>
      <c r="S172" s="81">
        <f t="shared" si="393"/>
        <v>29.92874087</v>
      </c>
      <c r="T172" s="81">
        <f t="shared" si="393"/>
        <v>2.905607157</v>
      </c>
      <c r="U172" s="81">
        <f t="shared" si="393"/>
        <v>-13.23705343</v>
      </c>
      <c r="V172" s="81">
        <f t="shared" si="393"/>
        <v>-12.92689794</v>
      </c>
      <c r="W172" s="81">
        <f t="shared" si="393"/>
        <v>-1.524843391</v>
      </c>
      <c r="X172" s="81">
        <f t="shared" si="393"/>
        <v>-5.873399172</v>
      </c>
      <c r="Y172" s="81">
        <f t="shared" si="393"/>
        <v>-5.60605534</v>
      </c>
      <c r="Z172" s="81">
        <f t="shared" si="393"/>
        <v>-4.585569046</v>
      </c>
      <c r="AA172" s="81">
        <f t="shared" si="393"/>
        <v>-6.826148035</v>
      </c>
      <c r="AB172" s="81">
        <f t="shared" si="393"/>
        <v>-0.3645751676</v>
      </c>
      <c r="AC172" s="81">
        <f t="shared" si="393"/>
        <v>18.75082306</v>
      </c>
      <c r="AD172" s="81">
        <f t="shared" si="393"/>
        <v>5.385629215</v>
      </c>
      <c r="AE172" s="81">
        <f t="shared" si="393"/>
        <v>13.26540935</v>
      </c>
      <c r="AF172" s="81">
        <f t="shared" si="393"/>
        <v>15.04275565</v>
      </c>
      <c r="AG172" s="81">
        <f t="shared" si="393"/>
        <v>1.70380973</v>
      </c>
      <c r="AH172" s="81">
        <f t="shared" si="393"/>
        <v>3.820505392</v>
      </c>
      <c r="AI172" s="81">
        <f t="shared" si="393"/>
        <v>-19.98941678</v>
      </c>
      <c r="AJ172" s="81">
        <f t="shared" si="393"/>
        <v>-6.800034211</v>
      </c>
      <c r="AK172" s="81">
        <v>-19.0</v>
      </c>
      <c r="AL172" s="81">
        <v>-3.0</v>
      </c>
      <c r="AM172" s="81">
        <v>0.0</v>
      </c>
      <c r="AN172" s="81">
        <v>-2.0</v>
      </c>
      <c r="AO172" s="81">
        <v>-2.0</v>
      </c>
      <c r="AP172" s="81">
        <v>-2.0</v>
      </c>
      <c r="AQ172" s="81">
        <v>-2.0</v>
      </c>
      <c r="AR172" s="81">
        <v>0.0</v>
      </c>
      <c r="AS172" s="81">
        <v>0.0</v>
      </c>
      <c r="AT172" s="81">
        <v>0.0</v>
      </c>
      <c r="AU172" s="81">
        <v>0.0</v>
      </c>
      <c r="AV172" s="81">
        <v>0.0</v>
      </c>
      <c r="AW172" s="81">
        <v>0.0</v>
      </c>
      <c r="AX172" s="81">
        <v>0.0</v>
      </c>
      <c r="AY172" s="81">
        <v>0.0</v>
      </c>
      <c r="AZ172" s="81">
        <v>0.0</v>
      </c>
      <c r="BA172" s="81">
        <v>0.0</v>
      </c>
      <c r="BB172" s="81">
        <v>0.0</v>
      </c>
      <c r="BC172" s="81">
        <v>0.0</v>
      </c>
      <c r="BD172" s="81">
        <v>0.0</v>
      </c>
      <c r="BE172" s="81">
        <v>0.0</v>
      </c>
      <c r="BF172" s="81">
        <v>0.0</v>
      </c>
      <c r="BG172" s="81">
        <v>0.0</v>
      </c>
      <c r="BH172" s="81">
        <v>0.0</v>
      </c>
      <c r="BI172" s="81">
        <v>0.0</v>
      </c>
      <c r="BJ172" s="81">
        <v>0.0</v>
      </c>
      <c r="BK172" s="81">
        <v>0.0</v>
      </c>
      <c r="BL172" s="81">
        <v>0.0</v>
      </c>
      <c r="BM172" s="81">
        <v>0.0</v>
      </c>
      <c r="BN172" s="81">
        <v>0.0</v>
      </c>
      <c r="BO172" s="81">
        <v>0.0</v>
      </c>
      <c r="BP172" s="81">
        <v>0.0</v>
      </c>
      <c r="BQ172" s="81">
        <v>0.0</v>
      </c>
      <c r="BR172" s="81">
        <v>0.0</v>
      </c>
      <c r="BS172" s="81">
        <v>0.0</v>
      </c>
      <c r="BT172" s="81">
        <v>0.0</v>
      </c>
      <c r="BU172" s="81">
        <v>0.0</v>
      </c>
      <c r="BV172" s="81">
        <v>0.0</v>
      </c>
      <c r="BW172" s="81">
        <v>0.0</v>
      </c>
      <c r="BX172" s="6" t="s">
        <v>35</v>
      </c>
      <c r="BY172" s="81"/>
      <c r="BZ172" s="81">
        <f t="shared" ref="BZ172:CP172" si="394">BZ171-BY171</f>
        <v>-25.81528424</v>
      </c>
      <c r="CA172" s="81">
        <f t="shared" si="394"/>
        <v>-22.79160171</v>
      </c>
      <c r="CB172" s="81">
        <f t="shared" si="394"/>
        <v>39.97462466</v>
      </c>
      <c r="CC172" s="81">
        <f t="shared" si="394"/>
        <v>-3.361602078</v>
      </c>
      <c r="CD172" s="81">
        <f t="shared" si="394"/>
        <v>0.4092312799</v>
      </c>
      <c r="CE172" s="81">
        <f t="shared" si="394"/>
        <v>4.423679441</v>
      </c>
      <c r="CF172" s="81">
        <f t="shared" si="394"/>
        <v>-2.017138256</v>
      </c>
      <c r="CG172" s="81">
        <f t="shared" si="394"/>
        <v>-18.256387</v>
      </c>
      <c r="CH172" s="81">
        <f t="shared" si="394"/>
        <v>-0.7815030149</v>
      </c>
      <c r="CI172" s="81">
        <f t="shared" si="394"/>
        <v>-0.397736699</v>
      </c>
      <c r="CJ172" s="81">
        <f t="shared" si="394"/>
        <v>0</v>
      </c>
      <c r="CK172" s="81">
        <f t="shared" si="394"/>
        <v>0</v>
      </c>
      <c r="CL172" s="81">
        <f t="shared" si="394"/>
        <v>0</v>
      </c>
      <c r="CM172" s="81">
        <f t="shared" si="394"/>
        <v>0</v>
      </c>
      <c r="CN172" s="81">
        <f t="shared" si="394"/>
        <v>0</v>
      </c>
      <c r="CO172" s="81">
        <f t="shared" si="394"/>
        <v>0</v>
      </c>
      <c r="CP172" s="81">
        <f t="shared" si="394"/>
        <v>0</v>
      </c>
      <c r="CQ172" s="6" t="s">
        <v>35</v>
      </c>
    </row>
    <row r="173" ht="14.25" customHeight="1">
      <c r="A173" s="9"/>
      <c r="B173" s="10"/>
      <c r="C173" s="9"/>
      <c r="BX173" s="6" t="s">
        <v>35</v>
      </c>
      <c r="CQ173" s="6" t="s">
        <v>35</v>
      </c>
    </row>
    <row r="174" ht="14.25" customHeight="1">
      <c r="A174" s="9"/>
      <c r="B174" s="59" t="s">
        <v>109</v>
      </c>
      <c r="C174" s="86" t="s">
        <v>39</v>
      </c>
      <c r="D174" s="87">
        <f t="shared" ref="D174:AJ174" si="395">D63</f>
        <v>0.027</v>
      </c>
      <c r="E174" s="87">
        <f t="shared" si="395"/>
        <v>0.017</v>
      </c>
      <c r="F174" s="87">
        <f t="shared" si="395"/>
        <v>0.313</v>
      </c>
      <c r="G174" s="87">
        <f t="shared" si="395"/>
        <v>1.662</v>
      </c>
      <c r="H174" s="87">
        <f t="shared" si="395"/>
        <v>0.067</v>
      </c>
      <c r="I174" s="87">
        <f t="shared" si="395"/>
        <v>1.469</v>
      </c>
      <c r="J174" s="87">
        <f t="shared" si="395"/>
        <v>1.529</v>
      </c>
      <c r="K174" s="87">
        <f t="shared" si="395"/>
        <v>1.052</v>
      </c>
      <c r="L174" s="87">
        <f t="shared" si="395"/>
        <v>1.336</v>
      </c>
      <c r="M174" s="87">
        <f t="shared" si="395"/>
        <v>0.684</v>
      </c>
      <c r="N174" s="87">
        <f t="shared" si="395"/>
        <v>1.442</v>
      </c>
      <c r="O174" s="87">
        <f t="shared" si="395"/>
        <v>0.692</v>
      </c>
      <c r="P174" s="87">
        <f t="shared" si="395"/>
        <v>0.924</v>
      </c>
      <c r="Q174" s="87">
        <f t="shared" si="395"/>
        <v>0.639</v>
      </c>
      <c r="R174" s="87">
        <f t="shared" si="395"/>
        <v>1.172</v>
      </c>
      <c r="S174" s="87">
        <f t="shared" si="395"/>
        <v>1.282</v>
      </c>
      <c r="T174" s="87">
        <f t="shared" si="395"/>
        <v>2.619</v>
      </c>
      <c r="U174" s="87">
        <f t="shared" si="395"/>
        <v>2.954</v>
      </c>
      <c r="V174" s="87">
        <f t="shared" si="395"/>
        <v>3.483</v>
      </c>
      <c r="W174" s="87">
        <f t="shared" si="395"/>
        <v>3.628</v>
      </c>
      <c r="X174" s="87">
        <f t="shared" si="395"/>
        <v>3.529</v>
      </c>
      <c r="Y174" s="87">
        <f t="shared" si="395"/>
        <v>4.308</v>
      </c>
      <c r="Z174" s="87">
        <f t="shared" si="395"/>
        <v>5.66</v>
      </c>
      <c r="AA174" s="87">
        <f t="shared" si="395"/>
        <v>5.361</v>
      </c>
      <c r="AB174" s="87">
        <f t="shared" si="395"/>
        <v>4.729</v>
      </c>
      <c r="AC174" s="87">
        <f t="shared" si="395"/>
        <v>4.796</v>
      </c>
      <c r="AD174" s="87">
        <f t="shared" si="395"/>
        <v>5.988</v>
      </c>
      <c r="AE174" s="87">
        <f t="shared" si="395"/>
        <v>4.609</v>
      </c>
      <c r="AF174" s="87">
        <f t="shared" si="395"/>
        <v>4.431</v>
      </c>
      <c r="AG174" s="87">
        <f t="shared" si="395"/>
        <v>5.692</v>
      </c>
      <c r="AH174" s="87">
        <f t="shared" si="395"/>
        <v>5.732</v>
      </c>
      <c r="AI174" s="87">
        <f t="shared" si="395"/>
        <v>5.778</v>
      </c>
      <c r="AJ174" s="87">
        <f t="shared" si="395"/>
        <v>6.781</v>
      </c>
      <c r="AK174" s="87">
        <f t="shared" ref="AK174:BW174" si="396">-(AK175*AK$14)/($D$197/4)</f>
        <v>9.567857104</v>
      </c>
      <c r="AL174" s="87">
        <f t="shared" si="396"/>
        <v>5.290911371</v>
      </c>
      <c r="AM174" s="87">
        <f t="shared" si="396"/>
        <v>5.843432796</v>
      </c>
      <c r="AN174" s="87">
        <f t="shared" si="396"/>
        <v>6.945622209</v>
      </c>
      <c r="AO174" s="87">
        <f t="shared" si="396"/>
        <v>10.35701971</v>
      </c>
      <c r="AP174" s="87">
        <f t="shared" si="396"/>
        <v>5.902236753</v>
      </c>
      <c r="AQ174" s="87">
        <f t="shared" si="396"/>
        <v>6.467440097</v>
      </c>
      <c r="AR174" s="87">
        <f t="shared" si="396"/>
        <v>7.660397619</v>
      </c>
      <c r="AS174" s="87">
        <f t="shared" si="396"/>
        <v>11.37386732</v>
      </c>
      <c r="AT174" s="87">
        <f t="shared" si="396"/>
        <v>6.449641568</v>
      </c>
      <c r="AU174" s="87">
        <f t="shared" si="396"/>
        <v>7.054531837</v>
      </c>
      <c r="AV174" s="87">
        <f t="shared" si="396"/>
        <v>8.370012505</v>
      </c>
      <c r="AW174" s="87">
        <f t="shared" si="396"/>
        <v>12.42747654</v>
      </c>
      <c r="AX174" s="87">
        <f t="shared" si="396"/>
        <v>7.047099023</v>
      </c>
      <c r="AY174" s="87">
        <f t="shared" si="396"/>
        <v>7.708022824</v>
      </c>
      <c r="AZ174" s="87">
        <f t="shared" si="396"/>
        <v>9.145362005</v>
      </c>
      <c r="BA174" s="87">
        <f t="shared" si="396"/>
        <v>13.57868602</v>
      </c>
      <c r="BB174" s="87">
        <f t="shared" si="396"/>
        <v>7.699901477</v>
      </c>
      <c r="BC174" s="87">
        <f t="shared" si="396"/>
        <v>8.422049433</v>
      </c>
      <c r="BD174" s="87">
        <f t="shared" si="396"/>
        <v>9.992535394</v>
      </c>
      <c r="BE174" s="87">
        <f t="shared" si="396"/>
        <v>14.83653688</v>
      </c>
      <c r="BF174" s="87">
        <f t="shared" si="396"/>
        <v>8.413175771</v>
      </c>
      <c r="BG174" s="87">
        <f t="shared" si="396"/>
        <v>9.202219333</v>
      </c>
      <c r="BH174" s="87">
        <f t="shared" si="396"/>
        <v>10.91818602</v>
      </c>
      <c r="BI174" s="87">
        <f t="shared" si="396"/>
        <v>16.21090776</v>
      </c>
      <c r="BJ174" s="87">
        <f t="shared" si="396"/>
        <v>9.192523667</v>
      </c>
      <c r="BK174" s="87">
        <f t="shared" si="396"/>
        <v>10.05465966</v>
      </c>
      <c r="BL174" s="87">
        <f t="shared" si="396"/>
        <v>11.92958356</v>
      </c>
      <c r="BM174" s="87">
        <f t="shared" si="396"/>
        <v>17.7125924</v>
      </c>
      <c r="BN174" s="87">
        <f t="shared" si="396"/>
        <v>10.04406584</v>
      </c>
      <c r="BO174" s="87">
        <f t="shared" si="396"/>
        <v>10.98606511</v>
      </c>
      <c r="BP174" s="87">
        <f t="shared" si="396"/>
        <v>13.03467112</v>
      </c>
      <c r="BQ174" s="87">
        <f t="shared" si="396"/>
        <v>19.35338442</v>
      </c>
      <c r="BR174" s="87">
        <f t="shared" si="396"/>
        <v>10.97448995</v>
      </c>
      <c r="BS174" s="87">
        <f t="shared" si="396"/>
        <v>12.00375058</v>
      </c>
      <c r="BT174" s="87">
        <f t="shared" si="396"/>
        <v>14.24212759</v>
      </c>
      <c r="BU174" s="87">
        <f t="shared" si="396"/>
        <v>21.1461699</v>
      </c>
      <c r="BV174" s="87">
        <f t="shared" si="396"/>
        <v>11.99110316</v>
      </c>
      <c r="BW174" s="87">
        <f t="shared" si="396"/>
        <v>13.11570854</v>
      </c>
      <c r="BX174" s="6" t="s">
        <v>35</v>
      </c>
      <c r="BY174" s="87">
        <f t="shared" ref="BY174:CP174" si="397">BY63</f>
        <v>1.662</v>
      </c>
      <c r="BZ174" s="87">
        <f t="shared" si="397"/>
        <v>1.052</v>
      </c>
      <c r="CA174" s="87">
        <f t="shared" si="397"/>
        <v>0.692</v>
      </c>
      <c r="CB174" s="87">
        <f t="shared" si="397"/>
        <v>1.282</v>
      </c>
      <c r="CC174" s="87">
        <f t="shared" si="397"/>
        <v>3.628</v>
      </c>
      <c r="CD174" s="87">
        <f t="shared" si="397"/>
        <v>5.361</v>
      </c>
      <c r="CE174" s="87">
        <f t="shared" si="397"/>
        <v>4.609</v>
      </c>
      <c r="CF174" s="87">
        <f t="shared" si="397"/>
        <v>5.778</v>
      </c>
      <c r="CG174" s="87">
        <f t="shared" si="397"/>
        <v>5.843432796</v>
      </c>
      <c r="CH174" s="87">
        <f t="shared" si="397"/>
        <v>6.467440097</v>
      </c>
      <c r="CI174" s="87">
        <f t="shared" si="397"/>
        <v>7.054531837</v>
      </c>
      <c r="CJ174" s="87">
        <f t="shared" si="397"/>
        <v>7.708022824</v>
      </c>
      <c r="CK174" s="87">
        <f t="shared" si="397"/>
        <v>8.422049433</v>
      </c>
      <c r="CL174" s="87">
        <f t="shared" si="397"/>
        <v>9.202219333</v>
      </c>
      <c r="CM174" s="87">
        <f t="shared" si="397"/>
        <v>10.05465966</v>
      </c>
      <c r="CN174" s="87">
        <f t="shared" si="397"/>
        <v>10.98606511</v>
      </c>
      <c r="CO174" s="87">
        <f t="shared" si="397"/>
        <v>12.00375058</v>
      </c>
      <c r="CP174" s="87">
        <f t="shared" si="397"/>
        <v>13.11570854</v>
      </c>
      <c r="CQ174" s="6" t="s">
        <v>35</v>
      </c>
    </row>
    <row r="175" ht="14.25" customHeight="1">
      <c r="A175" s="9"/>
      <c r="B175" s="10" t="s">
        <v>110</v>
      </c>
      <c r="C175" s="9" t="s">
        <v>108</v>
      </c>
      <c r="D175" s="81">
        <f t="shared" ref="D175:AJ175" si="398">D174/-D$14*($D$197/4)</f>
        <v>0.06239553259</v>
      </c>
      <c r="E175" s="81">
        <f t="shared" si="398"/>
        <v>0.03482589857</v>
      </c>
      <c r="F175" s="81">
        <f t="shared" si="398"/>
        <v>0.4989474696</v>
      </c>
      <c r="G175" s="81">
        <f t="shared" si="398"/>
        <v>2.452933185</v>
      </c>
      <c r="H175" s="81">
        <f t="shared" si="398"/>
        <v>0.09330977854</v>
      </c>
      <c r="I175" s="81">
        <f t="shared" si="398"/>
        <v>1.733678009</v>
      </c>
      <c r="J175" s="81">
        <f t="shared" si="398"/>
        <v>1.966528302</v>
      </c>
      <c r="K175" s="81">
        <f t="shared" si="398"/>
        <v>1.402902406</v>
      </c>
      <c r="L175" s="81">
        <f t="shared" si="398"/>
        <v>1.685003455</v>
      </c>
      <c r="M175" s="81">
        <f t="shared" si="398"/>
        <v>0.7824468152</v>
      </c>
      <c r="N175" s="81">
        <f t="shared" si="398"/>
        <v>1.76275353</v>
      </c>
      <c r="O175" s="81">
        <f t="shared" si="398"/>
        <v>0.8671381489</v>
      </c>
      <c r="P175" s="81">
        <f t="shared" si="398"/>
        <v>1.366376586</v>
      </c>
      <c r="Q175" s="81">
        <f t="shared" si="398"/>
        <v>1.112019643</v>
      </c>
      <c r="R175" s="81">
        <f t="shared" si="398"/>
        <v>2.356654914</v>
      </c>
      <c r="S175" s="81">
        <f t="shared" si="398"/>
        <v>2.106198913</v>
      </c>
      <c r="T175" s="81">
        <f t="shared" si="398"/>
        <v>3.565325228</v>
      </c>
      <c r="U175" s="81">
        <f t="shared" si="398"/>
        <v>2.993231839</v>
      </c>
      <c r="V175" s="81">
        <f t="shared" si="398"/>
        <v>3.103111178</v>
      </c>
      <c r="W175" s="81">
        <f t="shared" si="398"/>
        <v>3.208456901</v>
      </c>
      <c r="X175" s="81">
        <f t="shared" si="398"/>
        <v>3.103370597</v>
      </c>
      <c r="Y175" s="81">
        <f t="shared" si="398"/>
        <v>2.719772237</v>
      </c>
      <c r="Z175" s="81">
        <f t="shared" si="398"/>
        <v>2.92839404</v>
      </c>
      <c r="AA175" s="81">
        <f t="shared" si="398"/>
        <v>2.571402102</v>
      </c>
      <c r="AB175" s="81">
        <f t="shared" si="398"/>
        <v>2.251364317</v>
      </c>
      <c r="AC175" s="81">
        <f t="shared" si="398"/>
        <v>2.198276079</v>
      </c>
      <c r="AD175" s="81">
        <f t="shared" si="398"/>
        <v>2.512842328</v>
      </c>
      <c r="AE175" s="81">
        <f t="shared" si="398"/>
        <v>1.888993815</v>
      </c>
      <c r="AF175" s="81">
        <f t="shared" si="398"/>
        <v>2.338295762</v>
      </c>
      <c r="AG175" s="81">
        <f t="shared" si="398"/>
        <v>3.123785868</v>
      </c>
      <c r="AH175" s="81">
        <f t="shared" si="398"/>
        <v>1.721533778</v>
      </c>
      <c r="AI175" s="81">
        <f t="shared" si="398"/>
        <v>1.660852158</v>
      </c>
      <c r="AJ175" s="81">
        <f t="shared" si="398"/>
        <v>2.097477161</v>
      </c>
      <c r="AK175" s="81">
        <f t="shared" ref="AK175:BW175" si="399">AG175+AK176</f>
        <v>3.123785868</v>
      </c>
      <c r="AL175" s="81">
        <f t="shared" si="399"/>
        <v>1.721533778</v>
      </c>
      <c r="AM175" s="81">
        <f t="shared" si="399"/>
        <v>1.660852158</v>
      </c>
      <c r="AN175" s="81">
        <f t="shared" si="399"/>
        <v>2.097477161</v>
      </c>
      <c r="AO175" s="81">
        <f t="shared" si="399"/>
        <v>3.123785868</v>
      </c>
      <c r="AP175" s="81">
        <f t="shared" si="399"/>
        <v>1.721533778</v>
      </c>
      <c r="AQ175" s="81">
        <f t="shared" si="399"/>
        <v>1.660852158</v>
      </c>
      <c r="AR175" s="81">
        <f t="shared" si="399"/>
        <v>2.097477161</v>
      </c>
      <c r="AS175" s="81">
        <f t="shared" si="399"/>
        <v>3.123785868</v>
      </c>
      <c r="AT175" s="81">
        <f t="shared" si="399"/>
        <v>1.721533778</v>
      </c>
      <c r="AU175" s="81">
        <f t="shared" si="399"/>
        <v>1.660852158</v>
      </c>
      <c r="AV175" s="81">
        <f t="shared" si="399"/>
        <v>2.097477161</v>
      </c>
      <c r="AW175" s="81">
        <f t="shared" si="399"/>
        <v>3.123785868</v>
      </c>
      <c r="AX175" s="81">
        <f t="shared" si="399"/>
        <v>1.721533778</v>
      </c>
      <c r="AY175" s="81">
        <f t="shared" si="399"/>
        <v>1.660852158</v>
      </c>
      <c r="AZ175" s="81">
        <f t="shared" si="399"/>
        <v>2.097477161</v>
      </c>
      <c r="BA175" s="81">
        <f t="shared" si="399"/>
        <v>3.123785868</v>
      </c>
      <c r="BB175" s="81">
        <f t="shared" si="399"/>
        <v>1.721533778</v>
      </c>
      <c r="BC175" s="81">
        <f t="shared" si="399"/>
        <v>1.660852158</v>
      </c>
      <c r="BD175" s="81">
        <f t="shared" si="399"/>
        <v>2.097477161</v>
      </c>
      <c r="BE175" s="81">
        <f t="shared" si="399"/>
        <v>3.123785868</v>
      </c>
      <c r="BF175" s="81">
        <f t="shared" si="399"/>
        <v>1.721533778</v>
      </c>
      <c r="BG175" s="81">
        <f t="shared" si="399"/>
        <v>1.660852158</v>
      </c>
      <c r="BH175" s="81">
        <f t="shared" si="399"/>
        <v>2.097477161</v>
      </c>
      <c r="BI175" s="81">
        <f t="shared" si="399"/>
        <v>3.123785868</v>
      </c>
      <c r="BJ175" s="81">
        <f t="shared" si="399"/>
        <v>1.721533778</v>
      </c>
      <c r="BK175" s="81">
        <f t="shared" si="399"/>
        <v>1.660852158</v>
      </c>
      <c r="BL175" s="81">
        <f t="shared" si="399"/>
        <v>2.097477161</v>
      </c>
      <c r="BM175" s="81">
        <f t="shared" si="399"/>
        <v>3.123785868</v>
      </c>
      <c r="BN175" s="81">
        <f t="shared" si="399"/>
        <v>1.721533778</v>
      </c>
      <c r="BO175" s="81">
        <f t="shared" si="399"/>
        <v>1.660852158</v>
      </c>
      <c r="BP175" s="81">
        <f t="shared" si="399"/>
        <v>2.097477161</v>
      </c>
      <c r="BQ175" s="81">
        <f t="shared" si="399"/>
        <v>3.123785868</v>
      </c>
      <c r="BR175" s="81">
        <f t="shared" si="399"/>
        <v>1.721533778</v>
      </c>
      <c r="BS175" s="81">
        <f t="shared" si="399"/>
        <v>1.660852158</v>
      </c>
      <c r="BT175" s="81">
        <f t="shared" si="399"/>
        <v>2.097477161</v>
      </c>
      <c r="BU175" s="81">
        <f t="shared" si="399"/>
        <v>3.123785868</v>
      </c>
      <c r="BV175" s="81">
        <f t="shared" si="399"/>
        <v>1.721533778</v>
      </c>
      <c r="BW175" s="81">
        <f t="shared" si="399"/>
        <v>1.660852158</v>
      </c>
      <c r="BX175" s="6" t="s">
        <v>35</v>
      </c>
      <c r="BY175" s="81">
        <f t="shared" ref="BY175:CP175" si="400">BY174/-BY$14*($D$197)</f>
        <v>2.986868473</v>
      </c>
      <c r="BZ175" s="81">
        <f t="shared" si="400"/>
        <v>1.360598695</v>
      </c>
      <c r="CA175" s="81">
        <f t="shared" si="400"/>
        <v>0.8430996211</v>
      </c>
      <c r="CB175" s="81">
        <f t="shared" si="400"/>
        <v>2.175770933</v>
      </c>
      <c r="CC175" s="81">
        <f t="shared" si="400"/>
        <v>3.651137206</v>
      </c>
      <c r="CD175" s="81">
        <f t="shared" si="400"/>
        <v>3.182187045</v>
      </c>
      <c r="CE175" s="81">
        <f t="shared" si="400"/>
        <v>2.024800202</v>
      </c>
      <c r="CF175" s="81">
        <f t="shared" si="400"/>
        <v>2.195780169</v>
      </c>
      <c r="CG175" s="81">
        <f t="shared" si="400"/>
        <v>1.813668878</v>
      </c>
      <c r="CH175" s="81">
        <f t="shared" si="400"/>
        <v>1.854532671</v>
      </c>
      <c r="CI175" s="81">
        <f t="shared" si="400"/>
        <v>1.845861905</v>
      </c>
      <c r="CJ175" s="81">
        <f t="shared" si="400"/>
        <v>1.845861905</v>
      </c>
      <c r="CK175" s="81">
        <f t="shared" si="400"/>
        <v>1.845861905</v>
      </c>
      <c r="CL175" s="81">
        <f t="shared" si="400"/>
        <v>1.845861905</v>
      </c>
      <c r="CM175" s="81">
        <f t="shared" si="400"/>
        <v>1.845861905</v>
      </c>
      <c r="CN175" s="81">
        <f t="shared" si="400"/>
        <v>1.845861905</v>
      </c>
      <c r="CO175" s="81">
        <f t="shared" si="400"/>
        <v>1.845861905</v>
      </c>
      <c r="CP175" s="81">
        <f t="shared" si="400"/>
        <v>1.845861905</v>
      </c>
      <c r="CQ175" s="6" t="s">
        <v>35</v>
      </c>
    </row>
    <row r="176" ht="14.25" customHeight="1">
      <c r="A176" s="9"/>
      <c r="B176" s="10" t="s">
        <v>106</v>
      </c>
      <c r="C176" s="9"/>
      <c r="H176" s="81">
        <f t="shared" ref="H176:AJ176" si="401">H175-D175</f>
        <v>0.03091424595</v>
      </c>
      <c r="I176" s="81">
        <f t="shared" si="401"/>
        <v>1.698852111</v>
      </c>
      <c r="J176" s="81">
        <f t="shared" si="401"/>
        <v>1.467580833</v>
      </c>
      <c r="K176" s="81">
        <f t="shared" si="401"/>
        <v>-1.050030779</v>
      </c>
      <c r="L176" s="81">
        <f t="shared" si="401"/>
        <v>1.591693677</v>
      </c>
      <c r="M176" s="81">
        <f t="shared" si="401"/>
        <v>-0.9512311941</v>
      </c>
      <c r="N176" s="81">
        <f t="shared" si="401"/>
        <v>-0.2037747724</v>
      </c>
      <c r="O176" s="81">
        <f t="shared" si="401"/>
        <v>-0.5357642567</v>
      </c>
      <c r="P176" s="81">
        <f t="shared" si="401"/>
        <v>-0.3186268693</v>
      </c>
      <c r="Q176" s="81">
        <f t="shared" si="401"/>
        <v>0.3295728282</v>
      </c>
      <c r="R176" s="81">
        <f t="shared" si="401"/>
        <v>0.5939013841</v>
      </c>
      <c r="S176" s="81">
        <f t="shared" si="401"/>
        <v>1.239060764</v>
      </c>
      <c r="T176" s="81">
        <f t="shared" si="401"/>
        <v>2.198948641</v>
      </c>
      <c r="U176" s="81">
        <f t="shared" si="401"/>
        <v>1.881212195</v>
      </c>
      <c r="V176" s="81">
        <f t="shared" si="401"/>
        <v>0.7464562643</v>
      </c>
      <c r="W176" s="81">
        <f t="shared" si="401"/>
        <v>1.102257989</v>
      </c>
      <c r="X176" s="81">
        <f t="shared" si="401"/>
        <v>-0.4619546305</v>
      </c>
      <c r="Y176" s="81">
        <f t="shared" si="401"/>
        <v>-0.273459602</v>
      </c>
      <c r="Z176" s="81">
        <f t="shared" si="401"/>
        <v>-0.1747171386</v>
      </c>
      <c r="AA176" s="81">
        <f t="shared" si="401"/>
        <v>-0.6370547999</v>
      </c>
      <c r="AB176" s="81">
        <f t="shared" si="401"/>
        <v>-0.85200628</v>
      </c>
      <c r="AC176" s="81">
        <f t="shared" si="401"/>
        <v>-0.5214961581</v>
      </c>
      <c r="AD176" s="81">
        <f t="shared" si="401"/>
        <v>-0.4155517118</v>
      </c>
      <c r="AE176" s="81">
        <f t="shared" si="401"/>
        <v>-0.6824082863</v>
      </c>
      <c r="AF176" s="81">
        <f t="shared" si="401"/>
        <v>0.08693144512</v>
      </c>
      <c r="AG176" s="81">
        <f t="shared" si="401"/>
        <v>0.9255097891</v>
      </c>
      <c r="AH176" s="81">
        <f t="shared" si="401"/>
        <v>-0.7913085503</v>
      </c>
      <c r="AI176" s="81">
        <f t="shared" si="401"/>
        <v>-0.2281416576</v>
      </c>
      <c r="AJ176" s="81">
        <f t="shared" si="401"/>
        <v>-0.2408186007</v>
      </c>
      <c r="AK176" s="81">
        <v>0.0</v>
      </c>
      <c r="AL176" s="81">
        <v>0.0</v>
      </c>
      <c r="AM176" s="81">
        <v>0.0</v>
      </c>
      <c r="AN176" s="81">
        <v>0.0</v>
      </c>
      <c r="AO176" s="81">
        <v>0.0</v>
      </c>
      <c r="AP176" s="81">
        <v>0.0</v>
      </c>
      <c r="AQ176" s="81">
        <v>0.0</v>
      </c>
      <c r="AR176" s="81">
        <v>0.0</v>
      </c>
      <c r="AS176" s="81">
        <v>0.0</v>
      </c>
      <c r="AT176" s="81">
        <v>0.0</v>
      </c>
      <c r="AU176" s="81">
        <v>0.0</v>
      </c>
      <c r="AV176" s="81">
        <v>0.0</v>
      </c>
      <c r="AW176" s="81">
        <v>0.0</v>
      </c>
      <c r="AX176" s="81">
        <v>0.0</v>
      </c>
      <c r="AY176" s="81">
        <v>0.0</v>
      </c>
      <c r="AZ176" s="81">
        <v>0.0</v>
      </c>
      <c r="BA176" s="81">
        <v>0.0</v>
      </c>
      <c r="BB176" s="81">
        <v>0.0</v>
      </c>
      <c r="BC176" s="81">
        <v>0.0</v>
      </c>
      <c r="BD176" s="81">
        <v>0.0</v>
      </c>
      <c r="BE176" s="81">
        <v>0.0</v>
      </c>
      <c r="BF176" s="81">
        <v>0.0</v>
      </c>
      <c r="BG176" s="81">
        <v>0.0</v>
      </c>
      <c r="BH176" s="81">
        <v>0.0</v>
      </c>
      <c r="BI176" s="81">
        <v>0.0</v>
      </c>
      <c r="BJ176" s="81">
        <v>0.0</v>
      </c>
      <c r="BK176" s="81">
        <v>0.0</v>
      </c>
      <c r="BL176" s="81">
        <v>0.0</v>
      </c>
      <c r="BM176" s="81">
        <v>0.0</v>
      </c>
      <c r="BN176" s="81">
        <v>0.0</v>
      </c>
      <c r="BO176" s="81">
        <v>0.0</v>
      </c>
      <c r="BP176" s="81">
        <v>0.0</v>
      </c>
      <c r="BQ176" s="81">
        <v>0.0</v>
      </c>
      <c r="BR176" s="81">
        <v>0.0</v>
      </c>
      <c r="BS176" s="81">
        <v>0.0</v>
      </c>
      <c r="BT176" s="81">
        <v>0.0</v>
      </c>
      <c r="BU176" s="81">
        <v>0.0</v>
      </c>
      <c r="BV176" s="81">
        <v>0.0</v>
      </c>
      <c r="BW176" s="81">
        <v>0.0</v>
      </c>
      <c r="BX176" s="6" t="s">
        <v>35</v>
      </c>
      <c r="BY176" s="81"/>
      <c r="BZ176" s="81">
        <f t="shared" ref="BZ176:CP176" si="402">BZ175-BY175</f>
        <v>-1.626269778</v>
      </c>
      <c r="CA176" s="81">
        <f t="shared" si="402"/>
        <v>-0.5174990735</v>
      </c>
      <c r="CB176" s="81">
        <f t="shared" si="402"/>
        <v>1.332671312</v>
      </c>
      <c r="CC176" s="81">
        <f t="shared" si="402"/>
        <v>1.475366273</v>
      </c>
      <c r="CD176" s="81">
        <f t="shared" si="402"/>
        <v>-0.4689501618</v>
      </c>
      <c r="CE176" s="81">
        <f t="shared" si="402"/>
        <v>-1.157386842</v>
      </c>
      <c r="CF176" s="81">
        <f t="shared" si="402"/>
        <v>0.1709799668</v>
      </c>
      <c r="CG176" s="81">
        <f t="shared" si="402"/>
        <v>-0.3821112913</v>
      </c>
      <c r="CH176" s="81">
        <f t="shared" si="402"/>
        <v>0.0408637934</v>
      </c>
      <c r="CI176" s="81">
        <f t="shared" si="402"/>
        <v>-0.008670766463</v>
      </c>
      <c r="CJ176" s="81">
        <f t="shared" si="402"/>
        <v>0</v>
      </c>
      <c r="CK176" s="81">
        <f t="shared" si="402"/>
        <v>0</v>
      </c>
      <c r="CL176" s="81">
        <f t="shared" si="402"/>
        <v>0</v>
      </c>
      <c r="CM176" s="81">
        <f t="shared" si="402"/>
        <v>0</v>
      </c>
      <c r="CN176" s="81">
        <f t="shared" si="402"/>
        <v>0</v>
      </c>
      <c r="CO176" s="81">
        <f t="shared" si="402"/>
        <v>0</v>
      </c>
      <c r="CP176" s="81">
        <f t="shared" si="402"/>
        <v>0</v>
      </c>
      <c r="CQ176" s="6" t="s">
        <v>35</v>
      </c>
    </row>
    <row r="177" ht="14.25" customHeight="1">
      <c r="A177" s="9"/>
      <c r="B177" s="10"/>
      <c r="C177" s="9"/>
      <c r="BX177" s="6" t="s">
        <v>35</v>
      </c>
      <c r="CQ177" s="6" t="s">
        <v>35</v>
      </c>
    </row>
    <row r="178" ht="14.25" customHeight="1">
      <c r="A178" s="9"/>
      <c r="B178" s="59" t="s">
        <v>89</v>
      </c>
      <c r="C178" s="86" t="s">
        <v>39</v>
      </c>
      <c r="D178" s="87">
        <f t="shared" ref="D178:AJ178" si="403">D64</f>
        <v>5.349</v>
      </c>
      <c r="E178" s="87">
        <f t="shared" si="403"/>
        <v>6.882</v>
      </c>
      <c r="F178" s="87">
        <f t="shared" si="403"/>
        <v>10.926</v>
      </c>
      <c r="G178" s="87">
        <f t="shared" si="403"/>
        <v>11.873</v>
      </c>
      <c r="H178" s="87">
        <f t="shared" si="403"/>
        <v>12.686</v>
      </c>
      <c r="I178" s="87">
        <f t="shared" si="403"/>
        <v>14.387</v>
      </c>
      <c r="J178" s="87">
        <f t="shared" si="403"/>
        <v>18.521</v>
      </c>
      <c r="K178" s="87">
        <f t="shared" si="403"/>
        <v>23.011</v>
      </c>
      <c r="L178" s="87">
        <f t="shared" si="403"/>
        <v>24.61</v>
      </c>
      <c r="M178" s="87">
        <f t="shared" si="403"/>
        <v>25.535</v>
      </c>
      <c r="N178" s="87">
        <f t="shared" si="403"/>
        <v>25.518</v>
      </c>
      <c r="O178" s="87">
        <f t="shared" si="403"/>
        <v>25.022</v>
      </c>
      <c r="P178" s="87">
        <f t="shared" si="403"/>
        <v>25.696</v>
      </c>
      <c r="Q178" s="87">
        <f t="shared" si="403"/>
        <v>27.577</v>
      </c>
      <c r="R178" s="87">
        <f t="shared" si="403"/>
        <v>27.586</v>
      </c>
      <c r="S178" s="87">
        <f t="shared" si="403"/>
        <v>22.788</v>
      </c>
      <c r="T178" s="87">
        <f t="shared" si="403"/>
        <v>20.244</v>
      </c>
      <c r="U178" s="87">
        <f t="shared" si="403"/>
        <v>18.391</v>
      </c>
      <c r="V178" s="87">
        <f t="shared" si="403"/>
        <v>13.698</v>
      </c>
      <c r="W178" s="87">
        <f t="shared" si="403"/>
        <v>12.693</v>
      </c>
      <c r="X178" s="87">
        <f t="shared" si="403"/>
        <v>12.075</v>
      </c>
      <c r="Y178" s="87">
        <f t="shared" si="403"/>
        <v>14.482</v>
      </c>
      <c r="Z178" s="87">
        <f t="shared" si="403"/>
        <v>16.359</v>
      </c>
      <c r="AA178" s="87">
        <f t="shared" si="403"/>
        <v>12.392</v>
      </c>
      <c r="AB178" s="87">
        <f t="shared" si="403"/>
        <v>13.637</v>
      </c>
      <c r="AC178" s="87">
        <f t="shared" si="403"/>
        <v>17.981</v>
      </c>
      <c r="AD178" s="87">
        <f t="shared" si="403"/>
        <v>19.928</v>
      </c>
      <c r="AE178" s="87">
        <f t="shared" si="403"/>
        <v>15.428</v>
      </c>
      <c r="AF178" s="87">
        <f t="shared" si="403"/>
        <v>21.558</v>
      </c>
      <c r="AG178" s="87">
        <f t="shared" si="403"/>
        <v>27.11</v>
      </c>
      <c r="AH178" s="87">
        <f t="shared" si="403"/>
        <v>25.967</v>
      </c>
      <c r="AI178" s="87">
        <f t="shared" si="403"/>
        <v>20.037</v>
      </c>
      <c r="AJ178" s="87">
        <f t="shared" si="403"/>
        <v>27.294</v>
      </c>
      <c r="AK178" s="87">
        <f t="shared" ref="AK178:BW178" si="404">(AK179*AK$11)/($D$197/4)</f>
        <v>46.82537306</v>
      </c>
      <c r="AL178" s="87">
        <f t="shared" si="404"/>
        <v>23.75208584</v>
      </c>
      <c r="AM178" s="87">
        <f t="shared" si="404"/>
        <v>19.54471956</v>
      </c>
      <c r="AN178" s="87">
        <f t="shared" si="404"/>
        <v>28.48570608</v>
      </c>
      <c r="AO178" s="87">
        <f t="shared" si="404"/>
        <v>50.88100227</v>
      </c>
      <c r="AP178" s="87">
        <f t="shared" si="404"/>
        <v>26.59612606</v>
      </c>
      <c r="AQ178" s="87">
        <f t="shared" si="404"/>
        <v>21.72720781</v>
      </c>
      <c r="AR178" s="87">
        <f t="shared" si="404"/>
        <v>31.5106089</v>
      </c>
      <c r="AS178" s="87">
        <f t="shared" si="404"/>
        <v>56.00680466</v>
      </c>
      <c r="AT178" s="87">
        <f t="shared" si="404"/>
        <v>29.13123203</v>
      </c>
      <c r="AU178" s="87">
        <f t="shared" si="404"/>
        <v>23.73989055</v>
      </c>
      <c r="AV178" s="87">
        <f t="shared" si="404"/>
        <v>34.42956928</v>
      </c>
      <c r="AW178" s="87">
        <f t="shared" si="404"/>
        <v>61.19495079</v>
      </c>
      <c r="AX178" s="87">
        <f t="shared" si="404"/>
        <v>31.82978071</v>
      </c>
      <c r="AY178" s="87">
        <f t="shared" si="404"/>
        <v>25.93901657</v>
      </c>
      <c r="AZ178" s="87">
        <f t="shared" si="404"/>
        <v>37.61892525</v>
      </c>
      <c r="BA178" s="87">
        <f t="shared" si="404"/>
        <v>66.86369674</v>
      </c>
      <c r="BB178" s="87">
        <f t="shared" si="404"/>
        <v>34.77830732</v>
      </c>
      <c r="BC178" s="87">
        <f t="shared" si="404"/>
        <v>28.34185689</v>
      </c>
      <c r="BD178" s="87">
        <f t="shared" si="404"/>
        <v>41.10372469</v>
      </c>
      <c r="BE178" s="87">
        <f t="shared" si="404"/>
        <v>73.0575625</v>
      </c>
      <c r="BF178" s="87">
        <f t="shared" si="404"/>
        <v>37.99996836</v>
      </c>
      <c r="BG178" s="87">
        <f t="shared" si="404"/>
        <v>30.96728243</v>
      </c>
      <c r="BH178" s="87">
        <f t="shared" si="404"/>
        <v>44.91133577</v>
      </c>
      <c r="BI178" s="87">
        <f t="shared" si="404"/>
        <v>79.82519213</v>
      </c>
      <c r="BJ178" s="87">
        <f t="shared" si="404"/>
        <v>41.52006543</v>
      </c>
      <c r="BK178" s="87">
        <f t="shared" si="404"/>
        <v>33.83591219</v>
      </c>
      <c r="BL178" s="87">
        <f t="shared" si="404"/>
        <v>49.07166191</v>
      </c>
      <c r="BM178" s="87">
        <f t="shared" si="404"/>
        <v>87.21973578</v>
      </c>
      <c r="BN178" s="87">
        <f t="shared" si="404"/>
        <v>45.36624391</v>
      </c>
      <c r="BO178" s="87">
        <f t="shared" si="404"/>
        <v>36.9702752</v>
      </c>
      <c r="BP178" s="87">
        <f t="shared" si="404"/>
        <v>53.61737656</v>
      </c>
      <c r="BQ178" s="87">
        <f t="shared" si="404"/>
        <v>95.29926714</v>
      </c>
      <c r="BR178" s="87">
        <f t="shared" si="404"/>
        <v>49.5687101</v>
      </c>
      <c r="BS178" s="87">
        <f t="shared" si="404"/>
        <v>40.39498745</v>
      </c>
      <c r="BT178" s="87">
        <f t="shared" si="404"/>
        <v>58.58417991</v>
      </c>
      <c r="BU178" s="87">
        <f t="shared" si="404"/>
        <v>104.1272395</v>
      </c>
      <c r="BV178" s="87">
        <f t="shared" si="404"/>
        <v>54.16046842</v>
      </c>
      <c r="BW178" s="87">
        <f t="shared" si="404"/>
        <v>44.13694523</v>
      </c>
      <c r="BX178" s="6" t="s">
        <v>35</v>
      </c>
      <c r="BY178" s="87">
        <f t="shared" ref="BY178:CP178" si="405">BY64</f>
        <v>11.873</v>
      </c>
      <c r="BZ178" s="87">
        <f t="shared" si="405"/>
        <v>23.011</v>
      </c>
      <c r="CA178" s="87">
        <f t="shared" si="405"/>
        <v>25.022</v>
      </c>
      <c r="CB178" s="87">
        <f t="shared" si="405"/>
        <v>22.788</v>
      </c>
      <c r="CC178" s="87">
        <f t="shared" si="405"/>
        <v>12.693</v>
      </c>
      <c r="CD178" s="87">
        <f t="shared" si="405"/>
        <v>12.392</v>
      </c>
      <c r="CE178" s="87">
        <f t="shared" si="405"/>
        <v>15.428</v>
      </c>
      <c r="CF178" s="87">
        <f t="shared" si="405"/>
        <v>20.037</v>
      </c>
      <c r="CG178" s="87">
        <f t="shared" si="405"/>
        <v>19.54471956</v>
      </c>
      <c r="CH178" s="87">
        <f t="shared" si="405"/>
        <v>21.72720781</v>
      </c>
      <c r="CI178" s="87">
        <f t="shared" si="405"/>
        <v>23.73989055</v>
      </c>
      <c r="CJ178" s="87">
        <f t="shared" si="405"/>
        <v>25.93901657</v>
      </c>
      <c r="CK178" s="87">
        <f t="shared" si="405"/>
        <v>28.34185689</v>
      </c>
      <c r="CL178" s="87">
        <f t="shared" si="405"/>
        <v>30.96728243</v>
      </c>
      <c r="CM178" s="87">
        <f t="shared" si="405"/>
        <v>33.83591219</v>
      </c>
      <c r="CN178" s="87">
        <f t="shared" si="405"/>
        <v>36.9702752</v>
      </c>
      <c r="CO178" s="87">
        <f t="shared" si="405"/>
        <v>40.39498745</v>
      </c>
      <c r="CP178" s="87">
        <f t="shared" si="405"/>
        <v>44.13694523</v>
      </c>
      <c r="CQ178" s="6" t="s">
        <v>35</v>
      </c>
    </row>
    <row r="179" ht="14.25" customHeight="1">
      <c r="A179" s="9"/>
      <c r="B179" s="10" t="s">
        <v>107</v>
      </c>
      <c r="C179" s="9" t="s">
        <v>108</v>
      </c>
      <c r="D179" s="81">
        <f t="shared" ref="D179:AJ179" si="406">D178/D$11*($D$197/4)</f>
        <v>9.334052054</v>
      </c>
      <c r="E179" s="81">
        <f t="shared" si="406"/>
        <v>11.62370895</v>
      </c>
      <c r="F179" s="81">
        <f t="shared" si="406"/>
        <v>16.23800876</v>
      </c>
      <c r="G179" s="81">
        <f t="shared" si="406"/>
        <v>15.75069056</v>
      </c>
      <c r="H179" s="81">
        <f t="shared" si="406"/>
        <v>15.21233048</v>
      </c>
      <c r="I179" s="81">
        <f t="shared" si="406"/>
        <v>15.56831523</v>
      </c>
      <c r="J179" s="81">
        <f t="shared" si="406"/>
        <v>21.1561921</v>
      </c>
      <c r="K179" s="81">
        <f t="shared" si="406"/>
        <v>24.1542574</v>
      </c>
      <c r="L179" s="81">
        <f t="shared" si="406"/>
        <v>27.0953487</v>
      </c>
      <c r="M179" s="81">
        <f t="shared" si="406"/>
        <v>25.20192037</v>
      </c>
      <c r="N179" s="81">
        <f t="shared" si="406"/>
        <v>27.26984471</v>
      </c>
      <c r="O179" s="81">
        <f t="shared" si="406"/>
        <v>25.97917236</v>
      </c>
      <c r="P179" s="81">
        <f t="shared" si="406"/>
        <v>32.96813925</v>
      </c>
      <c r="Q179" s="81">
        <f t="shared" si="406"/>
        <v>52.22266322</v>
      </c>
      <c r="R179" s="81">
        <f t="shared" si="406"/>
        <v>45.91209623</v>
      </c>
      <c r="S179" s="81">
        <f t="shared" si="406"/>
        <v>30.54444901</v>
      </c>
      <c r="T179" s="81">
        <f t="shared" si="406"/>
        <v>23.54973802</v>
      </c>
      <c r="U179" s="81">
        <f t="shared" si="406"/>
        <v>15.04769153</v>
      </c>
      <c r="V179" s="81">
        <f t="shared" si="406"/>
        <v>10.11419451</v>
      </c>
      <c r="W179" s="81">
        <f t="shared" si="406"/>
        <v>9.684816419</v>
      </c>
      <c r="X179" s="81">
        <f t="shared" si="406"/>
        <v>8.52239767</v>
      </c>
      <c r="Y179" s="81">
        <f t="shared" si="406"/>
        <v>7.184234704</v>
      </c>
      <c r="Z179" s="81">
        <f t="shared" si="406"/>
        <v>5.866862981</v>
      </c>
      <c r="AA179" s="81">
        <f t="shared" si="406"/>
        <v>4.599898302</v>
      </c>
      <c r="AB179" s="81">
        <f t="shared" si="406"/>
        <v>5.157779717</v>
      </c>
      <c r="AC179" s="81">
        <f t="shared" si="406"/>
        <v>6.461388589</v>
      </c>
      <c r="AD179" s="81">
        <f t="shared" si="406"/>
        <v>6.761043587</v>
      </c>
      <c r="AE179" s="81">
        <f t="shared" si="406"/>
        <v>4.987670811</v>
      </c>
      <c r="AF179" s="81">
        <f t="shared" si="406"/>
        <v>9.089120782</v>
      </c>
      <c r="AG179" s="81">
        <f t="shared" si="406"/>
        <v>12.05197067</v>
      </c>
      <c r="AH179" s="81">
        <f t="shared" si="406"/>
        <v>6.034208228</v>
      </c>
      <c r="AI179" s="81">
        <f t="shared" si="406"/>
        <v>4.356461151</v>
      </c>
      <c r="AJ179" s="81">
        <f t="shared" si="406"/>
        <v>6.752368881</v>
      </c>
      <c r="AK179" s="81">
        <f t="shared" ref="AK179:BW179" si="407">AG179+AK180</f>
        <v>12.05197067</v>
      </c>
      <c r="AL179" s="81">
        <f t="shared" si="407"/>
        <v>6.034208228</v>
      </c>
      <c r="AM179" s="81">
        <f t="shared" si="407"/>
        <v>4.356461151</v>
      </c>
      <c r="AN179" s="81">
        <f t="shared" si="407"/>
        <v>6.752368881</v>
      </c>
      <c r="AO179" s="81">
        <f t="shared" si="407"/>
        <v>12.05197067</v>
      </c>
      <c r="AP179" s="81">
        <f t="shared" si="407"/>
        <v>6.034208228</v>
      </c>
      <c r="AQ179" s="81">
        <f t="shared" si="407"/>
        <v>4.356461151</v>
      </c>
      <c r="AR179" s="81">
        <f t="shared" si="407"/>
        <v>6.752368881</v>
      </c>
      <c r="AS179" s="81">
        <f t="shared" si="407"/>
        <v>12.05197067</v>
      </c>
      <c r="AT179" s="81">
        <f t="shared" si="407"/>
        <v>6.034208228</v>
      </c>
      <c r="AU179" s="81">
        <f t="shared" si="407"/>
        <v>4.356461151</v>
      </c>
      <c r="AV179" s="81">
        <f t="shared" si="407"/>
        <v>6.752368881</v>
      </c>
      <c r="AW179" s="81">
        <f t="shared" si="407"/>
        <v>12.05197067</v>
      </c>
      <c r="AX179" s="81">
        <f t="shared" si="407"/>
        <v>6.034208228</v>
      </c>
      <c r="AY179" s="81">
        <f t="shared" si="407"/>
        <v>4.356461151</v>
      </c>
      <c r="AZ179" s="81">
        <f t="shared" si="407"/>
        <v>6.752368881</v>
      </c>
      <c r="BA179" s="81">
        <f t="shared" si="407"/>
        <v>12.05197067</v>
      </c>
      <c r="BB179" s="81">
        <f t="shared" si="407"/>
        <v>6.034208228</v>
      </c>
      <c r="BC179" s="81">
        <f t="shared" si="407"/>
        <v>4.356461151</v>
      </c>
      <c r="BD179" s="81">
        <f t="shared" si="407"/>
        <v>6.752368881</v>
      </c>
      <c r="BE179" s="81">
        <f t="shared" si="407"/>
        <v>12.05197067</v>
      </c>
      <c r="BF179" s="81">
        <f t="shared" si="407"/>
        <v>6.034208228</v>
      </c>
      <c r="BG179" s="81">
        <f t="shared" si="407"/>
        <v>4.356461151</v>
      </c>
      <c r="BH179" s="81">
        <f t="shared" si="407"/>
        <v>6.752368881</v>
      </c>
      <c r="BI179" s="81">
        <f t="shared" si="407"/>
        <v>12.05197067</v>
      </c>
      <c r="BJ179" s="81">
        <f t="shared" si="407"/>
        <v>6.034208228</v>
      </c>
      <c r="BK179" s="81">
        <f t="shared" si="407"/>
        <v>4.356461151</v>
      </c>
      <c r="BL179" s="81">
        <f t="shared" si="407"/>
        <v>6.752368881</v>
      </c>
      <c r="BM179" s="81">
        <f t="shared" si="407"/>
        <v>12.05197067</v>
      </c>
      <c r="BN179" s="81">
        <f t="shared" si="407"/>
        <v>6.034208228</v>
      </c>
      <c r="BO179" s="81">
        <f t="shared" si="407"/>
        <v>4.356461151</v>
      </c>
      <c r="BP179" s="81">
        <f t="shared" si="407"/>
        <v>6.752368881</v>
      </c>
      <c r="BQ179" s="81">
        <f t="shared" si="407"/>
        <v>12.05197067</v>
      </c>
      <c r="BR179" s="81">
        <f t="shared" si="407"/>
        <v>6.034208228</v>
      </c>
      <c r="BS179" s="81">
        <f t="shared" si="407"/>
        <v>4.356461151</v>
      </c>
      <c r="BT179" s="81">
        <f t="shared" si="407"/>
        <v>6.752368881</v>
      </c>
      <c r="BU179" s="81">
        <f t="shared" si="407"/>
        <v>12.05197067</v>
      </c>
      <c r="BV179" s="81">
        <f t="shared" si="407"/>
        <v>6.034208228</v>
      </c>
      <c r="BW179" s="81">
        <f t="shared" si="407"/>
        <v>4.356461151</v>
      </c>
      <c r="BX179" s="6" t="s">
        <v>35</v>
      </c>
      <c r="BY179" s="81">
        <f t="shared" ref="BY179:CP179" si="408">BY178/BY$11*($D$197)</f>
        <v>18.32392538</v>
      </c>
      <c r="BZ179" s="81">
        <f t="shared" si="408"/>
        <v>25.66645887</v>
      </c>
      <c r="CA179" s="81">
        <f t="shared" si="408"/>
        <v>26.19826627</v>
      </c>
      <c r="CB179" s="81">
        <f t="shared" si="408"/>
        <v>34.34010561</v>
      </c>
      <c r="CC179" s="81">
        <f t="shared" si="408"/>
        <v>10.69615899</v>
      </c>
      <c r="CD179" s="81">
        <f t="shared" si="408"/>
        <v>5.560065594</v>
      </c>
      <c r="CE179" s="81">
        <f t="shared" si="408"/>
        <v>5.381466156</v>
      </c>
      <c r="CF179" s="81">
        <f t="shared" si="408"/>
        <v>5.926377162</v>
      </c>
      <c r="CG179" s="81">
        <f t="shared" si="408"/>
        <v>4.781571379</v>
      </c>
      <c r="CH179" s="81">
        <f t="shared" si="408"/>
        <v>4.872845568</v>
      </c>
      <c r="CI179" s="81">
        <f t="shared" si="408"/>
        <v>4.847165353</v>
      </c>
      <c r="CJ179" s="81">
        <f t="shared" si="408"/>
        <v>4.847165353</v>
      </c>
      <c r="CK179" s="81">
        <f t="shared" si="408"/>
        <v>4.847165353</v>
      </c>
      <c r="CL179" s="81">
        <f t="shared" si="408"/>
        <v>4.847165353</v>
      </c>
      <c r="CM179" s="81">
        <f t="shared" si="408"/>
        <v>4.847165353</v>
      </c>
      <c r="CN179" s="81">
        <f t="shared" si="408"/>
        <v>4.847165353</v>
      </c>
      <c r="CO179" s="81">
        <f t="shared" si="408"/>
        <v>4.847165353</v>
      </c>
      <c r="CP179" s="81">
        <f t="shared" si="408"/>
        <v>4.847165353</v>
      </c>
      <c r="CQ179" s="6" t="s">
        <v>35</v>
      </c>
    </row>
    <row r="180" ht="14.25" customHeight="1">
      <c r="A180" s="9"/>
      <c r="B180" s="10" t="s">
        <v>106</v>
      </c>
      <c r="C180" s="9"/>
      <c r="H180" s="81">
        <f t="shared" ref="H180:AJ180" si="409">H179-D179</f>
        <v>5.878278423</v>
      </c>
      <c r="I180" s="81">
        <f t="shared" si="409"/>
        <v>3.944606274</v>
      </c>
      <c r="J180" s="81">
        <f t="shared" si="409"/>
        <v>4.918183341</v>
      </c>
      <c r="K180" s="81">
        <f t="shared" si="409"/>
        <v>8.403566842</v>
      </c>
      <c r="L180" s="81">
        <f t="shared" si="409"/>
        <v>11.88301822</v>
      </c>
      <c r="M180" s="81">
        <f t="shared" si="409"/>
        <v>9.633605144</v>
      </c>
      <c r="N180" s="81">
        <f t="shared" si="409"/>
        <v>6.113652605</v>
      </c>
      <c r="O180" s="81">
        <f t="shared" si="409"/>
        <v>1.824914956</v>
      </c>
      <c r="P180" s="81">
        <f t="shared" si="409"/>
        <v>5.872790557</v>
      </c>
      <c r="Q180" s="81">
        <f t="shared" si="409"/>
        <v>27.02074285</v>
      </c>
      <c r="R180" s="81">
        <f t="shared" si="409"/>
        <v>18.64225152</v>
      </c>
      <c r="S180" s="81">
        <f t="shared" si="409"/>
        <v>4.565276659</v>
      </c>
      <c r="T180" s="81">
        <f t="shared" si="409"/>
        <v>-9.418401234</v>
      </c>
      <c r="U180" s="81">
        <f t="shared" si="409"/>
        <v>-37.17497169</v>
      </c>
      <c r="V180" s="81">
        <f t="shared" si="409"/>
        <v>-35.79790172</v>
      </c>
      <c r="W180" s="81">
        <f t="shared" si="409"/>
        <v>-20.8596326</v>
      </c>
      <c r="X180" s="81">
        <f t="shared" si="409"/>
        <v>-15.02734035</v>
      </c>
      <c r="Y180" s="81">
        <f t="shared" si="409"/>
        <v>-7.863456824</v>
      </c>
      <c r="Z180" s="81">
        <f t="shared" si="409"/>
        <v>-4.247331528</v>
      </c>
      <c r="AA180" s="81">
        <f t="shared" si="409"/>
        <v>-5.084918117</v>
      </c>
      <c r="AB180" s="81">
        <f t="shared" si="409"/>
        <v>-3.364617954</v>
      </c>
      <c r="AC180" s="81">
        <f t="shared" si="409"/>
        <v>-0.7228461153</v>
      </c>
      <c r="AD180" s="81">
        <f t="shared" si="409"/>
        <v>0.894180606</v>
      </c>
      <c r="AE180" s="81">
        <f t="shared" si="409"/>
        <v>0.387772509</v>
      </c>
      <c r="AF180" s="81">
        <f t="shared" si="409"/>
        <v>3.931341065</v>
      </c>
      <c r="AG180" s="81">
        <f t="shared" si="409"/>
        <v>5.590582082</v>
      </c>
      <c r="AH180" s="81">
        <f t="shared" si="409"/>
        <v>-0.7268353592</v>
      </c>
      <c r="AI180" s="81">
        <f t="shared" si="409"/>
        <v>-0.6312096593</v>
      </c>
      <c r="AJ180" s="81">
        <f t="shared" si="409"/>
        <v>-2.336751901</v>
      </c>
      <c r="AK180" s="81">
        <v>0.0</v>
      </c>
      <c r="AL180" s="81">
        <v>0.0</v>
      </c>
      <c r="AM180" s="81">
        <v>0.0</v>
      </c>
      <c r="AN180" s="81">
        <v>0.0</v>
      </c>
      <c r="AO180" s="81">
        <v>0.0</v>
      </c>
      <c r="AP180" s="81">
        <v>0.0</v>
      </c>
      <c r="AQ180" s="81">
        <v>0.0</v>
      </c>
      <c r="AR180" s="81">
        <v>0.0</v>
      </c>
      <c r="AS180" s="81">
        <v>0.0</v>
      </c>
      <c r="AT180" s="81">
        <v>0.0</v>
      </c>
      <c r="AU180" s="81">
        <v>0.0</v>
      </c>
      <c r="AV180" s="81">
        <v>0.0</v>
      </c>
      <c r="AW180" s="81">
        <v>0.0</v>
      </c>
      <c r="AX180" s="81">
        <v>0.0</v>
      </c>
      <c r="AY180" s="81">
        <v>0.0</v>
      </c>
      <c r="AZ180" s="81">
        <v>0.0</v>
      </c>
      <c r="BA180" s="81">
        <v>0.0</v>
      </c>
      <c r="BB180" s="81">
        <v>0.0</v>
      </c>
      <c r="BC180" s="81">
        <v>0.0</v>
      </c>
      <c r="BD180" s="81">
        <v>0.0</v>
      </c>
      <c r="BE180" s="81">
        <v>0.0</v>
      </c>
      <c r="BF180" s="81">
        <v>0.0</v>
      </c>
      <c r="BG180" s="81">
        <v>0.0</v>
      </c>
      <c r="BH180" s="81">
        <v>0.0</v>
      </c>
      <c r="BI180" s="81">
        <v>0.0</v>
      </c>
      <c r="BJ180" s="81">
        <v>0.0</v>
      </c>
      <c r="BK180" s="81">
        <v>0.0</v>
      </c>
      <c r="BL180" s="81">
        <v>0.0</v>
      </c>
      <c r="BM180" s="81">
        <v>0.0</v>
      </c>
      <c r="BN180" s="81">
        <v>0.0</v>
      </c>
      <c r="BO180" s="81">
        <v>0.0</v>
      </c>
      <c r="BP180" s="81">
        <v>0.0</v>
      </c>
      <c r="BQ180" s="81">
        <v>0.0</v>
      </c>
      <c r="BR180" s="81">
        <v>0.0</v>
      </c>
      <c r="BS180" s="81">
        <v>0.0</v>
      </c>
      <c r="BT180" s="81">
        <v>0.0</v>
      </c>
      <c r="BU180" s="81">
        <v>0.0</v>
      </c>
      <c r="BV180" s="81">
        <v>0.0</v>
      </c>
      <c r="BW180" s="81">
        <v>0.0</v>
      </c>
      <c r="BX180" s="6" t="s">
        <v>35</v>
      </c>
      <c r="BY180" s="81"/>
      <c r="BZ180" s="81">
        <f t="shared" ref="BZ180:CP180" si="410">BZ179-BY179</f>
        <v>7.342533487</v>
      </c>
      <c r="CA180" s="81">
        <f t="shared" si="410"/>
        <v>0.5318074012</v>
      </c>
      <c r="CB180" s="81">
        <f t="shared" si="410"/>
        <v>8.141839342</v>
      </c>
      <c r="CC180" s="81">
        <f t="shared" si="410"/>
        <v>-23.64394662</v>
      </c>
      <c r="CD180" s="81">
        <f t="shared" si="410"/>
        <v>-5.136093394</v>
      </c>
      <c r="CE180" s="81">
        <f t="shared" si="410"/>
        <v>-0.1785994379</v>
      </c>
      <c r="CF180" s="81">
        <f t="shared" si="410"/>
        <v>0.5449110059</v>
      </c>
      <c r="CG180" s="81">
        <f t="shared" si="410"/>
        <v>-1.144805783</v>
      </c>
      <c r="CH180" s="81">
        <f t="shared" si="410"/>
        <v>0.09127418951</v>
      </c>
      <c r="CI180" s="81">
        <f t="shared" si="410"/>
        <v>-0.02568021498</v>
      </c>
      <c r="CJ180" s="81">
        <f t="shared" si="410"/>
        <v>0</v>
      </c>
      <c r="CK180" s="81">
        <f t="shared" si="410"/>
        <v>0</v>
      </c>
      <c r="CL180" s="81">
        <f t="shared" si="410"/>
        <v>0</v>
      </c>
      <c r="CM180" s="81">
        <f t="shared" si="410"/>
        <v>0</v>
      </c>
      <c r="CN180" s="81">
        <f t="shared" si="410"/>
        <v>0</v>
      </c>
      <c r="CO180" s="81">
        <f t="shared" si="410"/>
        <v>0</v>
      </c>
      <c r="CP180" s="81">
        <f t="shared" si="410"/>
        <v>0</v>
      </c>
      <c r="CQ180" s="6" t="s">
        <v>35</v>
      </c>
    </row>
    <row r="181" ht="14.25" customHeight="1">
      <c r="A181" s="9"/>
      <c r="B181" s="10"/>
      <c r="C181" s="9"/>
      <c r="BX181" s="6" t="s">
        <v>35</v>
      </c>
      <c r="CQ181" s="6" t="s">
        <v>35</v>
      </c>
    </row>
    <row r="182" ht="14.25" customHeight="1">
      <c r="A182" s="9"/>
      <c r="B182" s="83" t="s">
        <v>111</v>
      </c>
      <c r="C182" s="84" t="s">
        <v>39</v>
      </c>
      <c r="D182" s="85">
        <f t="shared" ref="D182:BW182" si="411">+D185+D189+D193</f>
        <v>16.459</v>
      </c>
      <c r="E182" s="85">
        <f t="shared" si="411"/>
        <v>19.275</v>
      </c>
      <c r="F182" s="85">
        <f t="shared" si="411"/>
        <v>33.626</v>
      </c>
      <c r="G182" s="85">
        <f t="shared" si="411"/>
        <v>31.142</v>
      </c>
      <c r="H182" s="85">
        <f t="shared" si="411"/>
        <v>42.637</v>
      </c>
      <c r="I182" s="85">
        <f t="shared" si="411"/>
        <v>50.196</v>
      </c>
      <c r="J182" s="85">
        <f t="shared" si="411"/>
        <v>48.302</v>
      </c>
      <c r="K182" s="85">
        <f t="shared" si="411"/>
        <v>45.912</v>
      </c>
      <c r="L182" s="85">
        <f t="shared" si="411"/>
        <v>51.484</v>
      </c>
      <c r="M182" s="85">
        <f t="shared" si="411"/>
        <v>52.643</v>
      </c>
      <c r="N182" s="85">
        <f t="shared" si="411"/>
        <v>52.041</v>
      </c>
      <c r="O182" s="85">
        <f t="shared" si="411"/>
        <v>39.343</v>
      </c>
      <c r="P182" s="85">
        <f t="shared" si="411"/>
        <v>34.787</v>
      </c>
      <c r="Q182" s="85">
        <f t="shared" si="411"/>
        <v>34.961</v>
      </c>
      <c r="R182" s="85">
        <f t="shared" si="411"/>
        <v>32.891</v>
      </c>
      <c r="S182" s="85">
        <f t="shared" si="411"/>
        <v>33.577</v>
      </c>
      <c r="T182" s="85">
        <f t="shared" si="411"/>
        <v>39.721</v>
      </c>
      <c r="U182" s="85">
        <f t="shared" si="411"/>
        <v>50.513</v>
      </c>
      <c r="V182" s="85">
        <f t="shared" si="411"/>
        <v>59.843</v>
      </c>
      <c r="W182" s="85">
        <f t="shared" si="411"/>
        <v>54.812</v>
      </c>
      <c r="X182" s="85">
        <f t="shared" si="411"/>
        <v>66.87000001</v>
      </c>
      <c r="Y182" s="85">
        <f t="shared" si="411"/>
        <v>94.65499995</v>
      </c>
      <c r="Z182" s="85">
        <f t="shared" si="411"/>
        <v>118.778</v>
      </c>
      <c r="AA182" s="85">
        <f t="shared" si="411"/>
        <v>118.7150001</v>
      </c>
      <c r="AB182" s="85">
        <f t="shared" si="411"/>
        <v>126.134</v>
      </c>
      <c r="AC182" s="85">
        <f t="shared" si="411"/>
        <v>131.881</v>
      </c>
      <c r="AD182" s="85">
        <f t="shared" si="411"/>
        <v>140.451</v>
      </c>
      <c r="AE182" s="85">
        <f t="shared" si="411"/>
        <v>134.254</v>
      </c>
      <c r="AF182" s="85">
        <f t="shared" si="411"/>
        <v>106.02</v>
      </c>
      <c r="AG182" s="85">
        <f t="shared" si="411"/>
        <v>112.356</v>
      </c>
      <c r="AH182" s="85">
        <f t="shared" si="411"/>
        <v>206.806</v>
      </c>
      <c r="AI182" s="85">
        <f t="shared" si="411"/>
        <v>161.946</v>
      </c>
      <c r="AJ182" s="85">
        <f t="shared" si="411"/>
        <v>163.925</v>
      </c>
      <c r="AK182" s="85">
        <f t="shared" si="411"/>
        <v>204.7953417</v>
      </c>
      <c r="AL182" s="85">
        <f t="shared" si="411"/>
        <v>206.0288715</v>
      </c>
      <c r="AM182" s="85">
        <f t="shared" si="411"/>
        <v>180.7814341</v>
      </c>
      <c r="AN182" s="85">
        <f t="shared" si="411"/>
        <v>168.1886116</v>
      </c>
      <c r="AO182" s="85">
        <f t="shared" si="411"/>
        <v>221.7822439</v>
      </c>
      <c r="AP182" s="85">
        <f t="shared" si="411"/>
        <v>229.9396849</v>
      </c>
      <c r="AQ182" s="85">
        <f t="shared" si="411"/>
        <v>200.1649326</v>
      </c>
      <c r="AR182" s="85">
        <f t="shared" si="411"/>
        <v>185.5470896</v>
      </c>
      <c r="AS182" s="85">
        <f t="shared" si="411"/>
        <v>243.6209051</v>
      </c>
      <c r="AT182" s="85">
        <f t="shared" si="411"/>
        <v>251.3381073</v>
      </c>
      <c r="AU182" s="85">
        <f t="shared" si="411"/>
        <v>218.3683323</v>
      </c>
      <c r="AV182" s="85">
        <f t="shared" si="411"/>
        <v>202.7350977</v>
      </c>
      <c r="AW182" s="85">
        <f t="shared" si="411"/>
        <v>266.1885353</v>
      </c>
      <c r="AX182" s="85">
        <f t="shared" si="411"/>
        <v>274.6206145</v>
      </c>
      <c r="AY182" s="85">
        <f t="shared" si="411"/>
        <v>238.5967104</v>
      </c>
      <c r="AZ182" s="85">
        <f t="shared" si="411"/>
        <v>221.5153035</v>
      </c>
      <c r="BA182" s="85">
        <f t="shared" si="411"/>
        <v>290.8467002</v>
      </c>
      <c r="BB182" s="85">
        <f t="shared" si="411"/>
        <v>300.0598783</v>
      </c>
      <c r="BC182" s="85">
        <f t="shared" si="411"/>
        <v>260.6989283</v>
      </c>
      <c r="BD182" s="85">
        <f t="shared" si="411"/>
        <v>242.0351987</v>
      </c>
      <c r="BE182" s="85">
        <f t="shared" si="411"/>
        <v>317.7890546</v>
      </c>
      <c r="BF182" s="85">
        <f t="shared" si="411"/>
        <v>327.8556882</v>
      </c>
      <c r="BG182" s="85">
        <f t="shared" si="411"/>
        <v>284.8485677</v>
      </c>
      <c r="BH182" s="85">
        <f t="shared" si="411"/>
        <v>264.4559383</v>
      </c>
      <c r="BI182" s="85">
        <f t="shared" si="411"/>
        <v>347.2271928</v>
      </c>
      <c r="BJ182" s="85">
        <f t="shared" si="411"/>
        <v>358.226341</v>
      </c>
      <c r="BK182" s="85">
        <f t="shared" si="411"/>
        <v>311.2352898</v>
      </c>
      <c r="BL182" s="85">
        <f t="shared" si="411"/>
        <v>288.9536053</v>
      </c>
      <c r="BM182" s="85">
        <f t="shared" si="411"/>
        <v>379.3923096</v>
      </c>
      <c r="BN182" s="85">
        <f t="shared" si="411"/>
        <v>391.4103553</v>
      </c>
      <c r="BO182" s="85">
        <f t="shared" si="411"/>
        <v>340.0663252</v>
      </c>
      <c r="BP182" s="85">
        <f t="shared" si="411"/>
        <v>315.7205944</v>
      </c>
      <c r="BQ182" s="85">
        <f t="shared" si="411"/>
        <v>414.5370167</v>
      </c>
      <c r="BR182" s="85">
        <f t="shared" si="411"/>
        <v>427.6683446</v>
      </c>
      <c r="BS182" s="85">
        <f t="shared" si="411"/>
        <v>371.5681007</v>
      </c>
      <c r="BT182" s="85">
        <f t="shared" si="411"/>
        <v>344.9671224</v>
      </c>
      <c r="BU182" s="85">
        <f t="shared" si="411"/>
        <v>452.937326</v>
      </c>
      <c r="BV182" s="85">
        <f t="shared" si="411"/>
        <v>467.285064</v>
      </c>
      <c r="BW182" s="85">
        <f t="shared" si="411"/>
        <v>405.9880184</v>
      </c>
      <c r="BX182" s="6" t="s">
        <v>35</v>
      </c>
      <c r="BY182" s="85">
        <f t="shared" ref="BY182:CP182" si="412">+BY185+BY189+BY193</f>
        <v>31.142</v>
      </c>
      <c r="BZ182" s="85">
        <f t="shared" si="412"/>
        <v>45.912</v>
      </c>
      <c r="CA182" s="85">
        <f t="shared" si="412"/>
        <v>39.343</v>
      </c>
      <c r="CB182" s="85">
        <f t="shared" si="412"/>
        <v>33.577</v>
      </c>
      <c r="CC182" s="85">
        <f t="shared" si="412"/>
        <v>54.812</v>
      </c>
      <c r="CD182" s="85">
        <f t="shared" si="412"/>
        <v>118.7150001</v>
      </c>
      <c r="CE182" s="85">
        <f t="shared" si="412"/>
        <v>134.254</v>
      </c>
      <c r="CF182" s="85">
        <f t="shared" si="412"/>
        <v>161.946</v>
      </c>
      <c r="CG182" s="85">
        <f t="shared" si="412"/>
        <v>180.7814341</v>
      </c>
      <c r="CH182" s="85">
        <f t="shared" si="412"/>
        <v>200.1649326</v>
      </c>
      <c r="CI182" s="85">
        <f t="shared" si="412"/>
        <v>218.3683323</v>
      </c>
      <c r="CJ182" s="85">
        <f t="shared" si="412"/>
        <v>238.5967104</v>
      </c>
      <c r="CK182" s="85">
        <f t="shared" si="412"/>
        <v>260.6989283</v>
      </c>
      <c r="CL182" s="85">
        <f t="shared" si="412"/>
        <v>284.8485677</v>
      </c>
      <c r="CM182" s="85">
        <f t="shared" si="412"/>
        <v>311.2352898</v>
      </c>
      <c r="CN182" s="85">
        <f t="shared" si="412"/>
        <v>340.0663252</v>
      </c>
      <c r="CO182" s="85">
        <f t="shared" si="412"/>
        <v>371.5681007</v>
      </c>
      <c r="CP182" s="85">
        <f t="shared" si="412"/>
        <v>405.9880184</v>
      </c>
      <c r="CQ182" s="6" t="s">
        <v>35</v>
      </c>
    </row>
    <row r="183" ht="14.25" customHeight="1">
      <c r="A183" s="9"/>
      <c r="B183" s="10" t="s">
        <v>106</v>
      </c>
      <c r="C183" s="9"/>
      <c r="BX183" s="6" t="s">
        <v>35</v>
      </c>
      <c r="BZ183" s="81">
        <f t="shared" ref="BZ183:CP183" si="413">BZ182-BY182</f>
        <v>14.77</v>
      </c>
      <c r="CA183" s="81">
        <f t="shared" si="413"/>
        <v>-6.569</v>
      </c>
      <c r="CB183" s="81">
        <f t="shared" si="413"/>
        <v>-5.766</v>
      </c>
      <c r="CC183" s="81">
        <f t="shared" si="413"/>
        <v>21.235</v>
      </c>
      <c r="CD183" s="81">
        <f t="shared" si="413"/>
        <v>63.90300006</v>
      </c>
      <c r="CE183" s="81">
        <f t="shared" si="413"/>
        <v>15.53899994</v>
      </c>
      <c r="CF183" s="81">
        <f t="shared" si="413"/>
        <v>27.692</v>
      </c>
      <c r="CG183" s="81">
        <f t="shared" si="413"/>
        <v>18.8354341</v>
      </c>
      <c r="CH183" s="81">
        <f t="shared" si="413"/>
        <v>19.38349851</v>
      </c>
      <c r="CI183" s="81">
        <f t="shared" si="413"/>
        <v>18.20339969</v>
      </c>
      <c r="CJ183" s="81">
        <f t="shared" si="413"/>
        <v>20.22837806</v>
      </c>
      <c r="CK183" s="81">
        <f t="shared" si="413"/>
        <v>22.10221789</v>
      </c>
      <c r="CL183" s="81">
        <f t="shared" si="413"/>
        <v>24.1496394</v>
      </c>
      <c r="CM183" s="81">
        <f t="shared" si="413"/>
        <v>26.38672218</v>
      </c>
      <c r="CN183" s="81">
        <f t="shared" si="413"/>
        <v>28.83103535</v>
      </c>
      <c r="CO183" s="81">
        <f t="shared" si="413"/>
        <v>31.50177555</v>
      </c>
      <c r="CP183" s="81">
        <f t="shared" si="413"/>
        <v>34.41991766</v>
      </c>
      <c r="CQ183" s="6" t="s">
        <v>35</v>
      </c>
    </row>
    <row r="184" ht="14.25" customHeight="1">
      <c r="A184" s="9"/>
      <c r="B184" s="10"/>
      <c r="C184" s="9"/>
      <c r="BX184" s="6" t="s">
        <v>35</v>
      </c>
      <c r="CQ184" s="6" t="s">
        <v>35</v>
      </c>
    </row>
    <row r="185" ht="14.25" customHeight="1">
      <c r="A185" s="9"/>
      <c r="B185" s="59" t="s">
        <v>112</v>
      </c>
      <c r="C185" s="86" t="s">
        <v>39</v>
      </c>
      <c r="D185" s="87">
        <f t="shared" ref="D185:AJ185" si="414">D77</f>
        <v>2.432</v>
      </c>
      <c r="E185" s="87">
        <f t="shared" si="414"/>
        <v>2.062</v>
      </c>
      <c r="F185" s="87">
        <f t="shared" si="414"/>
        <v>6.477</v>
      </c>
      <c r="G185" s="87">
        <f t="shared" si="414"/>
        <v>9.632</v>
      </c>
      <c r="H185" s="87">
        <f t="shared" si="414"/>
        <v>11.537</v>
      </c>
      <c r="I185" s="87">
        <f t="shared" si="414"/>
        <v>9.585</v>
      </c>
      <c r="J185" s="87">
        <f t="shared" si="414"/>
        <v>9.888</v>
      </c>
      <c r="K185" s="87">
        <f t="shared" si="414"/>
        <v>13.246</v>
      </c>
      <c r="L185" s="87">
        <f t="shared" si="414"/>
        <v>14.953</v>
      </c>
      <c r="M185" s="87">
        <f t="shared" si="414"/>
        <v>12.713</v>
      </c>
      <c r="N185" s="87">
        <f t="shared" si="414"/>
        <v>12.764</v>
      </c>
      <c r="O185" s="87">
        <f t="shared" si="414"/>
        <v>9.761</v>
      </c>
      <c r="P185" s="87">
        <f t="shared" si="414"/>
        <v>8.681</v>
      </c>
      <c r="Q185" s="87">
        <f t="shared" si="414"/>
        <v>6.606</v>
      </c>
      <c r="R185" s="87">
        <f t="shared" si="414"/>
        <v>7.124</v>
      </c>
      <c r="S185" s="87">
        <f t="shared" si="414"/>
        <v>11.478</v>
      </c>
      <c r="T185" s="87">
        <f t="shared" si="414"/>
        <v>12.157</v>
      </c>
      <c r="U185" s="87">
        <f t="shared" si="414"/>
        <v>12.457</v>
      </c>
      <c r="V185" s="87">
        <f t="shared" si="414"/>
        <v>13.559</v>
      </c>
      <c r="W185" s="87">
        <f t="shared" si="414"/>
        <v>17.25</v>
      </c>
      <c r="X185" s="87">
        <f t="shared" si="414"/>
        <v>18.09500001</v>
      </c>
      <c r="Y185" s="87">
        <f t="shared" si="414"/>
        <v>26.49899995</v>
      </c>
      <c r="Z185" s="87">
        <f t="shared" si="414"/>
        <v>29.79800004</v>
      </c>
      <c r="AA185" s="87">
        <f t="shared" si="414"/>
        <v>33.38300006</v>
      </c>
      <c r="AB185" s="87">
        <f t="shared" si="414"/>
        <v>36.383</v>
      </c>
      <c r="AC185" s="87">
        <f t="shared" si="414"/>
        <v>33.689</v>
      </c>
      <c r="AD185" s="87">
        <f t="shared" si="414"/>
        <v>29.052</v>
      </c>
      <c r="AE185" s="87">
        <f t="shared" si="414"/>
        <v>38.577</v>
      </c>
      <c r="AF185" s="87">
        <f t="shared" si="414"/>
        <v>20.957</v>
      </c>
      <c r="AG185" s="87">
        <f t="shared" si="414"/>
        <v>21.204</v>
      </c>
      <c r="AH185" s="87">
        <f t="shared" si="414"/>
        <v>60.039</v>
      </c>
      <c r="AI185" s="87">
        <f t="shared" si="414"/>
        <v>44.567</v>
      </c>
      <c r="AJ185" s="87">
        <f t="shared" si="414"/>
        <v>38.515</v>
      </c>
      <c r="AK185" s="87">
        <f t="shared" ref="AK185:BW185" si="415">-(AK186*AK$14)/($D$197/4)</f>
        <v>41.76826148</v>
      </c>
      <c r="AL185" s="87">
        <f t="shared" si="415"/>
        <v>61.56562262</v>
      </c>
      <c r="AM185" s="87">
        <f t="shared" si="415"/>
        <v>52.10836593</v>
      </c>
      <c r="AN185" s="87">
        <f t="shared" si="415"/>
        <v>39.45002793</v>
      </c>
      <c r="AO185" s="87">
        <f t="shared" si="415"/>
        <v>45.21333278</v>
      </c>
      <c r="AP185" s="87">
        <f t="shared" si="415"/>
        <v>68.67907153</v>
      </c>
      <c r="AQ185" s="87">
        <f t="shared" si="415"/>
        <v>57.67290341</v>
      </c>
      <c r="AR185" s="87">
        <f t="shared" si="415"/>
        <v>43.50983842</v>
      </c>
      <c r="AS185" s="87">
        <f t="shared" si="415"/>
        <v>49.65235781</v>
      </c>
      <c r="AT185" s="87">
        <f t="shared" si="415"/>
        <v>75.04873375</v>
      </c>
      <c r="AU185" s="87">
        <f t="shared" si="415"/>
        <v>62.90824919</v>
      </c>
      <c r="AV185" s="87">
        <f t="shared" si="415"/>
        <v>47.54033795</v>
      </c>
      <c r="AW185" s="87">
        <f t="shared" si="415"/>
        <v>54.25186478</v>
      </c>
      <c r="AX185" s="87">
        <f t="shared" si="415"/>
        <v>82.00081395</v>
      </c>
      <c r="AY185" s="87">
        <f t="shared" si="415"/>
        <v>68.73570519</v>
      </c>
      <c r="AZ185" s="87">
        <f t="shared" si="415"/>
        <v>51.94419962</v>
      </c>
      <c r="BA185" s="87">
        <f t="shared" si="415"/>
        <v>59.27744344</v>
      </c>
      <c r="BB185" s="87">
        <f t="shared" si="415"/>
        <v>89.59689461</v>
      </c>
      <c r="BC185" s="87">
        <f t="shared" si="415"/>
        <v>75.10298297</v>
      </c>
      <c r="BD185" s="87">
        <f t="shared" si="415"/>
        <v>56.75600954</v>
      </c>
      <c r="BE185" s="87">
        <f t="shared" si="415"/>
        <v>64.76856261</v>
      </c>
      <c r="BF185" s="87">
        <f t="shared" si="415"/>
        <v>97.89663221</v>
      </c>
      <c r="BG185" s="87">
        <f t="shared" si="415"/>
        <v>82.06008851</v>
      </c>
      <c r="BH185" s="87">
        <f t="shared" si="415"/>
        <v>62.01355768</v>
      </c>
      <c r="BI185" s="87">
        <f t="shared" si="415"/>
        <v>70.76834727</v>
      </c>
      <c r="BJ185" s="87">
        <f t="shared" si="415"/>
        <v>106.9652094</v>
      </c>
      <c r="BK185" s="87">
        <f t="shared" si="415"/>
        <v>89.66166002</v>
      </c>
      <c r="BL185" s="87">
        <f t="shared" si="415"/>
        <v>67.75813463</v>
      </c>
      <c r="BM185" s="87">
        <f t="shared" si="415"/>
        <v>77.32391725</v>
      </c>
      <c r="BN185" s="87">
        <f t="shared" si="415"/>
        <v>116.8738472</v>
      </c>
      <c r="BO185" s="87">
        <f t="shared" si="415"/>
        <v>97.96739711</v>
      </c>
      <c r="BP185" s="87">
        <f t="shared" si="415"/>
        <v>74.03485594</v>
      </c>
      <c r="BQ185" s="87">
        <f t="shared" si="415"/>
        <v>84.48675728</v>
      </c>
      <c r="BR185" s="87">
        <f t="shared" si="415"/>
        <v>127.7003637</v>
      </c>
      <c r="BS185" s="87">
        <f t="shared" si="415"/>
        <v>107.0425296</v>
      </c>
      <c r="BT185" s="87">
        <f t="shared" si="415"/>
        <v>80.89301637</v>
      </c>
      <c r="BU185" s="87">
        <f t="shared" si="415"/>
        <v>92.31312134</v>
      </c>
      <c r="BV185" s="87">
        <f t="shared" si="415"/>
        <v>139.5297861</v>
      </c>
      <c r="BW185" s="87">
        <f t="shared" si="415"/>
        <v>116.9583298</v>
      </c>
      <c r="BX185" s="6" t="s">
        <v>35</v>
      </c>
      <c r="BY185" s="87">
        <f t="shared" ref="BY185:CP185" si="416">BY77</f>
        <v>9.632</v>
      </c>
      <c r="BZ185" s="87">
        <f t="shared" si="416"/>
        <v>13.246</v>
      </c>
      <c r="CA185" s="87">
        <f t="shared" si="416"/>
        <v>9.761</v>
      </c>
      <c r="CB185" s="87">
        <f t="shared" si="416"/>
        <v>11.478</v>
      </c>
      <c r="CC185" s="87">
        <f t="shared" si="416"/>
        <v>17.25</v>
      </c>
      <c r="CD185" s="87">
        <f t="shared" si="416"/>
        <v>33.38300006</v>
      </c>
      <c r="CE185" s="87">
        <f t="shared" si="416"/>
        <v>38.577</v>
      </c>
      <c r="CF185" s="87">
        <f t="shared" si="416"/>
        <v>44.567</v>
      </c>
      <c r="CG185" s="87">
        <f t="shared" si="416"/>
        <v>52.10836593</v>
      </c>
      <c r="CH185" s="87">
        <f t="shared" si="416"/>
        <v>57.67290341</v>
      </c>
      <c r="CI185" s="87">
        <f t="shared" si="416"/>
        <v>62.90824919</v>
      </c>
      <c r="CJ185" s="87">
        <f t="shared" si="416"/>
        <v>68.73570519</v>
      </c>
      <c r="CK185" s="87">
        <f t="shared" si="416"/>
        <v>75.10298297</v>
      </c>
      <c r="CL185" s="87">
        <f t="shared" si="416"/>
        <v>82.06008851</v>
      </c>
      <c r="CM185" s="87">
        <f t="shared" si="416"/>
        <v>89.66166002</v>
      </c>
      <c r="CN185" s="87">
        <f t="shared" si="416"/>
        <v>97.96739711</v>
      </c>
      <c r="CO185" s="87">
        <f t="shared" si="416"/>
        <v>107.0425296</v>
      </c>
      <c r="CP185" s="87">
        <f t="shared" si="416"/>
        <v>116.9583298</v>
      </c>
      <c r="CQ185" s="6" t="s">
        <v>35</v>
      </c>
    </row>
    <row r="186" ht="14.25" customHeight="1">
      <c r="A186" s="9"/>
      <c r="B186" s="10" t="s">
        <v>110</v>
      </c>
      <c r="C186" s="9" t="s">
        <v>108</v>
      </c>
      <c r="D186" s="81">
        <f t="shared" ref="D186:AJ186" si="417">D185/-D$14*($D$197/4)</f>
        <v>5.620219825</v>
      </c>
      <c r="E186" s="81">
        <f t="shared" si="417"/>
        <v>4.224176638</v>
      </c>
      <c r="F186" s="81">
        <f t="shared" si="417"/>
        <v>10.32486505</v>
      </c>
      <c r="G186" s="81">
        <f t="shared" si="417"/>
        <v>14.21579569</v>
      </c>
      <c r="H186" s="81">
        <f t="shared" si="417"/>
        <v>16.06738679</v>
      </c>
      <c r="I186" s="81">
        <f t="shared" si="417"/>
        <v>11.31198347</v>
      </c>
      <c r="J186" s="81">
        <f t="shared" si="417"/>
        <v>12.71748323</v>
      </c>
      <c r="K186" s="81">
        <f t="shared" si="417"/>
        <v>17.66430158</v>
      </c>
      <c r="L186" s="81">
        <f t="shared" si="417"/>
        <v>18.85917415</v>
      </c>
      <c r="M186" s="81">
        <f t="shared" si="417"/>
        <v>14.54275784</v>
      </c>
      <c r="N186" s="81">
        <f t="shared" si="417"/>
        <v>15.60318034</v>
      </c>
      <c r="O186" s="81">
        <f t="shared" si="417"/>
        <v>12.23140964</v>
      </c>
      <c r="P186" s="81">
        <f t="shared" si="417"/>
        <v>12.8371376</v>
      </c>
      <c r="Q186" s="81">
        <f t="shared" si="417"/>
        <v>11.4960904</v>
      </c>
      <c r="R186" s="81">
        <f t="shared" si="417"/>
        <v>14.32492287</v>
      </c>
      <c r="S186" s="81">
        <f t="shared" si="417"/>
        <v>18.85721616</v>
      </c>
      <c r="T186" s="81">
        <f t="shared" si="417"/>
        <v>16.5496979</v>
      </c>
      <c r="U186" s="81">
        <f t="shared" si="417"/>
        <v>12.62244042</v>
      </c>
      <c r="V186" s="81">
        <f t="shared" si="417"/>
        <v>12.08012761</v>
      </c>
      <c r="W186" s="81">
        <f t="shared" si="417"/>
        <v>15.2552044</v>
      </c>
      <c r="X186" s="81">
        <f t="shared" si="417"/>
        <v>15.91257891</v>
      </c>
      <c r="Y186" s="81">
        <f t="shared" si="417"/>
        <v>16.72962961</v>
      </c>
      <c r="Z186" s="81">
        <f t="shared" si="417"/>
        <v>15.41701161</v>
      </c>
      <c r="AA186" s="81">
        <f t="shared" si="417"/>
        <v>16.01214634</v>
      </c>
      <c r="AB186" s="81">
        <f t="shared" si="417"/>
        <v>17.32108013</v>
      </c>
      <c r="AC186" s="81">
        <f t="shared" si="417"/>
        <v>15.44156022</v>
      </c>
      <c r="AD186" s="81">
        <f t="shared" si="417"/>
        <v>12.19156568</v>
      </c>
      <c r="AE186" s="81">
        <f t="shared" si="417"/>
        <v>15.81074298</v>
      </c>
      <c r="AF186" s="81">
        <f t="shared" si="417"/>
        <v>11.05927878</v>
      </c>
      <c r="AG186" s="81">
        <f t="shared" si="417"/>
        <v>11.6368158</v>
      </c>
      <c r="AH186" s="81">
        <f t="shared" si="417"/>
        <v>18.03195507</v>
      </c>
      <c r="AI186" s="81">
        <f t="shared" si="417"/>
        <v>12.81052235</v>
      </c>
      <c r="AJ186" s="81">
        <f t="shared" si="417"/>
        <v>11.91333621</v>
      </c>
      <c r="AK186" s="81">
        <f t="shared" ref="AK186:BW186" si="418">AG186+AK187</f>
        <v>13.6368158</v>
      </c>
      <c r="AL186" s="81">
        <f t="shared" si="418"/>
        <v>20.03195507</v>
      </c>
      <c r="AM186" s="81">
        <f t="shared" si="418"/>
        <v>14.81052235</v>
      </c>
      <c r="AN186" s="81">
        <f t="shared" si="418"/>
        <v>11.91333621</v>
      </c>
      <c r="AO186" s="81">
        <f t="shared" si="418"/>
        <v>13.6368158</v>
      </c>
      <c r="AP186" s="81">
        <f t="shared" si="418"/>
        <v>20.03195507</v>
      </c>
      <c r="AQ186" s="81">
        <f t="shared" si="418"/>
        <v>14.81052235</v>
      </c>
      <c r="AR186" s="81">
        <f t="shared" si="418"/>
        <v>11.91333621</v>
      </c>
      <c r="AS186" s="81">
        <f t="shared" si="418"/>
        <v>13.6368158</v>
      </c>
      <c r="AT186" s="81">
        <f t="shared" si="418"/>
        <v>20.03195507</v>
      </c>
      <c r="AU186" s="81">
        <f t="shared" si="418"/>
        <v>14.81052235</v>
      </c>
      <c r="AV186" s="81">
        <f t="shared" si="418"/>
        <v>11.91333621</v>
      </c>
      <c r="AW186" s="81">
        <f t="shared" si="418"/>
        <v>13.6368158</v>
      </c>
      <c r="AX186" s="81">
        <f t="shared" si="418"/>
        <v>20.03195507</v>
      </c>
      <c r="AY186" s="81">
        <f t="shared" si="418"/>
        <v>14.81052235</v>
      </c>
      <c r="AZ186" s="81">
        <f t="shared" si="418"/>
        <v>11.91333621</v>
      </c>
      <c r="BA186" s="81">
        <f t="shared" si="418"/>
        <v>13.6368158</v>
      </c>
      <c r="BB186" s="81">
        <f t="shared" si="418"/>
        <v>20.03195507</v>
      </c>
      <c r="BC186" s="81">
        <f t="shared" si="418"/>
        <v>14.81052235</v>
      </c>
      <c r="BD186" s="81">
        <f t="shared" si="418"/>
        <v>11.91333621</v>
      </c>
      <c r="BE186" s="81">
        <f t="shared" si="418"/>
        <v>13.6368158</v>
      </c>
      <c r="BF186" s="81">
        <f t="shared" si="418"/>
        <v>20.03195507</v>
      </c>
      <c r="BG186" s="81">
        <f t="shared" si="418"/>
        <v>14.81052235</v>
      </c>
      <c r="BH186" s="81">
        <f t="shared" si="418"/>
        <v>11.91333621</v>
      </c>
      <c r="BI186" s="81">
        <f t="shared" si="418"/>
        <v>13.6368158</v>
      </c>
      <c r="BJ186" s="81">
        <f t="shared" si="418"/>
        <v>20.03195507</v>
      </c>
      <c r="BK186" s="81">
        <f t="shared" si="418"/>
        <v>14.81052235</v>
      </c>
      <c r="BL186" s="81">
        <f t="shared" si="418"/>
        <v>11.91333621</v>
      </c>
      <c r="BM186" s="81">
        <f t="shared" si="418"/>
        <v>13.6368158</v>
      </c>
      <c r="BN186" s="81">
        <f t="shared" si="418"/>
        <v>20.03195507</v>
      </c>
      <c r="BO186" s="81">
        <f t="shared" si="418"/>
        <v>14.81052235</v>
      </c>
      <c r="BP186" s="81">
        <f t="shared" si="418"/>
        <v>11.91333621</v>
      </c>
      <c r="BQ186" s="81">
        <f t="shared" si="418"/>
        <v>13.6368158</v>
      </c>
      <c r="BR186" s="81">
        <f t="shared" si="418"/>
        <v>20.03195507</v>
      </c>
      <c r="BS186" s="81">
        <f t="shared" si="418"/>
        <v>14.81052235</v>
      </c>
      <c r="BT186" s="81">
        <f t="shared" si="418"/>
        <v>11.91333621</v>
      </c>
      <c r="BU186" s="81">
        <f t="shared" si="418"/>
        <v>13.6368158</v>
      </c>
      <c r="BV186" s="81">
        <f t="shared" si="418"/>
        <v>20.03195507</v>
      </c>
      <c r="BW186" s="81">
        <f t="shared" si="418"/>
        <v>14.81052235</v>
      </c>
      <c r="BX186" s="6" t="s">
        <v>35</v>
      </c>
      <c r="BY186" s="81">
        <f t="shared" ref="BY186:CP186" si="419">BY185/-BY$14*($D$197)</f>
        <v>17.31017878</v>
      </c>
      <c r="BZ186" s="81">
        <f t="shared" si="419"/>
        <v>17.13164478</v>
      </c>
      <c r="CA186" s="81">
        <f t="shared" si="419"/>
        <v>11.8923344</v>
      </c>
      <c r="CB186" s="81">
        <f t="shared" si="419"/>
        <v>19.48010825</v>
      </c>
      <c r="CC186" s="81">
        <f t="shared" si="419"/>
        <v>17.36001015</v>
      </c>
      <c r="CD186" s="81">
        <f t="shared" si="419"/>
        <v>19.81551022</v>
      </c>
      <c r="CE186" s="81">
        <f t="shared" si="419"/>
        <v>16.94743272</v>
      </c>
      <c r="CF186" s="81">
        <f t="shared" si="419"/>
        <v>16.93654115</v>
      </c>
      <c r="CG186" s="81">
        <f t="shared" si="419"/>
        <v>16.17325378</v>
      </c>
      <c r="CH186" s="81">
        <f t="shared" si="419"/>
        <v>16.53765354</v>
      </c>
      <c r="CI186" s="81">
        <f t="shared" si="419"/>
        <v>16.46033264</v>
      </c>
      <c r="CJ186" s="81">
        <f t="shared" si="419"/>
        <v>16.46033264</v>
      </c>
      <c r="CK186" s="81">
        <f t="shared" si="419"/>
        <v>16.46033264</v>
      </c>
      <c r="CL186" s="81">
        <f t="shared" si="419"/>
        <v>16.46033264</v>
      </c>
      <c r="CM186" s="81">
        <f t="shared" si="419"/>
        <v>16.46033264</v>
      </c>
      <c r="CN186" s="81">
        <f t="shared" si="419"/>
        <v>16.46033264</v>
      </c>
      <c r="CO186" s="81">
        <f t="shared" si="419"/>
        <v>16.46033264</v>
      </c>
      <c r="CP186" s="81">
        <f t="shared" si="419"/>
        <v>16.46033264</v>
      </c>
      <c r="CQ186" s="6" t="s">
        <v>35</v>
      </c>
    </row>
    <row r="187" ht="14.25" customHeight="1">
      <c r="A187" s="9"/>
      <c r="B187" s="10" t="s">
        <v>106</v>
      </c>
      <c r="C187" s="9"/>
      <c r="H187" s="81">
        <f t="shared" ref="H187:AJ187" si="420">H186-D186</f>
        <v>10.44716697</v>
      </c>
      <c r="I187" s="81">
        <f t="shared" si="420"/>
        <v>7.087806833</v>
      </c>
      <c r="J187" s="81">
        <f t="shared" si="420"/>
        <v>2.392618178</v>
      </c>
      <c r="K187" s="81">
        <f t="shared" si="420"/>
        <v>3.448505893</v>
      </c>
      <c r="L187" s="81">
        <f t="shared" si="420"/>
        <v>2.791787361</v>
      </c>
      <c r="M187" s="81">
        <f t="shared" si="420"/>
        <v>3.230774367</v>
      </c>
      <c r="N187" s="81">
        <f t="shared" si="420"/>
        <v>2.885697117</v>
      </c>
      <c r="O187" s="81">
        <f t="shared" si="420"/>
        <v>-5.432891941</v>
      </c>
      <c r="P187" s="81">
        <f t="shared" si="420"/>
        <v>-6.022036552</v>
      </c>
      <c r="Q187" s="81">
        <f t="shared" si="420"/>
        <v>-3.046667441</v>
      </c>
      <c r="R187" s="81">
        <f t="shared" si="420"/>
        <v>-1.278257471</v>
      </c>
      <c r="S187" s="81">
        <f t="shared" si="420"/>
        <v>6.625806521</v>
      </c>
      <c r="T187" s="81">
        <f t="shared" si="420"/>
        <v>3.712560295</v>
      </c>
      <c r="U187" s="81">
        <f t="shared" si="420"/>
        <v>1.126350027</v>
      </c>
      <c r="V187" s="81">
        <f t="shared" si="420"/>
        <v>-2.244795263</v>
      </c>
      <c r="W187" s="81">
        <f t="shared" si="420"/>
        <v>-3.602011765</v>
      </c>
      <c r="X187" s="81">
        <f t="shared" si="420"/>
        <v>-0.6371189834</v>
      </c>
      <c r="Y187" s="81">
        <f t="shared" si="420"/>
        <v>4.107189186</v>
      </c>
      <c r="Z187" s="81">
        <f t="shared" si="420"/>
        <v>3.336884</v>
      </c>
      <c r="AA187" s="81">
        <f t="shared" si="420"/>
        <v>0.7569419403</v>
      </c>
      <c r="AB187" s="81">
        <f t="shared" si="420"/>
        <v>1.408501219</v>
      </c>
      <c r="AC187" s="81">
        <f t="shared" si="420"/>
        <v>-1.288069392</v>
      </c>
      <c r="AD187" s="81">
        <f t="shared" si="420"/>
        <v>-3.225445927</v>
      </c>
      <c r="AE187" s="81">
        <f t="shared" si="420"/>
        <v>-0.2014033532</v>
      </c>
      <c r="AF187" s="81">
        <f t="shared" si="420"/>
        <v>-6.261801349</v>
      </c>
      <c r="AG187" s="81">
        <f t="shared" si="420"/>
        <v>-3.804744418</v>
      </c>
      <c r="AH187" s="81">
        <f t="shared" si="420"/>
        <v>5.84038939</v>
      </c>
      <c r="AI187" s="81">
        <f t="shared" si="420"/>
        <v>-3.000220638</v>
      </c>
      <c r="AJ187" s="81">
        <f t="shared" si="420"/>
        <v>0.8540574319</v>
      </c>
      <c r="AK187" s="81">
        <v>2.0</v>
      </c>
      <c r="AL187" s="81">
        <v>2.0</v>
      </c>
      <c r="AM187" s="81">
        <v>2.0</v>
      </c>
      <c r="AN187" s="81">
        <v>0.0</v>
      </c>
      <c r="AO187" s="81">
        <v>0.0</v>
      </c>
      <c r="AP187" s="81">
        <v>0.0</v>
      </c>
      <c r="AQ187" s="81">
        <v>0.0</v>
      </c>
      <c r="AR187" s="81">
        <v>0.0</v>
      </c>
      <c r="AS187" s="81">
        <v>0.0</v>
      </c>
      <c r="AT187" s="81">
        <v>0.0</v>
      </c>
      <c r="AU187" s="81">
        <v>0.0</v>
      </c>
      <c r="AV187" s="81">
        <v>0.0</v>
      </c>
      <c r="AW187" s="81">
        <v>0.0</v>
      </c>
      <c r="AX187" s="81">
        <v>0.0</v>
      </c>
      <c r="AY187" s="81">
        <v>0.0</v>
      </c>
      <c r="AZ187" s="81">
        <v>0.0</v>
      </c>
      <c r="BA187" s="81">
        <v>0.0</v>
      </c>
      <c r="BB187" s="81">
        <v>0.0</v>
      </c>
      <c r="BC187" s="81">
        <v>0.0</v>
      </c>
      <c r="BD187" s="81">
        <v>0.0</v>
      </c>
      <c r="BE187" s="81">
        <v>0.0</v>
      </c>
      <c r="BF187" s="81">
        <v>0.0</v>
      </c>
      <c r="BG187" s="81">
        <v>0.0</v>
      </c>
      <c r="BH187" s="81">
        <v>0.0</v>
      </c>
      <c r="BI187" s="81">
        <v>0.0</v>
      </c>
      <c r="BJ187" s="81">
        <v>0.0</v>
      </c>
      <c r="BK187" s="81">
        <v>0.0</v>
      </c>
      <c r="BL187" s="81">
        <v>0.0</v>
      </c>
      <c r="BM187" s="81">
        <v>0.0</v>
      </c>
      <c r="BN187" s="81">
        <v>0.0</v>
      </c>
      <c r="BO187" s="81">
        <v>0.0</v>
      </c>
      <c r="BP187" s="81">
        <v>0.0</v>
      </c>
      <c r="BQ187" s="81">
        <v>0.0</v>
      </c>
      <c r="BR187" s="81">
        <v>0.0</v>
      </c>
      <c r="BS187" s="81">
        <v>0.0</v>
      </c>
      <c r="BT187" s="81">
        <v>0.0</v>
      </c>
      <c r="BU187" s="81">
        <v>0.0</v>
      </c>
      <c r="BV187" s="81">
        <v>0.0</v>
      </c>
      <c r="BW187" s="81">
        <v>0.0</v>
      </c>
      <c r="BX187" s="6" t="s">
        <v>35</v>
      </c>
      <c r="BY187" s="81"/>
      <c r="BZ187" s="81">
        <f t="shared" ref="BZ187:CP187" si="421">BZ186-BY186</f>
        <v>-0.1785339996</v>
      </c>
      <c r="CA187" s="81">
        <f t="shared" si="421"/>
        <v>-5.239310384</v>
      </c>
      <c r="CB187" s="81">
        <f t="shared" si="421"/>
        <v>7.587773851</v>
      </c>
      <c r="CC187" s="81">
        <f t="shared" si="421"/>
        <v>-2.1200981</v>
      </c>
      <c r="CD187" s="81">
        <f t="shared" si="421"/>
        <v>2.455500076</v>
      </c>
      <c r="CE187" s="81">
        <f t="shared" si="421"/>
        <v>-2.868077504</v>
      </c>
      <c r="CF187" s="81">
        <f t="shared" si="421"/>
        <v>-0.01089156415</v>
      </c>
      <c r="CG187" s="81">
        <f t="shared" si="421"/>
        <v>-0.7632873727</v>
      </c>
      <c r="CH187" s="81">
        <f t="shared" si="421"/>
        <v>0.3643997586</v>
      </c>
      <c r="CI187" s="81">
        <f t="shared" si="421"/>
        <v>-0.0773208981</v>
      </c>
      <c r="CJ187" s="81">
        <f t="shared" si="421"/>
        <v>0</v>
      </c>
      <c r="CK187" s="81">
        <f t="shared" si="421"/>
        <v>0</v>
      </c>
      <c r="CL187" s="81">
        <f t="shared" si="421"/>
        <v>0</v>
      </c>
      <c r="CM187" s="81">
        <f t="shared" si="421"/>
        <v>0</v>
      </c>
      <c r="CN187" s="81">
        <f t="shared" si="421"/>
        <v>0</v>
      </c>
      <c r="CO187" s="81">
        <f t="shared" si="421"/>
        <v>0</v>
      </c>
      <c r="CP187" s="81">
        <f t="shared" si="421"/>
        <v>0</v>
      </c>
      <c r="CQ187" s="6" t="s">
        <v>35</v>
      </c>
    </row>
    <row r="188" ht="14.25" customHeight="1">
      <c r="A188" s="9"/>
      <c r="B188" s="10"/>
      <c r="C188" s="9"/>
      <c r="BX188" s="6" t="s">
        <v>35</v>
      </c>
      <c r="CQ188" s="6" t="s">
        <v>35</v>
      </c>
    </row>
    <row r="189" ht="14.25" customHeight="1">
      <c r="A189" s="9"/>
      <c r="B189" s="59" t="s">
        <v>113</v>
      </c>
      <c r="C189" s="86" t="s">
        <v>39</v>
      </c>
      <c r="D189" s="87">
        <f t="shared" ref="D189:AJ189" si="422">D79</f>
        <v>14.027</v>
      </c>
      <c r="E189" s="87">
        <f t="shared" si="422"/>
        <v>17.213</v>
      </c>
      <c r="F189" s="87">
        <f t="shared" si="422"/>
        <v>27.149</v>
      </c>
      <c r="G189" s="87">
        <f t="shared" si="422"/>
        <v>21.51</v>
      </c>
      <c r="H189" s="87">
        <f t="shared" si="422"/>
        <v>26.582</v>
      </c>
      <c r="I189" s="87">
        <f t="shared" si="422"/>
        <v>36.642</v>
      </c>
      <c r="J189" s="87">
        <f t="shared" si="422"/>
        <v>34.914</v>
      </c>
      <c r="K189" s="87">
        <f t="shared" si="422"/>
        <v>28.385</v>
      </c>
      <c r="L189" s="87">
        <f t="shared" si="422"/>
        <v>31.788</v>
      </c>
      <c r="M189" s="87">
        <f t="shared" si="422"/>
        <v>35.377</v>
      </c>
      <c r="N189" s="87">
        <f t="shared" si="422"/>
        <v>34.811</v>
      </c>
      <c r="O189" s="87">
        <f t="shared" si="422"/>
        <v>24.967</v>
      </c>
      <c r="P189" s="87">
        <f t="shared" si="422"/>
        <v>21.521</v>
      </c>
      <c r="Q189" s="87">
        <f t="shared" si="422"/>
        <v>21.683</v>
      </c>
      <c r="R189" s="87">
        <f t="shared" si="422"/>
        <v>21.661</v>
      </c>
      <c r="S189" s="87">
        <f t="shared" si="422"/>
        <v>17.778</v>
      </c>
      <c r="T189" s="87">
        <f t="shared" si="422"/>
        <v>23.144</v>
      </c>
      <c r="U189" s="87">
        <f t="shared" si="422"/>
        <v>33.303</v>
      </c>
      <c r="V189" s="87">
        <f t="shared" si="422"/>
        <v>41.306</v>
      </c>
      <c r="W189" s="87">
        <f t="shared" si="422"/>
        <v>32.982</v>
      </c>
      <c r="X189" s="87">
        <f t="shared" si="422"/>
        <v>40.932</v>
      </c>
      <c r="Y189" s="87">
        <f t="shared" si="422"/>
        <v>55.515</v>
      </c>
      <c r="Z189" s="87">
        <f t="shared" si="422"/>
        <v>71.069</v>
      </c>
      <c r="AA189" s="87">
        <f t="shared" si="422"/>
        <v>69.116</v>
      </c>
      <c r="AB189" s="87">
        <f t="shared" si="422"/>
        <v>74.887</v>
      </c>
      <c r="AC189" s="87">
        <f t="shared" si="422"/>
        <v>82.899</v>
      </c>
      <c r="AD189" s="87">
        <f t="shared" si="422"/>
        <v>97.465</v>
      </c>
      <c r="AE189" s="87">
        <f t="shared" si="422"/>
        <v>78.67</v>
      </c>
      <c r="AF189" s="87">
        <f t="shared" si="422"/>
        <v>75.311</v>
      </c>
      <c r="AG189" s="87">
        <f t="shared" si="422"/>
        <v>77.802</v>
      </c>
      <c r="AH189" s="87">
        <f t="shared" si="422"/>
        <v>119.224</v>
      </c>
      <c r="AI189" s="87">
        <f t="shared" si="422"/>
        <v>100.936</v>
      </c>
      <c r="AJ189" s="87">
        <f t="shared" si="422"/>
        <v>110.759</v>
      </c>
      <c r="AK189" s="87">
        <f t="shared" ref="AK189:BW189" si="423">-(AK190*AK$14)/($D$197/4)</f>
        <v>139.9684771</v>
      </c>
      <c r="AL189" s="87">
        <f t="shared" si="423"/>
        <v>119.2695916</v>
      </c>
      <c r="AM189" s="87">
        <f t="shared" si="423"/>
        <v>112.6340492</v>
      </c>
      <c r="AN189" s="87">
        <f t="shared" si="423"/>
        <v>113.4478942</v>
      </c>
      <c r="AO189" s="87">
        <f t="shared" si="423"/>
        <v>151.5131612</v>
      </c>
      <c r="AP189" s="87">
        <f t="shared" si="423"/>
        <v>133.0503041</v>
      </c>
      <c r="AQ189" s="87">
        <f t="shared" si="423"/>
        <v>124.6619909</v>
      </c>
      <c r="AR189" s="87">
        <f t="shared" si="423"/>
        <v>125.1228403</v>
      </c>
      <c r="AS189" s="87">
        <f t="shared" si="423"/>
        <v>166.3886564</v>
      </c>
      <c r="AT189" s="87">
        <f t="shared" si="423"/>
        <v>145.3900966</v>
      </c>
      <c r="AU189" s="87">
        <f t="shared" si="423"/>
        <v>135.9783733</v>
      </c>
      <c r="AV189" s="87">
        <f t="shared" si="423"/>
        <v>136.7134958</v>
      </c>
      <c r="AW189" s="87">
        <f t="shared" si="423"/>
        <v>181.8019382</v>
      </c>
      <c r="AX189" s="87">
        <f t="shared" si="423"/>
        <v>158.8581935</v>
      </c>
      <c r="AY189" s="87">
        <f t="shared" si="423"/>
        <v>148.5746225</v>
      </c>
      <c r="AZ189" s="87">
        <f t="shared" si="423"/>
        <v>149.3778425</v>
      </c>
      <c r="BA189" s="87">
        <f t="shared" si="423"/>
        <v>198.6430173</v>
      </c>
      <c r="BB189" s="87">
        <f t="shared" si="423"/>
        <v>173.5738968</v>
      </c>
      <c r="BC189" s="87">
        <f t="shared" si="423"/>
        <v>162.3377154</v>
      </c>
      <c r="BD189" s="87">
        <f t="shared" si="423"/>
        <v>163.2153411</v>
      </c>
      <c r="BE189" s="87">
        <f t="shared" si="423"/>
        <v>217.0441563</v>
      </c>
      <c r="BF189" s="87">
        <f t="shared" si="423"/>
        <v>189.6527777</v>
      </c>
      <c r="BG189" s="87">
        <f t="shared" si="423"/>
        <v>177.3757415</v>
      </c>
      <c r="BH189" s="87">
        <f t="shared" si="423"/>
        <v>178.3346653</v>
      </c>
      <c r="BI189" s="87">
        <f t="shared" si="423"/>
        <v>237.1498704</v>
      </c>
      <c r="BJ189" s="87">
        <f t="shared" si="423"/>
        <v>207.221113</v>
      </c>
      <c r="BK189" s="87">
        <f t="shared" si="423"/>
        <v>193.8068032</v>
      </c>
      <c r="BL189" s="87">
        <f t="shared" si="423"/>
        <v>194.8545562</v>
      </c>
      <c r="BM189" s="87">
        <f t="shared" si="423"/>
        <v>259.1180614</v>
      </c>
      <c r="BN189" s="87">
        <f t="shared" si="423"/>
        <v>226.4168772</v>
      </c>
      <c r="BO189" s="87">
        <f t="shared" si="423"/>
        <v>211.7599434</v>
      </c>
      <c r="BP189" s="87">
        <f t="shared" si="423"/>
        <v>212.9047542</v>
      </c>
      <c r="BQ189" s="87">
        <f t="shared" si="423"/>
        <v>283.1212585</v>
      </c>
      <c r="BR189" s="87">
        <f t="shared" si="423"/>
        <v>247.3908259</v>
      </c>
      <c r="BS189" s="87">
        <f t="shared" si="423"/>
        <v>231.3761586</v>
      </c>
      <c r="BT189" s="87">
        <f t="shared" si="423"/>
        <v>232.627018</v>
      </c>
      <c r="BU189" s="87">
        <f t="shared" si="423"/>
        <v>309.3479727</v>
      </c>
      <c r="BV189" s="87">
        <f t="shared" si="423"/>
        <v>270.3076797</v>
      </c>
      <c r="BW189" s="87">
        <f t="shared" si="423"/>
        <v>252.8095064</v>
      </c>
      <c r="BX189" s="6" t="s">
        <v>35</v>
      </c>
      <c r="BY189" s="87">
        <f t="shared" ref="BY189:CP189" si="424">BY79</f>
        <v>21.51</v>
      </c>
      <c r="BZ189" s="87">
        <f t="shared" si="424"/>
        <v>28.385</v>
      </c>
      <c r="CA189" s="87">
        <f t="shared" si="424"/>
        <v>24.967</v>
      </c>
      <c r="CB189" s="87">
        <f t="shared" si="424"/>
        <v>17.778</v>
      </c>
      <c r="CC189" s="87">
        <f t="shared" si="424"/>
        <v>32.982</v>
      </c>
      <c r="CD189" s="87">
        <f t="shared" si="424"/>
        <v>69.116</v>
      </c>
      <c r="CE189" s="87">
        <f t="shared" si="424"/>
        <v>78.67</v>
      </c>
      <c r="CF189" s="87">
        <f t="shared" si="424"/>
        <v>100.936</v>
      </c>
      <c r="CG189" s="87">
        <f t="shared" si="424"/>
        <v>112.6340492</v>
      </c>
      <c r="CH189" s="87">
        <f t="shared" si="424"/>
        <v>124.6619909</v>
      </c>
      <c r="CI189" s="87">
        <f t="shared" si="424"/>
        <v>135.9783733</v>
      </c>
      <c r="CJ189" s="87">
        <f t="shared" si="424"/>
        <v>148.5746225</v>
      </c>
      <c r="CK189" s="87">
        <f t="shared" si="424"/>
        <v>162.3377154</v>
      </c>
      <c r="CL189" s="87">
        <f t="shared" si="424"/>
        <v>177.3757415</v>
      </c>
      <c r="CM189" s="87">
        <f t="shared" si="424"/>
        <v>193.8068032</v>
      </c>
      <c r="CN189" s="87">
        <f t="shared" si="424"/>
        <v>211.7599434</v>
      </c>
      <c r="CO189" s="87">
        <f t="shared" si="424"/>
        <v>231.3761586</v>
      </c>
      <c r="CP189" s="87">
        <f t="shared" si="424"/>
        <v>252.8095064</v>
      </c>
      <c r="CQ189" s="6" t="s">
        <v>35</v>
      </c>
    </row>
    <row r="190" ht="14.25" customHeight="1">
      <c r="A190" s="9"/>
      <c r="B190" s="10" t="s">
        <v>110</v>
      </c>
      <c r="C190" s="9" t="s">
        <v>108</v>
      </c>
      <c r="D190" s="81">
        <f t="shared" ref="D190:AJ190" si="425">D189/-D$14*($D$197/4)</f>
        <v>32.41563466</v>
      </c>
      <c r="E190" s="81">
        <f t="shared" si="425"/>
        <v>35.26224659</v>
      </c>
      <c r="F190" s="81">
        <f t="shared" si="425"/>
        <v>43.27771518</v>
      </c>
      <c r="G190" s="81">
        <f t="shared" si="425"/>
        <v>31.74644573</v>
      </c>
      <c r="H190" s="81">
        <f t="shared" si="425"/>
        <v>37.02030647</v>
      </c>
      <c r="I190" s="81">
        <f t="shared" si="425"/>
        <v>43.24399565</v>
      </c>
      <c r="J190" s="81">
        <f t="shared" si="425"/>
        <v>44.90475419</v>
      </c>
      <c r="K190" s="81">
        <f t="shared" si="425"/>
        <v>37.85302736</v>
      </c>
      <c r="L190" s="81">
        <f t="shared" si="425"/>
        <v>40.09198341</v>
      </c>
      <c r="M190" s="81">
        <f t="shared" si="425"/>
        <v>40.46874412</v>
      </c>
      <c r="N190" s="81">
        <f t="shared" si="425"/>
        <v>42.55423934</v>
      </c>
      <c r="O190" s="81">
        <f t="shared" si="425"/>
        <v>31.2858933</v>
      </c>
      <c r="P190" s="81">
        <f t="shared" si="425"/>
        <v>31.8244486</v>
      </c>
      <c r="Q190" s="81">
        <f t="shared" si="425"/>
        <v>37.73383713</v>
      </c>
      <c r="R190" s="81">
        <f t="shared" si="425"/>
        <v>43.55588916</v>
      </c>
      <c r="S190" s="81">
        <f t="shared" si="425"/>
        <v>29.20749163</v>
      </c>
      <c r="T190" s="81">
        <f t="shared" si="425"/>
        <v>31.50663882</v>
      </c>
      <c r="U190" s="81">
        <f t="shared" si="425"/>
        <v>33.74529449</v>
      </c>
      <c r="V190" s="81">
        <f t="shared" si="425"/>
        <v>36.80077816</v>
      </c>
      <c r="W190" s="81">
        <f t="shared" si="425"/>
        <v>29.16795081</v>
      </c>
      <c r="X190" s="81">
        <f t="shared" si="425"/>
        <v>35.99522961</v>
      </c>
      <c r="Y190" s="81">
        <f t="shared" si="425"/>
        <v>35.04831841</v>
      </c>
      <c r="Z190" s="81">
        <f t="shared" si="425"/>
        <v>36.76997103</v>
      </c>
      <c r="AA190" s="81">
        <f t="shared" si="425"/>
        <v>33.15146944</v>
      </c>
      <c r="AB190" s="81">
        <f t="shared" si="425"/>
        <v>35.65191787</v>
      </c>
      <c r="AC190" s="81">
        <f t="shared" si="425"/>
        <v>37.99726619</v>
      </c>
      <c r="AD190" s="81">
        <f t="shared" si="425"/>
        <v>40.90083124</v>
      </c>
      <c r="AE190" s="81">
        <f t="shared" si="425"/>
        <v>32.24281698</v>
      </c>
      <c r="AF190" s="81">
        <f t="shared" si="425"/>
        <v>39.74258455</v>
      </c>
      <c r="AG190" s="81">
        <f t="shared" si="425"/>
        <v>42.69795996</v>
      </c>
      <c r="AH190" s="81">
        <f t="shared" si="425"/>
        <v>35.80742204</v>
      </c>
      <c r="AI190" s="81">
        <f t="shared" si="425"/>
        <v>29.01346026</v>
      </c>
      <c r="AJ190" s="81">
        <f t="shared" si="425"/>
        <v>34.25961848</v>
      </c>
      <c r="AK190" s="81">
        <f t="shared" ref="AK190:BW190" si="426">AG190+AK191</f>
        <v>45.69795996</v>
      </c>
      <c r="AL190" s="81">
        <f t="shared" si="426"/>
        <v>38.80742204</v>
      </c>
      <c r="AM190" s="81">
        <f t="shared" si="426"/>
        <v>32.01346026</v>
      </c>
      <c r="AN190" s="81">
        <f t="shared" si="426"/>
        <v>34.25961848</v>
      </c>
      <c r="AO190" s="81">
        <f t="shared" si="426"/>
        <v>45.69795996</v>
      </c>
      <c r="AP190" s="81">
        <f t="shared" si="426"/>
        <v>38.80742204</v>
      </c>
      <c r="AQ190" s="81">
        <f t="shared" si="426"/>
        <v>32.01346026</v>
      </c>
      <c r="AR190" s="81">
        <f t="shared" si="426"/>
        <v>34.25961848</v>
      </c>
      <c r="AS190" s="81">
        <f t="shared" si="426"/>
        <v>45.69795996</v>
      </c>
      <c r="AT190" s="81">
        <f t="shared" si="426"/>
        <v>38.80742204</v>
      </c>
      <c r="AU190" s="81">
        <f t="shared" si="426"/>
        <v>32.01346026</v>
      </c>
      <c r="AV190" s="81">
        <f t="shared" si="426"/>
        <v>34.25961848</v>
      </c>
      <c r="AW190" s="81">
        <f t="shared" si="426"/>
        <v>45.69795996</v>
      </c>
      <c r="AX190" s="81">
        <f t="shared" si="426"/>
        <v>38.80742204</v>
      </c>
      <c r="AY190" s="81">
        <f t="shared" si="426"/>
        <v>32.01346026</v>
      </c>
      <c r="AZ190" s="81">
        <f t="shared" si="426"/>
        <v>34.25961848</v>
      </c>
      <c r="BA190" s="81">
        <f t="shared" si="426"/>
        <v>45.69795996</v>
      </c>
      <c r="BB190" s="81">
        <f t="shared" si="426"/>
        <v>38.80742204</v>
      </c>
      <c r="BC190" s="81">
        <f t="shared" si="426"/>
        <v>32.01346026</v>
      </c>
      <c r="BD190" s="81">
        <f t="shared" si="426"/>
        <v>34.25961848</v>
      </c>
      <c r="BE190" s="81">
        <f t="shared" si="426"/>
        <v>45.69795996</v>
      </c>
      <c r="BF190" s="81">
        <f t="shared" si="426"/>
        <v>38.80742204</v>
      </c>
      <c r="BG190" s="81">
        <f t="shared" si="426"/>
        <v>32.01346026</v>
      </c>
      <c r="BH190" s="81">
        <f t="shared" si="426"/>
        <v>34.25961848</v>
      </c>
      <c r="BI190" s="81">
        <f t="shared" si="426"/>
        <v>45.69795996</v>
      </c>
      <c r="BJ190" s="81">
        <f t="shared" si="426"/>
        <v>38.80742204</v>
      </c>
      <c r="BK190" s="81">
        <f t="shared" si="426"/>
        <v>32.01346026</v>
      </c>
      <c r="BL190" s="81">
        <f t="shared" si="426"/>
        <v>34.25961848</v>
      </c>
      <c r="BM190" s="81">
        <f t="shared" si="426"/>
        <v>45.69795996</v>
      </c>
      <c r="BN190" s="81">
        <f t="shared" si="426"/>
        <v>38.80742204</v>
      </c>
      <c r="BO190" s="81">
        <f t="shared" si="426"/>
        <v>32.01346026</v>
      </c>
      <c r="BP190" s="81">
        <f t="shared" si="426"/>
        <v>34.25961848</v>
      </c>
      <c r="BQ190" s="81">
        <f t="shared" si="426"/>
        <v>45.69795996</v>
      </c>
      <c r="BR190" s="81">
        <f t="shared" si="426"/>
        <v>38.80742204</v>
      </c>
      <c r="BS190" s="81">
        <f t="shared" si="426"/>
        <v>32.01346026</v>
      </c>
      <c r="BT190" s="81">
        <f t="shared" si="426"/>
        <v>34.25961848</v>
      </c>
      <c r="BU190" s="81">
        <f t="shared" si="426"/>
        <v>45.69795996</v>
      </c>
      <c r="BV190" s="81">
        <f t="shared" si="426"/>
        <v>38.80742204</v>
      </c>
      <c r="BW190" s="81">
        <f t="shared" si="426"/>
        <v>32.01346026</v>
      </c>
      <c r="BX190" s="6" t="s">
        <v>35</v>
      </c>
      <c r="BY190" s="81">
        <f t="shared" ref="BY190:CP190" si="427">BY189/-BY$14*($D$197)</f>
        <v>38.65676345</v>
      </c>
      <c r="BZ190" s="81">
        <f t="shared" si="427"/>
        <v>36.7115912</v>
      </c>
      <c r="CA190" s="81">
        <f t="shared" si="427"/>
        <v>30.41859572</v>
      </c>
      <c r="CB190" s="81">
        <f t="shared" si="427"/>
        <v>30.1722743</v>
      </c>
      <c r="CC190" s="81">
        <f t="shared" si="427"/>
        <v>33.1923394</v>
      </c>
      <c r="CD190" s="81">
        <f t="shared" si="427"/>
        <v>41.02593542</v>
      </c>
      <c r="CE190" s="81">
        <f t="shared" si="427"/>
        <v>34.56086611</v>
      </c>
      <c r="CF190" s="81">
        <f t="shared" si="427"/>
        <v>38.35812861</v>
      </c>
      <c r="CG190" s="81">
        <f t="shared" si="427"/>
        <v>34.95905176</v>
      </c>
      <c r="CH190" s="81">
        <f t="shared" si="427"/>
        <v>35.74671454</v>
      </c>
      <c r="CI190" s="81">
        <f t="shared" si="427"/>
        <v>35.57958272</v>
      </c>
      <c r="CJ190" s="81">
        <f t="shared" si="427"/>
        <v>35.57958272</v>
      </c>
      <c r="CK190" s="81">
        <f t="shared" si="427"/>
        <v>35.57958272</v>
      </c>
      <c r="CL190" s="81">
        <f t="shared" si="427"/>
        <v>35.57958272</v>
      </c>
      <c r="CM190" s="81">
        <f t="shared" si="427"/>
        <v>35.57958272</v>
      </c>
      <c r="CN190" s="81">
        <f t="shared" si="427"/>
        <v>35.57958272</v>
      </c>
      <c r="CO190" s="81">
        <f t="shared" si="427"/>
        <v>35.57958272</v>
      </c>
      <c r="CP190" s="81">
        <f t="shared" si="427"/>
        <v>35.57958272</v>
      </c>
      <c r="CQ190" s="6" t="s">
        <v>35</v>
      </c>
    </row>
    <row r="191" ht="14.25" customHeight="1">
      <c r="A191" s="9"/>
      <c r="B191" s="10" t="s">
        <v>106</v>
      </c>
      <c r="C191" s="9"/>
      <c r="H191" s="81">
        <f t="shared" ref="H191:AJ191" si="428">H190-D190</f>
        <v>4.604671811</v>
      </c>
      <c r="I191" s="81">
        <f t="shared" si="428"/>
        <v>7.981749061</v>
      </c>
      <c r="J191" s="81">
        <f t="shared" si="428"/>
        <v>1.627039007</v>
      </c>
      <c r="K191" s="81">
        <f t="shared" si="428"/>
        <v>6.10658163</v>
      </c>
      <c r="L191" s="81">
        <f t="shared" si="428"/>
        <v>3.071676947</v>
      </c>
      <c r="M191" s="81">
        <f t="shared" si="428"/>
        <v>-2.775251531</v>
      </c>
      <c r="N191" s="81">
        <f t="shared" si="428"/>
        <v>-2.350514843</v>
      </c>
      <c r="O191" s="81">
        <f t="shared" si="428"/>
        <v>-6.567134059</v>
      </c>
      <c r="P191" s="81">
        <f t="shared" si="428"/>
        <v>-8.26753481</v>
      </c>
      <c r="Q191" s="81">
        <f t="shared" si="428"/>
        <v>-2.734906992</v>
      </c>
      <c r="R191" s="81">
        <f t="shared" si="428"/>
        <v>1.001649815</v>
      </c>
      <c r="S191" s="81">
        <f t="shared" si="428"/>
        <v>-2.078401671</v>
      </c>
      <c r="T191" s="81">
        <f t="shared" si="428"/>
        <v>-0.3178097854</v>
      </c>
      <c r="U191" s="81">
        <f t="shared" si="428"/>
        <v>-3.988542642</v>
      </c>
      <c r="V191" s="81">
        <f t="shared" si="428"/>
        <v>-6.755110997</v>
      </c>
      <c r="W191" s="81">
        <f t="shared" si="428"/>
        <v>-0.03954082258</v>
      </c>
      <c r="X191" s="81">
        <f t="shared" si="428"/>
        <v>4.488590787</v>
      </c>
      <c r="Y191" s="81">
        <f t="shared" si="428"/>
        <v>1.303023922</v>
      </c>
      <c r="Z191" s="81">
        <f t="shared" si="428"/>
        <v>-0.03080713424</v>
      </c>
      <c r="AA191" s="81">
        <f t="shared" si="428"/>
        <v>3.983518631</v>
      </c>
      <c r="AB191" s="81">
        <f t="shared" si="428"/>
        <v>-0.3433117357</v>
      </c>
      <c r="AC191" s="81">
        <f t="shared" si="428"/>
        <v>2.948947776</v>
      </c>
      <c r="AD191" s="81">
        <f t="shared" si="428"/>
        <v>4.130860218</v>
      </c>
      <c r="AE191" s="81">
        <f t="shared" si="428"/>
        <v>-0.9086524604</v>
      </c>
      <c r="AF191" s="81">
        <f t="shared" si="428"/>
        <v>4.09066668</v>
      </c>
      <c r="AG191" s="81">
        <f t="shared" si="428"/>
        <v>4.700693769</v>
      </c>
      <c r="AH191" s="81">
        <f t="shared" si="428"/>
        <v>-5.093409209</v>
      </c>
      <c r="AI191" s="81">
        <f t="shared" si="428"/>
        <v>-3.229356716</v>
      </c>
      <c r="AJ191" s="81">
        <f t="shared" si="428"/>
        <v>-5.482966069</v>
      </c>
      <c r="AK191" s="81">
        <v>3.0</v>
      </c>
      <c r="AL191" s="81">
        <v>3.0</v>
      </c>
      <c r="AM191" s="81">
        <v>3.0</v>
      </c>
      <c r="AN191" s="81">
        <v>0.0</v>
      </c>
      <c r="AO191" s="81">
        <v>0.0</v>
      </c>
      <c r="AP191" s="81">
        <v>0.0</v>
      </c>
      <c r="AQ191" s="81">
        <v>0.0</v>
      </c>
      <c r="AR191" s="81">
        <v>0.0</v>
      </c>
      <c r="AS191" s="81">
        <v>0.0</v>
      </c>
      <c r="AT191" s="81">
        <v>0.0</v>
      </c>
      <c r="AU191" s="81">
        <v>0.0</v>
      </c>
      <c r="AV191" s="81">
        <v>0.0</v>
      </c>
      <c r="AW191" s="81">
        <v>0.0</v>
      </c>
      <c r="AX191" s="81">
        <v>0.0</v>
      </c>
      <c r="AY191" s="81">
        <v>0.0</v>
      </c>
      <c r="AZ191" s="81">
        <v>0.0</v>
      </c>
      <c r="BA191" s="81">
        <v>0.0</v>
      </c>
      <c r="BB191" s="81">
        <v>0.0</v>
      </c>
      <c r="BC191" s="81">
        <v>0.0</v>
      </c>
      <c r="BD191" s="81">
        <v>0.0</v>
      </c>
      <c r="BE191" s="81">
        <v>0.0</v>
      </c>
      <c r="BF191" s="81">
        <v>0.0</v>
      </c>
      <c r="BG191" s="81">
        <v>0.0</v>
      </c>
      <c r="BH191" s="81">
        <v>0.0</v>
      </c>
      <c r="BI191" s="81">
        <v>0.0</v>
      </c>
      <c r="BJ191" s="81">
        <v>0.0</v>
      </c>
      <c r="BK191" s="81">
        <v>0.0</v>
      </c>
      <c r="BL191" s="81">
        <v>0.0</v>
      </c>
      <c r="BM191" s="81">
        <v>0.0</v>
      </c>
      <c r="BN191" s="81">
        <v>0.0</v>
      </c>
      <c r="BO191" s="81">
        <v>0.0</v>
      </c>
      <c r="BP191" s="81">
        <v>0.0</v>
      </c>
      <c r="BQ191" s="81">
        <v>0.0</v>
      </c>
      <c r="BR191" s="81">
        <v>0.0</v>
      </c>
      <c r="BS191" s="81">
        <v>0.0</v>
      </c>
      <c r="BT191" s="81">
        <v>0.0</v>
      </c>
      <c r="BU191" s="81">
        <v>0.0</v>
      </c>
      <c r="BV191" s="81">
        <v>0.0</v>
      </c>
      <c r="BW191" s="81">
        <v>0.0</v>
      </c>
      <c r="BX191" s="6" t="s">
        <v>35</v>
      </c>
      <c r="BY191" s="81"/>
      <c r="BZ191" s="81">
        <f t="shared" ref="BZ191:CP191" si="429">BZ190-BY190</f>
        <v>-1.945172246</v>
      </c>
      <c r="CA191" s="81">
        <f t="shared" si="429"/>
        <v>-6.29299548</v>
      </c>
      <c r="CB191" s="81">
        <f t="shared" si="429"/>
        <v>-0.2463214243</v>
      </c>
      <c r="CC191" s="81">
        <f t="shared" si="429"/>
        <v>3.0200651</v>
      </c>
      <c r="CD191" s="81">
        <f t="shared" si="429"/>
        <v>7.833596018</v>
      </c>
      <c r="CE191" s="81">
        <f t="shared" si="429"/>
        <v>-6.465069307</v>
      </c>
      <c r="CF191" s="81">
        <f t="shared" si="429"/>
        <v>3.797262503</v>
      </c>
      <c r="CG191" s="81">
        <f t="shared" si="429"/>
        <v>-3.399076857</v>
      </c>
      <c r="CH191" s="81">
        <f t="shared" si="429"/>
        <v>0.7876627791</v>
      </c>
      <c r="CI191" s="81">
        <f t="shared" si="429"/>
        <v>-0.1671318162</v>
      </c>
      <c r="CJ191" s="81">
        <f t="shared" si="429"/>
        <v>0</v>
      </c>
      <c r="CK191" s="81">
        <f t="shared" si="429"/>
        <v>0</v>
      </c>
      <c r="CL191" s="81">
        <f t="shared" si="429"/>
        <v>0</v>
      </c>
      <c r="CM191" s="81">
        <f t="shared" si="429"/>
        <v>0</v>
      </c>
      <c r="CN191" s="81">
        <f t="shared" si="429"/>
        <v>0</v>
      </c>
      <c r="CO191" s="81">
        <f t="shared" si="429"/>
        <v>0</v>
      </c>
      <c r="CP191" s="81">
        <f t="shared" si="429"/>
        <v>0</v>
      </c>
      <c r="CQ191" s="6" t="s">
        <v>35</v>
      </c>
    </row>
    <row r="192" ht="14.25" customHeight="1">
      <c r="A192" s="9"/>
      <c r="B192" s="10"/>
      <c r="C192" s="9"/>
      <c r="BX192" s="6" t="s">
        <v>35</v>
      </c>
      <c r="CQ192" s="6" t="s">
        <v>35</v>
      </c>
    </row>
    <row r="193" ht="14.25" customHeight="1">
      <c r="A193" s="9"/>
      <c r="B193" s="59" t="s">
        <v>90</v>
      </c>
      <c r="C193" s="86" t="s">
        <v>39</v>
      </c>
      <c r="D193" s="87" t="str">
        <f t="shared" ref="D193:AJ193" si="430">D80</f>
        <v/>
      </c>
      <c r="E193" s="87" t="str">
        <f t="shared" si="430"/>
        <v/>
      </c>
      <c r="F193" s="87" t="str">
        <f t="shared" si="430"/>
        <v/>
      </c>
      <c r="G193" s="87" t="str">
        <f t="shared" si="430"/>
        <v/>
      </c>
      <c r="H193" s="87">
        <f t="shared" si="430"/>
        <v>4.518</v>
      </c>
      <c r="I193" s="87">
        <f t="shared" si="430"/>
        <v>3.969</v>
      </c>
      <c r="J193" s="87">
        <f t="shared" si="430"/>
        <v>3.5</v>
      </c>
      <c r="K193" s="87">
        <f t="shared" si="430"/>
        <v>4.281</v>
      </c>
      <c r="L193" s="87">
        <f t="shared" si="430"/>
        <v>4.743</v>
      </c>
      <c r="M193" s="87">
        <f t="shared" si="430"/>
        <v>4.553</v>
      </c>
      <c r="N193" s="87">
        <f t="shared" si="430"/>
        <v>4.466</v>
      </c>
      <c r="O193" s="87">
        <f t="shared" si="430"/>
        <v>4.615</v>
      </c>
      <c r="P193" s="87">
        <f t="shared" si="430"/>
        <v>4.585</v>
      </c>
      <c r="Q193" s="87">
        <f t="shared" si="430"/>
        <v>6.672</v>
      </c>
      <c r="R193" s="87">
        <f t="shared" si="430"/>
        <v>4.106</v>
      </c>
      <c r="S193" s="87">
        <f t="shared" si="430"/>
        <v>4.321</v>
      </c>
      <c r="T193" s="87">
        <f t="shared" si="430"/>
        <v>4.42</v>
      </c>
      <c r="U193" s="87">
        <f t="shared" si="430"/>
        <v>4.753</v>
      </c>
      <c r="V193" s="87">
        <f t="shared" si="430"/>
        <v>4.978</v>
      </c>
      <c r="W193" s="87">
        <f t="shared" si="430"/>
        <v>4.58</v>
      </c>
      <c r="X193" s="87">
        <f t="shared" si="430"/>
        <v>7.843</v>
      </c>
      <c r="Y193" s="87">
        <f t="shared" si="430"/>
        <v>12.641</v>
      </c>
      <c r="Z193" s="87">
        <f t="shared" si="430"/>
        <v>17.911</v>
      </c>
      <c r="AA193" s="87">
        <f t="shared" si="430"/>
        <v>16.216</v>
      </c>
      <c r="AB193" s="87">
        <f t="shared" si="430"/>
        <v>14.864</v>
      </c>
      <c r="AC193" s="87">
        <f t="shared" si="430"/>
        <v>15.293</v>
      </c>
      <c r="AD193" s="87">
        <f t="shared" si="430"/>
        <v>13.934</v>
      </c>
      <c r="AE193" s="87">
        <f t="shared" si="430"/>
        <v>17.007</v>
      </c>
      <c r="AF193" s="87">
        <f t="shared" si="430"/>
        <v>9.752</v>
      </c>
      <c r="AG193" s="87">
        <f t="shared" si="430"/>
        <v>13.35</v>
      </c>
      <c r="AH193" s="87">
        <f t="shared" si="430"/>
        <v>27.543</v>
      </c>
      <c r="AI193" s="87">
        <f t="shared" si="430"/>
        <v>16.443</v>
      </c>
      <c r="AJ193" s="87">
        <f t="shared" si="430"/>
        <v>14.651</v>
      </c>
      <c r="AK193" s="87">
        <f t="shared" ref="AK193:BW193" si="431">(AK194*AK$11)/($D$197/4)</f>
        <v>23.05860311</v>
      </c>
      <c r="AL193" s="87">
        <f t="shared" si="431"/>
        <v>25.19365735</v>
      </c>
      <c r="AM193" s="87">
        <f t="shared" si="431"/>
        <v>16.039019</v>
      </c>
      <c r="AN193" s="87">
        <f t="shared" si="431"/>
        <v>15.29068952</v>
      </c>
      <c r="AO193" s="87">
        <f t="shared" si="431"/>
        <v>25.05574992</v>
      </c>
      <c r="AP193" s="87">
        <f t="shared" si="431"/>
        <v>28.21030925</v>
      </c>
      <c r="AQ193" s="87">
        <f t="shared" si="431"/>
        <v>17.83003833</v>
      </c>
      <c r="AR193" s="87">
        <f t="shared" si="431"/>
        <v>16.9144109</v>
      </c>
      <c r="AS193" s="87">
        <f t="shared" si="431"/>
        <v>27.5798909</v>
      </c>
      <c r="AT193" s="87">
        <f t="shared" si="431"/>
        <v>30.89927692</v>
      </c>
      <c r="AU193" s="87">
        <f t="shared" si="431"/>
        <v>19.48170985</v>
      </c>
      <c r="AV193" s="87">
        <f t="shared" si="431"/>
        <v>18.481264</v>
      </c>
      <c r="AW193" s="87">
        <f t="shared" si="431"/>
        <v>30.13473231</v>
      </c>
      <c r="AX193" s="87">
        <f t="shared" si="431"/>
        <v>33.76160705</v>
      </c>
      <c r="AY193" s="87">
        <f t="shared" si="431"/>
        <v>21.28638266</v>
      </c>
      <c r="AZ193" s="87">
        <f t="shared" si="431"/>
        <v>20.1932613</v>
      </c>
      <c r="BA193" s="87">
        <f t="shared" si="431"/>
        <v>32.92623945</v>
      </c>
      <c r="BB193" s="87">
        <f t="shared" si="431"/>
        <v>36.88908686</v>
      </c>
      <c r="BC193" s="87">
        <f t="shared" si="431"/>
        <v>23.25822992</v>
      </c>
      <c r="BD193" s="87">
        <f t="shared" si="431"/>
        <v>22.06384811</v>
      </c>
      <c r="BE193" s="87">
        <f t="shared" si="431"/>
        <v>35.97633565</v>
      </c>
      <c r="BF193" s="87">
        <f t="shared" si="431"/>
        <v>40.3062783</v>
      </c>
      <c r="BG193" s="87">
        <f t="shared" si="431"/>
        <v>25.41273768</v>
      </c>
      <c r="BH193" s="87">
        <f t="shared" si="431"/>
        <v>24.10771526</v>
      </c>
      <c r="BI193" s="87">
        <f t="shared" si="431"/>
        <v>39.3089751</v>
      </c>
      <c r="BJ193" s="87">
        <f t="shared" si="431"/>
        <v>44.04001857</v>
      </c>
      <c r="BK193" s="87">
        <f t="shared" si="431"/>
        <v>27.76682658</v>
      </c>
      <c r="BL193" s="87">
        <f t="shared" si="431"/>
        <v>26.34091443</v>
      </c>
      <c r="BM193" s="87">
        <f t="shared" si="431"/>
        <v>42.95033097</v>
      </c>
      <c r="BN193" s="87">
        <f t="shared" si="431"/>
        <v>48.11963092</v>
      </c>
      <c r="BO193" s="87">
        <f t="shared" si="431"/>
        <v>30.33898463</v>
      </c>
      <c r="BP193" s="87">
        <f t="shared" si="431"/>
        <v>28.78098425</v>
      </c>
      <c r="BQ193" s="87">
        <f t="shared" si="431"/>
        <v>46.92900097</v>
      </c>
      <c r="BR193" s="87">
        <f t="shared" si="431"/>
        <v>52.57715494</v>
      </c>
      <c r="BS193" s="87">
        <f t="shared" si="431"/>
        <v>33.14941252</v>
      </c>
      <c r="BT193" s="87">
        <f t="shared" si="431"/>
        <v>31.447088</v>
      </c>
      <c r="BU193" s="87">
        <f t="shared" si="431"/>
        <v>51.27623193</v>
      </c>
      <c r="BV193" s="87">
        <f t="shared" si="431"/>
        <v>57.44759817</v>
      </c>
      <c r="BW193" s="87">
        <f t="shared" si="431"/>
        <v>36.22018218</v>
      </c>
      <c r="BX193" s="6" t="s">
        <v>35</v>
      </c>
      <c r="BY193" s="87" t="str">
        <f t="shared" ref="BY193:CP193" si="432">BY80</f>
        <v/>
      </c>
      <c r="BZ193" s="87">
        <f t="shared" si="432"/>
        <v>4.281</v>
      </c>
      <c r="CA193" s="87">
        <f t="shared" si="432"/>
        <v>4.615</v>
      </c>
      <c r="CB193" s="87">
        <f t="shared" si="432"/>
        <v>4.321</v>
      </c>
      <c r="CC193" s="87">
        <f t="shared" si="432"/>
        <v>4.58</v>
      </c>
      <c r="CD193" s="87">
        <f t="shared" si="432"/>
        <v>16.216</v>
      </c>
      <c r="CE193" s="87">
        <f t="shared" si="432"/>
        <v>17.007</v>
      </c>
      <c r="CF193" s="87">
        <f t="shared" si="432"/>
        <v>16.443</v>
      </c>
      <c r="CG193" s="87">
        <f t="shared" si="432"/>
        <v>16.039019</v>
      </c>
      <c r="CH193" s="87">
        <f t="shared" si="432"/>
        <v>17.83003833</v>
      </c>
      <c r="CI193" s="87">
        <f t="shared" si="432"/>
        <v>19.48170985</v>
      </c>
      <c r="CJ193" s="87">
        <f t="shared" si="432"/>
        <v>21.28638266</v>
      </c>
      <c r="CK193" s="87">
        <f t="shared" si="432"/>
        <v>23.25822992</v>
      </c>
      <c r="CL193" s="87">
        <f t="shared" si="432"/>
        <v>25.41273768</v>
      </c>
      <c r="CM193" s="87">
        <f t="shared" si="432"/>
        <v>27.76682658</v>
      </c>
      <c r="CN193" s="87">
        <f t="shared" si="432"/>
        <v>30.33898463</v>
      </c>
      <c r="CO193" s="87">
        <f t="shared" si="432"/>
        <v>33.14941252</v>
      </c>
      <c r="CP193" s="87">
        <f t="shared" si="432"/>
        <v>36.22018218</v>
      </c>
      <c r="CQ193" s="6" t="s">
        <v>35</v>
      </c>
    </row>
    <row r="194" ht="14.25" customHeight="1">
      <c r="A194" s="9"/>
      <c r="B194" s="10" t="s">
        <v>107</v>
      </c>
      <c r="C194" s="9" t="s">
        <v>108</v>
      </c>
      <c r="D194" s="81">
        <f t="shared" ref="D194:AJ194" si="433">D193/D$11*($D$197/4)</f>
        <v>0</v>
      </c>
      <c r="E194" s="81">
        <f t="shared" si="433"/>
        <v>0</v>
      </c>
      <c r="F194" s="81">
        <f t="shared" si="433"/>
        <v>0</v>
      </c>
      <c r="G194" s="81">
        <f t="shared" si="433"/>
        <v>0</v>
      </c>
      <c r="H194" s="81">
        <f t="shared" si="433"/>
        <v>5.417728921</v>
      </c>
      <c r="I194" s="81">
        <f t="shared" si="433"/>
        <v>4.29489422</v>
      </c>
      <c r="J194" s="81">
        <f t="shared" si="433"/>
        <v>3.997984578</v>
      </c>
      <c r="K194" s="81">
        <f t="shared" si="433"/>
        <v>4.493693274</v>
      </c>
      <c r="L194" s="81">
        <f t="shared" si="433"/>
        <v>5.22199264</v>
      </c>
      <c r="M194" s="81">
        <f t="shared" si="433"/>
        <v>4.493610474</v>
      </c>
      <c r="N194" s="81">
        <f t="shared" si="433"/>
        <v>4.772596852</v>
      </c>
      <c r="O194" s="81">
        <f t="shared" si="433"/>
        <v>4.791538663</v>
      </c>
      <c r="P194" s="81">
        <f t="shared" si="433"/>
        <v>5.882585557</v>
      </c>
      <c r="Q194" s="81">
        <f t="shared" si="433"/>
        <v>12.63479019</v>
      </c>
      <c r="R194" s="81">
        <f t="shared" si="433"/>
        <v>6.833722436</v>
      </c>
      <c r="S194" s="81">
        <f t="shared" si="433"/>
        <v>5.791757249</v>
      </c>
      <c r="T194" s="81">
        <f t="shared" si="433"/>
        <v>5.141762599</v>
      </c>
      <c r="U194" s="81">
        <f t="shared" si="433"/>
        <v>3.888949912</v>
      </c>
      <c r="V194" s="81">
        <f t="shared" si="433"/>
        <v>3.675606677</v>
      </c>
      <c r="W194" s="81">
        <f t="shared" si="433"/>
        <v>3.494560718</v>
      </c>
      <c r="X194" s="81">
        <f t="shared" si="433"/>
        <v>5.535500201</v>
      </c>
      <c r="Y194" s="81">
        <f t="shared" si="433"/>
        <v>6.270950898</v>
      </c>
      <c r="Z194" s="81">
        <f t="shared" si="433"/>
        <v>6.423460043</v>
      </c>
      <c r="AA194" s="81">
        <f t="shared" si="433"/>
        <v>6.019363368</v>
      </c>
      <c r="AB194" s="81">
        <f t="shared" si="433"/>
        <v>5.621855079</v>
      </c>
      <c r="AC194" s="81">
        <f t="shared" si="433"/>
        <v>5.495468311</v>
      </c>
      <c r="AD194" s="81">
        <f t="shared" si="433"/>
        <v>4.727437843</v>
      </c>
      <c r="AE194" s="81">
        <f t="shared" si="433"/>
        <v>5.498140879</v>
      </c>
      <c r="AF194" s="81">
        <f t="shared" si="433"/>
        <v>4.111564425</v>
      </c>
      <c r="AG194" s="81">
        <f t="shared" si="433"/>
        <v>5.934850921</v>
      </c>
      <c r="AH194" s="81">
        <f t="shared" si="433"/>
        <v>6.400438911</v>
      </c>
      <c r="AI194" s="81">
        <f t="shared" si="433"/>
        <v>3.575050692</v>
      </c>
      <c r="AJ194" s="81">
        <f t="shared" si="433"/>
        <v>3.624567908</v>
      </c>
      <c r="AK194" s="81">
        <f t="shared" ref="AK194:BW194" si="434">AG194+AK195</f>
        <v>5.934850921</v>
      </c>
      <c r="AL194" s="81">
        <f t="shared" si="434"/>
        <v>6.400438911</v>
      </c>
      <c r="AM194" s="81">
        <f t="shared" si="434"/>
        <v>3.575050692</v>
      </c>
      <c r="AN194" s="81">
        <f t="shared" si="434"/>
        <v>3.624567908</v>
      </c>
      <c r="AO194" s="81">
        <f t="shared" si="434"/>
        <v>5.934850921</v>
      </c>
      <c r="AP194" s="81">
        <f t="shared" si="434"/>
        <v>6.400438911</v>
      </c>
      <c r="AQ194" s="81">
        <f t="shared" si="434"/>
        <v>3.575050692</v>
      </c>
      <c r="AR194" s="81">
        <f t="shared" si="434"/>
        <v>3.624567908</v>
      </c>
      <c r="AS194" s="81">
        <f t="shared" si="434"/>
        <v>5.934850921</v>
      </c>
      <c r="AT194" s="81">
        <f t="shared" si="434"/>
        <v>6.400438911</v>
      </c>
      <c r="AU194" s="81">
        <f t="shared" si="434"/>
        <v>3.575050692</v>
      </c>
      <c r="AV194" s="81">
        <f t="shared" si="434"/>
        <v>3.624567908</v>
      </c>
      <c r="AW194" s="81">
        <f t="shared" si="434"/>
        <v>5.934850921</v>
      </c>
      <c r="AX194" s="81">
        <f t="shared" si="434"/>
        <v>6.400438911</v>
      </c>
      <c r="AY194" s="81">
        <f t="shared" si="434"/>
        <v>3.575050692</v>
      </c>
      <c r="AZ194" s="81">
        <f t="shared" si="434"/>
        <v>3.624567908</v>
      </c>
      <c r="BA194" s="81">
        <f t="shared" si="434"/>
        <v>5.934850921</v>
      </c>
      <c r="BB194" s="81">
        <f t="shared" si="434"/>
        <v>6.400438911</v>
      </c>
      <c r="BC194" s="81">
        <f t="shared" si="434"/>
        <v>3.575050692</v>
      </c>
      <c r="BD194" s="81">
        <f t="shared" si="434"/>
        <v>3.624567908</v>
      </c>
      <c r="BE194" s="81">
        <f t="shared" si="434"/>
        <v>5.934850921</v>
      </c>
      <c r="BF194" s="81">
        <f t="shared" si="434"/>
        <v>6.400438911</v>
      </c>
      <c r="BG194" s="81">
        <f t="shared" si="434"/>
        <v>3.575050692</v>
      </c>
      <c r="BH194" s="81">
        <f t="shared" si="434"/>
        <v>3.624567908</v>
      </c>
      <c r="BI194" s="81">
        <f t="shared" si="434"/>
        <v>5.934850921</v>
      </c>
      <c r="BJ194" s="81">
        <f t="shared" si="434"/>
        <v>6.400438911</v>
      </c>
      <c r="BK194" s="81">
        <f t="shared" si="434"/>
        <v>3.575050692</v>
      </c>
      <c r="BL194" s="81">
        <f t="shared" si="434"/>
        <v>3.624567908</v>
      </c>
      <c r="BM194" s="81">
        <f t="shared" si="434"/>
        <v>5.934850921</v>
      </c>
      <c r="BN194" s="81">
        <f t="shared" si="434"/>
        <v>6.400438911</v>
      </c>
      <c r="BO194" s="81">
        <f t="shared" si="434"/>
        <v>3.575050692</v>
      </c>
      <c r="BP194" s="81">
        <f t="shared" si="434"/>
        <v>3.624567908</v>
      </c>
      <c r="BQ194" s="81">
        <f t="shared" si="434"/>
        <v>5.934850921</v>
      </c>
      <c r="BR194" s="81">
        <f t="shared" si="434"/>
        <v>6.400438911</v>
      </c>
      <c r="BS194" s="81">
        <f t="shared" si="434"/>
        <v>3.575050692</v>
      </c>
      <c r="BT194" s="81">
        <f t="shared" si="434"/>
        <v>3.624567908</v>
      </c>
      <c r="BU194" s="81">
        <f t="shared" si="434"/>
        <v>5.934850921</v>
      </c>
      <c r="BV194" s="81">
        <f t="shared" si="434"/>
        <v>6.400438911</v>
      </c>
      <c r="BW194" s="81">
        <f t="shared" si="434"/>
        <v>3.575050692</v>
      </c>
      <c r="BX194" s="6" t="s">
        <v>35</v>
      </c>
      <c r="BY194" s="81">
        <f t="shared" ref="BY194:CP194" si="435">BY193/BY$11*($D$197)</f>
        <v>0</v>
      </c>
      <c r="BZ194" s="81">
        <f t="shared" si="435"/>
        <v>4.77502544</v>
      </c>
      <c r="CA194" s="81">
        <f t="shared" si="435"/>
        <v>4.831947839</v>
      </c>
      <c r="CB194" s="81">
        <f t="shared" si="435"/>
        <v>6.511479566</v>
      </c>
      <c r="CC194" s="81">
        <f t="shared" si="435"/>
        <v>3.859482247</v>
      </c>
      <c r="CD194" s="81">
        <f t="shared" si="435"/>
        <v>7.275825021</v>
      </c>
      <c r="CE194" s="81">
        <f t="shared" si="435"/>
        <v>5.932239753</v>
      </c>
      <c r="CF194" s="81">
        <f t="shared" si="435"/>
        <v>4.863373742</v>
      </c>
      <c r="CG194" s="81">
        <f t="shared" si="435"/>
        <v>3.923909676</v>
      </c>
      <c r="CH194" s="81">
        <f t="shared" si="435"/>
        <v>3.998812181</v>
      </c>
      <c r="CI194" s="81">
        <f t="shared" si="435"/>
        <v>3.977738179</v>
      </c>
      <c r="CJ194" s="81">
        <f t="shared" si="435"/>
        <v>3.977738179</v>
      </c>
      <c r="CK194" s="81">
        <f t="shared" si="435"/>
        <v>3.977738179</v>
      </c>
      <c r="CL194" s="81">
        <f t="shared" si="435"/>
        <v>3.977738179</v>
      </c>
      <c r="CM194" s="81">
        <f t="shared" si="435"/>
        <v>3.977738179</v>
      </c>
      <c r="CN194" s="81">
        <f t="shared" si="435"/>
        <v>3.977738179</v>
      </c>
      <c r="CO194" s="81">
        <f t="shared" si="435"/>
        <v>3.977738179</v>
      </c>
      <c r="CP194" s="81">
        <f t="shared" si="435"/>
        <v>3.977738179</v>
      </c>
      <c r="CQ194" s="6" t="s">
        <v>35</v>
      </c>
    </row>
    <row r="195" ht="14.25" customHeight="1">
      <c r="A195" s="9"/>
      <c r="B195" s="10" t="s">
        <v>106</v>
      </c>
      <c r="C195" s="9"/>
      <c r="H195" s="81">
        <f t="shared" ref="H195:AJ195" si="436">H194-D194</f>
        <v>5.417728921</v>
      </c>
      <c r="I195" s="81">
        <f t="shared" si="436"/>
        <v>4.29489422</v>
      </c>
      <c r="J195" s="81">
        <f t="shared" si="436"/>
        <v>3.997984578</v>
      </c>
      <c r="K195" s="81">
        <f t="shared" si="436"/>
        <v>4.493693274</v>
      </c>
      <c r="L195" s="81">
        <f t="shared" si="436"/>
        <v>-0.1957362814</v>
      </c>
      <c r="M195" s="81">
        <f t="shared" si="436"/>
        <v>0.1987162541</v>
      </c>
      <c r="N195" s="81">
        <f t="shared" si="436"/>
        <v>0.7746122744</v>
      </c>
      <c r="O195" s="81">
        <f t="shared" si="436"/>
        <v>0.2978453889</v>
      </c>
      <c r="P195" s="81">
        <f t="shared" si="436"/>
        <v>0.6605929173</v>
      </c>
      <c r="Q195" s="81">
        <f t="shared" si="436"/>
        <v>8.141179714</v>
      </c>
      <c r="R195" s="81">
        <f t="shared" si="436"/>
        <v>2.061125584</v>
      </c>
      <c r="S195" s="81">
        <f t="shared" si="436"/>
        <v>1.000218586</v>
      </c>
      <c r="T195" s="81">
        <f t="shared" si="436"/>
        <v>-0.7408229586</v>
      </c>
      <c r="U195" s="81">
        <f t="shared" si="436"/>
        <v>-8.745840276</v>
      </c>
      <c r="V195" s="81">
        <f t="shared" si="436"/>
        <v>-3.158115759</v>
      </c>
      <c r="W195" s="81">
        <f t="shared" si="436"/>
        <v>-2.297196531</v>
      </c>
      <c r="X195" s="81">
        <f t="shared" si="436"/>
        <v>0.3937376025</v>
      </c>
      <c r="Y195" s="81">
        <f t="shared" si="436"/>
        <v>2.382000985</v>
      </c>
      <c r="Z195" s="81">
        <f t="shared" si="436"/>
        <v>2.747853366</v>
      </c>
      <c r="AA195" s="81">
        <f t="shared" si="436"/>
        <v>2.52480265</v>
      </c>
      <c r="AB195" s="81">
        <f t="shared" si="436"/>
        <v>0.08635487761</v>
      </c>
      <c r="AC195" s="81">
        <f t="shared" si="436"/>
        <v>-0.7754825869</v>
      </c>
      <c r="AD195" s="81">
        <f t="shared" si="436"/>
        <v>-1.6960222</v>
      </c>
      <c r="AE195" s="81">
        <f t="shared" si="436"/>
        <v>-0.5212224895</v>
      </c>
      <c r="AF195" s="81">
        <f t="shared" si="436"/>
        <v>-1.510290654</v>
      </c>
      <c r="AG195" s="81">
        <f t="shared" si="436"/>
        <v>0.4393826101</v>
      </c>
      <c r="AH195" s="81">
        <f t="shared" si="436"/>
        <v>1.673001068</v>
      </c>
      <c r="AI195" s="81">
        <f t="shared" si="436"/>
        <v>-1.923090187</v>
      </c>
      <c r="AJ195" s="81">
        <f t="shared" si="436"/>
        <v>-0.4869965168</v>
      </c>
      <c r="AK195" s="81">
        <v>0.0</v>
      </c>
      <c r="AL195" s="81">
        <v>0.0</v>
      </c>
      <c r="AM195" s="81">
        <v>0.0</v>
      </c>
      <c r="AN195" s="81">
        <v>0.0</v>
      </c>
      <c r="AO195" s="81">
        <v>0.0</v>
      </c>
      <c r="AP195" s="81">
        <v>0.0</v>
      </c>
      <c r="AQ195" s="81">
        <v>0.0</v>
      </c>
      <c r="AR195" s="81">
        <v>0.0</v>
      </c>
      <c r="AS195" s="81">
        <v>0.0</v>
      </c>
      <c r="AT195" s="81">
        <v>0.0</v>
      </c>
      <c r="AU195" s="81">
        <v>0.0</v>
      </c>
      <c r="AV195" s="81">
        <v>0.0</v>
      </c>
      <c r="AW195" s="81">
        <v>0.0</v>
      </c>
      <c r="AX195" s="81">
        <v>0.0</v>
      </c>
      <c r="AY195" s="81">
        <v>0.0</v>
      </c>
      <c r="AZ195" s="81">
        <v>0.0</v>
      </c>
      <c r="BA195" s="81">
        <v>0.0</v>
      </c>
      <c r="BB195" s="81">
        <v>0.0</v>
      </c>
      <c r="BC195" s="81">
        <v>0.0</v>
      </c>
      <c r="BD195" s="81">
        <v>0.0</v>
      </c>
      <c r="BE195" s="81">
        <v>0.0</v>
      </c>
      <c r="BF195" s="81">
        <v>0.0</v>
      </c>
      <c r="BG195" s="81">
        <v>0.0</v>
      </c>
      <c r="BH195" s="81">
        <v>0.0</v>
      </c>
      <c r="BI195" s="81">
        <v>0.0</v>
      </c>
      <c r="BJ195" s="81">
        <v>0.0</v>
      </c>
      <c r="BK195" s="81">
        <v>0.0</v>
      </c>
      <c r="BL195" s="81">
        <v>0.0</v>
      </c>
      <c r="BM195" s="81">
        <v>0.0</v>
      </c>
      <c r="BN195" s="81">
        <v>0.0</v>
      </c>
      <c r="BO195" s="81">
        <v>0.0</v>
      </c>
      <c r="BP195" s="81">
        <v>0.0</v>
      </c>
      <c r="BQ195" s="81">
        <v>0.0</v>
      </c>
      <c r="BR195" s="81">
        <v>0.0</v>
      </c>
      <c r="BS195" s="81">
        <v>0.0</v>
      </c>
      <c r="BT195" s="81">
        <v>0.0</v>
      </c>
      <c r="BU195" s="81">
        <v>0.0</v>
      </c>
      <c r="BV195" s="81">
        <v>0.0</v>
      </c>
      <c r="BW195" s="81">
        <v>0.0</v>
      </c>
      <c r="BX195" s="6" t="s">
        <v>35</v>
      </c>
      <c r="BY195" s="81"/>
      <c r="BZ195" s="81">
        <f t="shared" ref="BZ195:CP195" si="437">BZ194-BY194</f>
        <v>4.77502544</v>
      </c>
      <c r="CA195" s="81">
        <f t="shared" si="437"/>
        <v>0.05692239858</v>
      </c>
      <c r="CB195" s="81">
        <f t="shared" si="437"/>
        <v>1.679531727</v>
      </c>
      <c r="CC195" s="81">
        <f t="shared" si="437"/>
        <v>-2.651997318</v>
      </c>
      <c r="CD195" s="81">
        <f t="shared" si="437"/>
        <v>3.416342774</v>
      </c>
      <c r="CE195" s="81">
        <f t="shared" si="437"/>
        <v>-1.343585268</v>
      </c>
      <c r="CF195" s="81">
        <f t="shared" si="437"/>
        <v>-1.068866011</v>
      </c>
      <c r="CG195" s="81">
        <f t="shared" si="437"/>
        <v>-0.9394640659</v>
      </c>
      <c r="CH195" s="81">
        <f t="shared" si="437"/>
        <v>0.07490250527</v>
      </c>
      <c r="CI195" s="81">
        <f t="shared" si="437"/>
        <v>-0.02107400184</v>
      </c>
      <c r="CJ195" s="81">
        <f t="shared" si="437"/>
        <v>0</v>
      </c>
      <c r="CK195" s="81">
        <f t="shared" si="437"/>
        <v>0</v>
      </c>
      <c r="CL195" s="81">
        <f t="shared" si="437"/>
        <v>0</v>
      </c>
      <c r="CM195" s="81">
        <f t="shared" si="437"/>
        <v>0</v>
      </c>
      <c r="CN195" s="81">
        <f t="shared" si="437"/>
        <v>0</v>
      </c>
      <c r="CO195" s="81">
        <f t="shared" si="437"/>
        <v>0</v>
      </c>
      <c r="CP195" s="81">
        <f t="shared" si="437"/>
        <v>0</v>
      </c>
      <c r="CQ195" s="6" t="s">
        <v>35</v>
      </c>
    </row>
    <row r="196" ht="14.25" customHeight="1">
      <c r="A196" s="9"/>
      <c r="B196" s="10"/>
      <c r="C196" s="9"/>
      <c r="BX196" s="6" t="s">
        <v>35</v>
      </c>
      <c r="CQ196" s="6" t="s">
        <v>35</v>
      </c>
    </row>
    <row r="197" ht="14.25" customHeight="1">
      <c r="A197" s="9"/>
      <c r="B197" s="10" t="s">
        <v>114</v>
      </c>
      <c r="C197" s="9" t="s">
        <v>108</v>
      </c>
      <c r="D197" s="88">
        <v>365.0</v>
      </c>
      <c r="BX197" s="6" t="s">
        <v>35</v>
      </c>
      <c r="CQ197" s="6" t="s">
        <v>35</v>
      </c>
    </row>
    <row r="198" ht="14.25" customHeight="1">
      <c r="BX198" s="6" t="s">
        <v>35</v>
      </c>
      <c r="CQ198" s="6" t="s">
        <v>35</v>
      </c>
    </row>
    <row r="199" ht="14.25" customHeight="1">
      <c r="A199" s="11" t="s">
        <v>36</v>
      </c>
      <c r="B199" s="2" t="s">
        <v>115</v>
      </c>
      <c r="C199" s="3"/>
      <c r="BX199" s="6" t="s">
        <v>35</v>
      </c>
      <c r="CQ199" s="6" t="s">
        <v>35</v>
      </c>
    </row>
    <row r="200" ht="14.25" customHeight="1">
      <c r="A200" s="11"/>
      <c r="B200" s="89"/>
      <c r="C200" s="89"/>
      <c r="BX200" s="6" t="s">
        <v>35</v>
      </c>
      <c r="CQ200" s="6" t="s">
        <v>35</v>
      </c>
    </row>
    <row r="201" ht="14.25" customHeight="1">
      <c r="A201" s="11"/>
      <c r="B201" s="32" t="s">
        <v>116</v>
      </c>
      <c r="C201" s="90" t="s">
        <v>39</v>
      </c>
      <c r="H201" s="75">
        <f t="shared" ref="H201:BW201" si="438">H206+H209</f>
        <v>1.788</v>
      </c>
      <c r="I201" s="75">
        <f t="shared" si="438"/>
        <v>6.918</v>
      </c>
      <c r="J201" s="75">
        <f t="shared" si="438"/>
        <v>2.237</v>
      </c>
      <c r="K201" s="75">
        <f t="shared" si="438"/>
        <v>3.966</v>
      </c>
      <c r="L201" s="75">
        <f t="shared" si="438"/>
        <v>2.653</v>
      </c>
      <c r="M201" s="75">
        <f t="shared" si="438"/>
        <v>5.197</v>
      </c>
      <c r="N201" s="75">
        <f t="shared" si="438"/>
        <v>4.913</v>
      </c>
      <c r="O201" s="75">
        <f t="shared" si="438"/>
        <v>3.718</v>
      </c>
      <c r="P201" s="75">
        <f t="shared" si="438"/>
        <v>1.436</v>
      </c>
      <c r="Q201" s="75">
        <f t="shared" si="438"/>
        <v>1.491</v>
      </c>
      <c r="R201" s="75">
        <f t="shared" si="438"/>
        <v>4.989</v>
      </c>
      <c r="S201" s="75">
        <f t="shared" si="438"/>
        <v>14.047</v>
      </c>
      <c r="T201" s="75">
        <f t="shared" si="438"/>
        <v>18.165</v>
      </c>
      <c r="U201" s="75">
        <f t="shared" si="438"/>
        <v>6.402</v>
      </c>
      <c r="V201" s="75">
        <f t="shared" si="438"/>
        <v>9.779</v>
      </c>
      <c r="W201" s="75">
        <f t="shared" si="438"/>
        <v>8.368</v>
      </c>
      <c r="X201" s="75">
        <f t="shared" si="438"/>
        <v>15.697</v>
      </c>
      <c r="Y201" s="75">
        <f t="shared" si="438"/>
        <v>15.582</v>
      </c>
      <c r="Z201" s="75">
        <f t="shared" si="438"/>
        <v>18.057</v>
      </c>
      <c r="AA201" s="75">
        <f t="shared" si="438"/>
        <v>33.692</v>
      </c>
      <c r="AB201" s="75">
        <f t="shared" si="438"/>
        <v>4.519</v>
      </c>
      <c r="AC201" s="75">
        <f t="shared" si="438"/>
        <v>23.327</v>
      </c>
      <c r="AD201" s="75">
        <f t="shared" si="438"/>
        <v>35.645</v>
      </c>
      <c r="AE201" s="75">
        <f t="shared" si="438"/>
        <v>20.815</v>
      </c>
      <c r="AF201" s="75">
        <f t="shared" si="438"/>
        <v>15.836</v>
      </c>
      <c r="AG201" s="75">
        <f t="shared" si="438"/>
        <v>23.769</v>
      </c>
      <c r="AH201" s="75">
        <f t="shared" si="438"/>
        <v>33.166</v>
      </c>
      <c r="AI201" s="75">
        <f t="shared" si="438"/>
        <v>22.639</v>
      </c>
      <c r="AJ201" s="75">
        <f t="shared" si="438"/>
        <v>3.219</v>
      </c>
      <c r="AK201" s="75">
        <f t="shared" si="438"/>
        <v>23.48602</v>
      </c>
      <c r="AL201" s="75">
        <f t="shared" si="438"/>
        <v>35.05009152</v>
      </c>
      <c r="AM201" s="75">
        <f t="shared" si="438"/>
        <v>27.11951036</v>
      </c>
      <c r="AN201" s="75">
        <f t="shared" si="438"/>
        <v>23.09696694</v>
      </c>
      <c r="AO201" s="75">
        <f t="shared" si="438"/>
        <v>23.11435159</v>
      </c>
      <c r="AP201" s="75">
        <f t="shared" si="438"/>
        <v>24.13138306</v>
      </c>
      <c r="AQ201" s="75">
        <f t="shared" si="438"/>
        <v>27.30575543</v>
      </c>
      <c r="AR201" s="75">
        <f t="shared" si="438"/>
        <v>25.54963847</v>
      </c>
      <c r="AS201" s="75">
        <f t="shared" si="438"/>
        <v>25.44291418</v>
      </c>
      <c r="AT201" s="75">
        <f t="shared" si="438"/>
        <v>26.43155313</v>
      </c>
      <c r="AU201" s="75">
        <f t="shared" si="438"/>
        <v>29.83520253</v>
      </c>
      <c r="AV201" s="75">
        <f t="shared" si="438"/>
        <v>27.91640906</v>
      </c>
      <c r="AW201" s="75">
        <f t="shared" si="438"/>
        <v>27.79979845</v>
      </c>
      <c r="AX201" s="75">
        <f t="shared" si="438"/>
        <v>28.88001919</v>
      </c>
      <c r="AY201" s="75">
        <f t="shared" si="438"/>
        <v>32.59896296</v>
      </c>
      <c r="AZ201" s="75">
        <f t="shared" si="438"/>
        <v>30.50242357</v>
      </c>
      <c r="BA201" s="75">
        <f t="shared" si="438"/>
        <v>30.37501083</v>
      </c>
      <c r="BB201" s="75">
        <f t="shared" si="438"/>
        <v>31.55529697</v>
      </c>
      <c r="BC201" s="75">
        <f t="shared" si="438"/>
        <v>35.61874216</v>
      </c>
      <c r="BD201" s="75">
        <f t="shared" si="438"/>
        <v>33.3279915</v>
      </c>
      <c r="BE201" s="75">
        <f t="shared" si="438"/>
        <v>33.18877598</v>
      </c>
      <c r="BF201" s="75">
        <f t="shared" si="438"/>
        <v>34.47839699</v>
      </c>
      <c r="BG201" s="75">
        <f t="shared" si="438"/>
        <v>38.91825622</v>
      </c>
      <c r="BH201" s="75">
        <f t="shared" si="438"/>
        <v>36.41530368</v>
      </c>
      <c r="BI201" s="75">
        <f t="shared" si="438"/>
        <v>36.26319204</v>
      </c>
      <c r="BJ201" s="75">
        <f t="shared" si="438"/>
        <v>37.67227607</v>
      </c>
      <c r="BK201" s="75">
        <f t="shared" si="438"/>
        <v>42.52341816</v>
      </c>
      <c r="BL201" s="75">
        <f t="shared" si="438"/>
        <v>39.78860659</v>
      </c>
      <c r="BM201" s="75">
        <f t="shared" si="438"/>
        <v>39.6224042</v>
      </c>
      <c r="BN201" s="75">
        <f t="shared" si="438"/>
        <v>41.16201762</v>
      </c>
      <c r="BO201" s="75">
        <f t="shared" si="438"/>
        <v>46.46254143</v>
      </c>
      <c r="BP201" s="75">
        <f t="shared" si="438"/>
        <v>36.22866062</v>
      </c>
      <c r="BQ201" s="75">
        <f t="shared" si="438"/>
        <v>36.07732861</v>
      </c>
      <c r="BR201" s="75">
        <f t="shared" si="438"/>
        <v>37.47919052</v>
      </c>
      <c r="BS201" s="75">
        <f t="shared" si="438"/>
        <v>42.30546856</v>
      </c>
      <c r="BT201" s="75">
        <f t="shared" si="438"/>
        <v>39.58467399</v>
      </c>
      <c r="BU201" s="75">
        <f t="shared" si="438"/>
        <v>39.41932346</v>
      </c>
      <c r="BV201" s="75">
        <f t="shared" si="438"/>
        <v>40.95104575</v>
      </c>
      <c r="BW201" s="75">
        <f t="shared" si="438"/>
        <v>46.22440224</v>
      </c>
      <c r="BX201" s="6" t="s">
        <v>35</v>
      </c>
      <c r="BZ201" s="17">
        <f>SUM(H201:K201)</f>
        <v>14.909</v>
      </c>
      <c r="CA201" s="17">
        <f>SUM(L201:O201)</f>
        <v>16.481</v>
      </c>
      <c r="CB201" s="17">
        <f>SUM(P201:S201)</f>
        <v>21.963</v>
      </c>
      <c r="CC201" s="17">
        <f>SUM(T201:W201)</f>
        <v>42.714</v>
      </c>
      <c r="CD201" s="17">
        <f>SUM(X201:AA201)</f>
        <v>83.028</v>
      </c>
      <c r="CE201" s="17">
        <f>SUM(AB201:AE201)</f>
        <v>84.306</v>
      </c>
      <c r="CF201" s="17">
        <f>SUM(AF201:AI201)</f>
        <v>95.41</v>
      </c>
      <c r="CG201" s="17">
        <f>SUM(AJ201:AM201)</f>
        <v>88.87462188</v>
      </c>
      <c r="CH201" s="17">
        <f>SUM(AN201:AQ201)</f>
        <v>97.64845702</v>
      </c>
      <c r="CI201" s="17">
        <f>SUM(AR201:AU201)</f>
        <v>107.2593083</v>
      </c>
      <c r="CJ201" s="17">
        <f>SUM(AV201:AY201)</f>
        <v>117.1951897</v>
      </c>
      <c r="CK201" s="17">
        <f>SUM(AZ201:BC201)</f>
        <v>128.0514735</v>
      </c>
      <c r="CL201" s="17">
        <f>SUM(BD201:BG201)</f>
        <v>139.9134207</v>
      </c>
      <c r="CM201" s="17">
        <f>SUM(BH201:BK201)</f>
        <v>152.8741899</v>
      </c>
      <c r="CN201" s="17">
        <f>SUM(BL201:BO201)</f>
        <v>167.0355698</v>
      </c>
      <c r="CO201" s="17">
        <f>SUM(BP201:BS201)</f>
        <v>152.0906483</v>
      </c>
      <c r="CP201" s="17">
        <f>SUM(BT201:BW201)</f>
        <v>166.1794454</v>
      </c>
      <c r="CQ201" s="6" t="s">
        <v>35</v>
      </c>
    </row>
    <row r="202" ht="14.25" customHeight="1">
      <c r="A202" s="11"/>
      <c r="B202" s="10" t="s">
        <v>117</v>
      </c>
      <c r="C202" s="9" t="s">
        <v>42</v>
      </c>
      <c r="BX202" s="6" t="s">
        <v>35</v>
      </c>
      <c r="CA202" s="82">
        <f t="shared" ref="CA202:CP202" si="439">CA201/BZ201-1</f>
        <v>0.1054396673</v>
      </c>
      <c r="CB202" s="82">
        <f t="shared" si="439"/>
        <v>0.3326254475</v>
      </c>
      <c r="CC202" s="82">
        <f t="shared" si="439"/>
        <v>0.9448162819</v>
      </c>
      <c r="CD202" s="82">
        <f t="shared" si="439"/>
        <v>0.9438123332</v>
      </c>
      <c r="CE202" s="82">
        <f t="shared" si="439"/>
        <v>0.01539239775</v>
      </c>
      <c r="CF202" s="82">
        <f t="shared" si="439"/>
        <v>0.131710673</v>
      </c>
      <c r="CG202" s="82">
        <f t="shared" si="439"/>
        <v>-0.06849783167</v>
      </c>
      <c r="CH202" s="82">
        <f t="shared" si="439"/>
        <v>0.0987214905</v>
      </c>
      <c r="CI202" s="82">
        <f t="shared" si="439"/>
        <v>0.09842297143</v>
      </c>
      <c r="CJ202" s="82">
        <f t="shared" si="439"/>
        <v>0.0926342105</v>
      </c>
      <c r="CK202" s="82">
        <f t="shared" si="439"/>
        <v>0.0926342105</v>
      </c>
      <c r="CL202" s="82">
        <f t="shared" si="439"/>
        <v>0.0926342105</v>
      </c>
      <c r="CM202" s="82">
        <f t="shared" si="439"/>
        <v>0.0926342105</v>
      </c>
      <c r="CN202" s="82">
        <f t="shared" si="439"/>
        <v>0.0926342105</v>
      </c>
      <c r="CO202" s="82">
        <f t="shared" si="439"/>
        <v>-0.08947149125</v>
      </c>
      <c r="CP202" s="82">
        <f t="shared" si="439"/>
        <v>0.0926342105</v>
      </c>
      <c r="CQ202" s="6" t="s">
        <v>35</v>
      </c>
    </row>
    <row r="203" ht="14.25" customHeight="1">
      <c r="A203" s="11"/>
      <c r="B203" s="10" t="s">
        <v>118</v>
      </c>
      <c r="C203" s="9" t="s">
        <v>42</v>
      </c>
      <c r="H203" s="82">
        <f t="shared" ref="H203:BW203" si="440">H201/H$11</f>
        <v>0.02349663583</v>
      </c>
      <c r="I203" s="82">
        <f t="shared" si="440"/>
        <v>0.08203875436</v>
      </c>
      <c r="J203" s="82">
        <f t="shared" si="440"/>
        <v>0.0280031045</v>
      </c>
      <c r="K203" s="82">
        <f t="shared" si="440"/>
        <v>0.04562239017</v>
      </c>
      <c r="L203" s="82">
        <f t="shared" si="440"/>
        <v>0.03201013514</v>
      </c>
      <c r="M203" s="82">
        <f t="shared" si="440"/>
        <v>0.05621052176</v>
      </c>
      <c r="N203" s="82">
        <f t="shared" si="440"/>
        <v>0.05753735888</v>
      </c>
      <c r="O203" s="82">
        <f t="shared" si="440"/>
        <v>0.04230384125</v>
      </c>
      <c r="P203" s="82">
        <f t="shared" si="440"/>
        <v>0.02019065831</v>
      </c>
      <c r="Q203" s="82">
        <f t="shared" si="440"/>
        <v>0.03094259743</v>
      </c>
      <c r="R203" s="82">
        <f t="shared" si="440"/>
        <v>0.09099531253</v>
      </c>
      <c r="S203" s="82">
        <f t="shared" si="440"/>
        <v>0.2063368489</v>
      </c>
      <c r="T203" s="82">
        <f t="shared" si="440"/>
        <v>0.2315753241</v>
      </c>
      <c r="U203" s="82">
        <f t="shared" si="440"/>
        <v>0.05740468419</v>
      </c>
      <c r="V203" s="82">
        <f t="shared" si="440"/>
        <v>0.07912900642</v>
      </c>
      <c r="W203" s="82">
        <f t="shared" si="440"/>
        <v>0.06997065046</v>
      </c>
      <c r="X203" s="82">
        <f t="shared" si="440"/>
        <v>0.1214111132</v>
      </c>
      <c r="Y203" s="82">
        <f t="shared" si="440"/>
        <v>0.08471148514</v>
      </c>
      <c r="Z203" s="82">
        <f t="shared" si="440"/>
        <v>0.07096789407</v>
      </c>
      <c r="AA203" s="82">
        <f t="shared" si="440"/>
        <v>0.1370568494</v>
      </c>
      <c r="AB203" s="82">
        <f t="shared" si="440"/>
        <v>0.01873067454</v>
      </c>
      <c r="AC203" s="82">
        <f t="shared" si="440"/>
        <v>0.09186245245</v>
      </c>
      <c r="AD203" s="82">
        <f t="shared" si="440"/>
        <v>0.1325304788</v>
      </c>
      <c r="AE203" s="82">
        <f t="shared" si="440"/>
        <v>0.07374484955</v>
      </c>
      <c r="AF203" s="82">
        <f t="shared" si="440"/>
        <v>0.07316881593</v>
      </c>
      <c r="AG203" s="82">
        <f t="shared" si="440"/>
        <v>0.1157994738</v>
      </c>
      <c r="AH203" s="82">
        <f t="shared" si="440"/>
        <v>0.08446148988</v>
      </c>
      <c r="AI203" s="82">
        <f t="shared" si="440"/>
        <v>0.05394180985</v>
      </c>
      <c r="AJ203" s="82">
        <f t="shared" si="440"/>
        <v>0.008727243151</v>
      </c>
      <c r="AK203" s="82">
        <f t="shared" si="440"/>
        <v>0.06624504102</v>
      </c>
      <c r="AL203" s="82">
        <f t="shared" si="440"/>
        <v>0.09758314743</v>
      </c>
      <c r="AM203" s="82">
        <f t="shared" si="440"/>
        <v>0.06624504102</v>
      </c>
      <c r="AN203" s="82">
        <f t="shared" si="440"/>
        <v>0.06</v>
      </c>
      <c r="AO203" s="82">
        <f t="shared" si="440"/>
        <v>0.06</v>
      </c>
      <c r="AP203" s="82">
        <f t="shared" si="440"/>
        <v>0.06</v>
      </c>
      <c r="AQ203" s="82">
        <f t="shared" si="440"/>
        <v>0.06</v>
      </c>
      <c r="AR203" s="82">
        <f t="shared" si="440"/>
        <v>0.06</v>
      </c>
      <c r="AS203" s="82">
        <f t="shared" si="440"/>
        <v>0.06</v>
      </c>
      <c r="AT203" s="82">
        <f t="shared" si="440"/>
        <v>0.06</v>
      </c>
      <c r="AU203" s="82">
        <f t="shared" si="440"/>
        <v>0.06</v>
      </c>
      <c r="AV203" s="82">
        <f t="shared" si="440"/>
        <v>0.06</v>
      </c>
      <c r="AW203" s="82">
        <f t="shared" si="440"/>
        <v>0.06</v>
      </c>
      <c r="AX203" s="82">
        <f t="shared" si="440"/>
        <v>0.06</v>
      </c>
      <c r="AY203" s="82">
        <f t="shared" si="440"/>
        <v>0.06</v>
      </c>
      <c r="AZ203" s="82">
        <f t="shared" si="440"/>
        <v>0.06</v>
      </c>
      <c r="BA203" s="82">
        <f t="shared" si="440"/>
        <v>0.06</v>
      </c>
      <c r="BB203" s="82">
        <f t="shared" si="440"/>
        <v>0.06</v>
      </c>
      <c r="BC203" s="82">
        <f t="shared" si="440"/>
        <v>0.06</v>
      </c>
      <c r="BD203" s="82">
        <f t="shared" si="440"/>
        <v>0.06</v>
      </c>
      <c r="BE203" s="82">
        <f t="shared" si="440"/>
        <v>0.06</v>
      </c>
      <c r="BF203" s="82">
        <f t="shared" si="440"/>
        <v>0.06</v>
      </c>
      <c r="BG203" s="82">
        <f t="shared" si="440"/>
        <v>0.06</v>
      </c>
      <c r="BH203" s="82">
        <f t="shared" si="440"/>
        <v>0.06</v>
      </c>
      <c r="BI203" s="82">
        <f t="shared" si="440"/>
        <v>0.06</v>
      </c>
      <c r="BJ203" s="82">
        <f t="shared" si="440"/>
        <v>0.06</v>
      </c>
      <c r="BK203" s="82">
        <f t="shared" si="440"/>
        <v>0.06</v>
      </c>
      <c r="BL203" s="82">
        <f t="shared" si="440"/>
        <v>0.06</v>
      </c>
      <c r="BM203" s="82">
        <f t="shared" si="440"/>
        <v>0.06</v>
      </c>
      <c r="BN203" s="82">
        <f t="shared" si="440"/>
        <v>0.06</v>
      </c>
      <c r="BO203" s="82">
        <f t="shared" si="440"/>
        <v>0.06</v>
      </c>
      <c r="BP203" s="82">
        <f t="shared" si="440"/>
        <v>0.05</v>
      </c>
      <c r="BQ203" s="82">
        <f t="shared" si="440"/>
        <v>0.05</v>
      </c>
      <c r="BR203" s="82">
        <f t="shared" si="440"/>
        <v>0.05</v>
      </c>
      <c r="BS203" s="82">
        <f t="shared" si="440"/>
        <v>0.05</v>
      </c>
      <c r="BT203" s="82">
        <f t="shared" si="440"/>
        <v>0.05</v>
      </c>
      <c r="BU203" s="82">
        <f t="shared" si="440"/>
        <v>0.05</v>
      </c>
      <c r="BV203" s="82">
        <f t="shared" si="440"/>
        <v>0.05</v>
      </c>
      <c r="BW203" s="82">
        <f t="shared" si="440"/>
        <v>0.05</v>
      </c>
      <c r="BX203" s="6" t="s">
        <v>35</v>
      </c>
      <c r="BZ203" s="82">
        <f t="shared" ref="BZ203:CP203" si="441">BZ201/BZ$11</f>
        <v>0.04556025144</v>
      </c>
      <c r="CA203" s="82">
        <f t="shared" si="441"/>
        <v>0.04727605475</v>
      </c>
      <c r="CB203" s="82">
        <f t="shared" si="441"/>
        <v>0.09067638814</v>
      </c>
      <c r="CC203" s="82">
        <f t="shared" si="441"/>
        <v>0.09861453891</v>
      </c>
      <c r="CD203" s="82">
        <f t="shared" si="441"/>
        <v>0.1020634448</v>
      </c>
      <c r="CE203" s="82">
        <f t="shared" si="441"/>
        <v>0.08056689061</v>
      </c>
      <c r="CF203" s="82">
        <f t="shared" si="441"/>
        <v>0.07731390694</v>
      </c>
      <c r="CG203" s="82">
        <f t="shared" si="441"/>
        <v>0.05956979446</v>
      </c>
      <c r="CH203" s="82">
        <f t="shared" si="441"/>
        <v>0.06</v>
      </c>
      <c r="CI203" s="82">
        <f t="shared" si="441"/>
        <v>0.06</v>
      </c>
      <c r="CJ203" s="82">
        <f t="shared" si="441"/>
        <v>0.06</v>
      </c>
      <c r="CK203" s="82">
        <f t="shared" si="441"/>
        <v>0.06</v>
      </c>
      <c r="CL203" s="82">
        <f t="shared" si="441"/>
        <v>0.06</v>
      </c>
      <c r="CM203" s="82">
        <f t="shared" si="441"/>
        <v>0.06</v>
      </c>
      <c r="CN203" s="82">
        <f t="shared" si="441"/>
        <v>0.06</v>
      </c>
      <c r="CO203" s="82">
        <f t="shared" si="441"/>
        <v>0.05</v>
      </c>
      <c r="CP203" s="82">
        <f t="shared" si="441"/>
        <v>0.05</v>
      </c>
      <c r="CQ203" s="6" t="s">
        <v>35</v>
      </c>
    </row>
    <row r="204" ht="14.25" customHeight="1">
      <c r="A204" s="11"/>
      <c r="B204" s="89"/>
      <c r="C204" s="89"/>
      <c r="BX204" s="6" t="s">
        <v>35</v>
      </c>
      <c r="CQ204" s="6" t="s">
        <v>35</v>
      </c>
    </row>
    <row r="205" ht="14.25" customHeight="1">
      <c r="A205" s="11"/>
      <c r="B205" s="89"/>
      <c r="C205" s="89"/>
      <c r="BX205" s="6" t="s">
        <v>35</v>
      </c>
      <c r="CQ205" s="6" t="s">
        <v>35</v>
      </c>
    </row>
    <row r="206" ht="14.25" customHeight="1">
      <c r="A206" s="11"/>
      <c r="B206" s="20" t="s">
        <v>119</v>
      </c>
      <c r="C206" s="9" t="s">
        <v>39</v>
      </c>
      <c r="H206" s="81">
        <f>-Inputs!J237/1000</f>
        <v>1.788</v>
      </c>
      <c r="I206" s="81">
        <f>-Inputs!K237/1000</f>
        <v>6.918</v>
      </c>
      <c r="J206" s="81">
        <f>-Inputs!L237/1000</f>
        <v>2.237</v>
      </c>
      <c r="K206" s="81">
        <f>-Inputs!M237/1000</f>
        <v>3.966</v>
      </c>
      <c r="L206" s="81">
        <f>-Inputs!N237/1000</f>
        <v>2.653</v>
      </c>
      <c r="M206" s="81">
        <f>-Inputs!O237/1000</f>
        <v>5.197</v>
      </c>
      <c r="N206" s="81">
        <f>-Inputs!P237/1000</f>
        <v>4.913</v>
      </c>
      <c r="O206" s="81">
        <f>-Inputs!Q237/1000</f>
        <v>3.718</v>
      </c>
      <c r="P206" s="81">
        <f>-Inputs!R237/1000</f>
        <v>1.436</v>
      </c>
      <c r="Q206" s="81">
        <f>-Inputs!S237/1000</f>
        <v>1.491</v>
      </c>
      <c r="R206" s="81">
        <f>-Inputs!T237/1000</f>
        <v>4.989</v>
      </c>
      <c r="S206" s="81">
        <f>-Inputs!U237/1000</f>
        <v>7.786</v>
      </c>
      <c r="T206" s="81">
        <f>-Inputs!V237/1000</f>
        <v>18.165</v>
      </c>
      <c r="U206" s="81">
        <f>-Inputs!W237/1000</f>
        <v>6.402</v>
      </c>
      <c r="V206" s="81">
        <f>-Inputs!X237/1000</f>
        <v>9.779</v>
      </c>
      <c r="W206" s="81">
        <f>-Inputs!Y237/1000</f>
        <v>8.368</v>
      </c>
      <c r="X206" s="81">
        <f>-Inputs!Z237/1000</f>
        <v>6.803</v>
      </c>
      <c r="Y206" s="81">
        <f>-Inputs!AA237/1000</f>
        <v>13.535</v>
      </c>
      <c r="Z206" s="81">
        <f>-Inputs!AB237/1000</f>
        <v>18.057</v>
      </c>
      <c r="AA206" s="81">
        <f>-Inputs!AC237/1000</f>
        <v>33.692</v>
      </c>
      <c r="AB206" s="81">
        <f>-Inputs!AD237/1000</f>
        <v>14.933</v>
      </c>
      <c r="AC206" s="81">
        <f>-Inputs!AE237/1000</f>
        <v>23.974</v>
      </c>
      <c r="AD206" s="81">
        <f>-Inputs!AF237/1000</f>
        <v>33.378</v>
      </c>
      <c r="AE206" s="81">
        <f>-Inputs!AG237/1000</f>
        <v>20.815</v>
      </c>
      <c r="AF206" s="81">
        <f>-Inputs!AH237/1000</f>
        <v>15.836</v>
      </c>
      <c r="AG206" s="81">
        <f>-Inputs!AI237/1000</f>
        <v>14.524</v>
      </c>
      <c r="AH206" s="81">
        <f>-Inputs!AJ237/1000</f>
        <v>18.408</v>
      </c>
      <c r="AI206" s="81">
        <f>-Inputs!AK237/1000</f>
        <v>20.018</v>
      </c>
      <c r="AJ206" s="81">
        <f>-Inputs!AL237/1000</f>
        <v>3.219</v>
      </c>
      <c r="AK206" s="81">
        <f t="shared" ref="AK206:BW206" si="442">AK207*AK$11</f>
        <v>21.27195</v>
      </c>
      <c r="AL206" s="81">
        <f t="shared" si="442"/>
        <v>21.5509086</v>
      </c>
      <c r="AM206" s="81">
        <f t="shared" si="442"/>
        <v>24.56290458</v>
      </c>
      <c r="AN206" s="81">
        <f t="shared" si="442"/>
        <v>23.09696694</v>
      </c>
      <c r="AO206" s="81">
        <f t="shared" si="442"/>
        <v>23.11435159</v>
      </c>
      <c r="AP206" s="81">
        <f t="shared" si="442"/>
        <v>24.13138306</v>
      </c>
      <c r="AQ206" s="81">
        <f t="shared" si="442"/>
        <v>27.30575543</v>
      </c>
      <c r="AR206" s="81">
        <f t="shared" si="442"/>
        <v>25.54963847</v>
      </c>
      <c r="AS206" s="81">
        <f t="shared" si="442"/>
        <v>25.44291418</v>
      </c>
      <c r="AT206" s="81">
        <f t="shared" si="442"/>
        <v>26.43155313</v>
      </c>
      <c r="AU206" s="81">
        <f t="shared" si="442"/>
        <v>29.83520253</v>
      </c>
      <c r="AV206" s="81">
        <f t="shared" si="442"/>
        <v>27.91640906</v>
      </c>
      <c r="AW206" s="81">
        <f t="shared" si="442"/>
        <v>27.79979845</v>
      </c>
      <c r="AX206" s="81">
        <f t="shared" si="442"/>
        <v>28.88001919</v>
      </c>
      <c r="AY206" s="81">
        <f t="shared" si="442"/>
        <v>32.59896296</v>
      </c>
      <c r="AZ206" s="81">
        <f t="shared" si="442"/>
        <v>30.50242357</v>
      </c>
      <c r="BA206" s="81">
        <f t="shared" si="442"/>
        <v>30.37501083</v>
      </c>
      <c r="BB206" s="81">
        <f t="shared" si="442"/>
        <v>31.55529697</v>
      </c>
      <c r="BC206" s="81">
        <f t="shared" si="442"/>
        <v>35.61874216</v>
      </c>
      <c r="BD206" s="81">
        <f t="shared" si="442"/>
        <v>33.3279915</v>
      </c>
      <c r="BE206" s="81">
        <f t="shared" si="442"/>
        <v>33.18877598</v>
      </c>
      <c r="BF206" s="81">
        <f t="shared" si="442"/>
        <v>34.47839699</v>
      </c>
      <c r="BG206" s="81">
        <f t="shared" si="442"/>
        <v>38.91825622</v>
      </c>
      <c r="BH206" s="81">
        <f t="shared" si="442"/>
        <v>36.41530368</v>
      </c>
      <c r="BI206" s="81">
        <f t="shared" si="442"/>
        <v>36.26319204</v>
      </c>
      <c r="BJ206" s="81">
        <f t="shared" si="442"/>
        <v>37.67227607</v>
      </c>
      <c r="BK206" s="81">
        <f t="shared" si="442"/>
        <v>42.52341816</v>
      </c>
      <c r="BL206" s="81">
        <f t="shared" si="442"/>
        <v>39.78860659</v>
      </c>
      <c r="BM206" s="81">
        <f t="shared" si="442"/>
        <v>39.6224042</v>
      </c>
      <c r="BN206" s="81">
        <f t="shared" si="442"/>
        <v>41.16201762</v>
      </c>
      <c r="BO206" s="81">
        <f t="shared" si="442"/>
        <v>46.46254143</v>
      </c>
      <c r="BP206" s="81">
        <f t="shared" si="442"/>
        <v>36.22866062</v>
      </c>
      <c r="BQ206" s="81">
        <f t="shared" si="442"/>
        <v>36.07732861</v>
      </c>
      <c r="BR206" s="81">
        <f t="shared" si="442"/>
        <v>37.47919052</v>
      </c>
      <c r="BS206" s="81">
        <f t="shared" si="442"/>
        <v>42.30546856</v>
      </c>
      <c r="BT206" s="81">
        <f t="shared" si="442"/>
        <v>39.58467399</v>
      </c>
      <c r="BU206" s="81">
        <f t="shared" si="442"/>
        <v>39.41932346</v>
      </c>
      <c r="BV206" s="81">
        <f t="shared" si="442"/>
        <v>40.95104575</v>
      </c>
      <c r="BW206" s="81">
        <f t="shared" si="442"/>
        <v>46.22440224</v>
      </c>
      <c r="BX206" s="6" t="s">
        <v>35</v>
      </c>
      <c r="BZ206" s="24">
        <f>SUM(H206:K206)</f>
        <v>14.909</v>
      </c>
      <c r="CA206" s="24">
        <f>SUM(L206:O206)</f>
        <v>16.481</v>
      </c>
      <c r="CB206" s="24">
        <f>SUM(P206:S206)</f>
        <v>15.702</v>
      </c>
      <c r="CC206" s="24">
        <f>SUM(T206:W206)</f>
        <v>42.714</v>
      </c>
      <c r="CD206" s="24">
        <f>SUM(X206:AA206)</f>
        <v>72.087</v>
      </c>
      <c r="CE206" s="24">
        <f>SUM(AB206:AE206)</f>
        <v>93.1</v>
      </c>
      <c r="CF206" s="24">
        <f>SUM(AF206:AI206)</f>
        <v>68.786</v>
      </c>
      <c r="CG206" s="24">
        <f>SUM(AJ206:AM206)</f>
        <v>70.60476318</v>
      </c>
      <c r="CH206" s="24">
        <f>SUM(AN206:AQ206)</f>
        <v>97.64845702</v>
      </c>
      <c r="CI206" s="24">
        <f>SUM(AR206:AU206)</f>
        <v>107.2593083</v>
      </c>
      <c r="CJ206" s="24">
        <f>SUM(AV206:AY206)</f>
        <v>117.1951897</v>
      </c>
      <c r="CK206" s="24">
        <f>SUM(AZ206:BC206)</f>
        <v>128.0514735</v>
      </c>
      <c r="CL206" s="24">
        <f>SUM(BD206:BG206)</f>
        <v>139.9134207</v>
      </c>
      <c r="CM206" s="24">
        <f>SUM(BH206:BK206)</f>
        <v>152.8741899</v>
      </c>
      <c r="CN206" s="24">
        <f>SUM(BL206:BO206)</f>
        <v>167.0355698</v>
      </c>
      <c r="CO206" s="24">
        <f>SUM(BP206:BS206)</f>
        <v>152.0906483</v>
      </c>
      <c r="CP206" s="24">
        <f>SUM(BT206:BW206)</f>
        <v>166.1794454</v>
      </c>
      <c r="CQ206" s="6" t="s">
        <v>35</v>
      </c>
    </row>
    <row r="207" ht="14.25" customHeight="1">
      <c r="A207" s="11"/>
      <c r="B207" s="10" t="s">
        <v>47</v>
      </c>
      <c r="C207" s="9" t="s">
        <v>42</v>
      </c>
      <c r="H207" s="82">
        <f t="shared" ref="H207:AJ207" si="443">H206/H$11</f>
        <v>0.02349663583</v>
      </c>
      <c r="I207" s="82">
        <f t="shared" si="443"/>
        <v>0.08203875436</v>
      </c>
      <c r="J207" s="82">
        <f t="shared" si="443"/>
        <v>0.0280031045</v>
      </c>
      <c r="K207" s="82">
        <f t="shared" si="443"/>
        <v>0.04562239017</v>
      </c>
      <c r="L207" s="82">
        <f t="shared" si="443"/>
        <v>0.03201013514</v>
      </c>
      <c r="M207" s="82">
        <f t="shared" si="443"/>
        <v>0.05621052176</v>
      </c>
      <c r="N207" s="82">
        <f t="shared" si="443"/>
        <v>0.05753735888</v>
      </c>
      <c r="O207" s="82">
        <f t="shared" si="443"/>
        <v>0.04230384125</v>
      </c>
      <c r="P207" s="82">
        <f t="shared" si="443"/>
        <v>0.02019065831</v>
      </c>
      <c r="Q207" s="82">
        <f t="shared" si="443"/>
        <v>0.03094259743</v>
      </c>
      <c r="R207" s="82">
        <f t="shared" si="443"/>
        <v>0.09099531253</v>
      </c>
      <c r="S207" s="82">
        <f t="shared" si="443"/>
        <v>0.1143688122</v>
      </c>
      <c r="T207" s="82">
        <f t="shared" si="443"/>
        <v>0.2315753241</v>
      </c>
      <c r="U207" s="82">
        <f t="shared" si="443"/>
        <v>0.05740468419</v>
      </c>
      <c r="V207" s="82">
        <f t="shared" si="443"/>
        <v>0.07912900642</v>
      </c>
      <c r="W207" s="82">
        <f t="shared" si="443"/>
        <v>0.06997065046</v>
      </c>
      <c r="X207" s="82">
        <f t="shared" si="443"/>
        <v>0.05261895922</v>
      </c>
      <c r="Y207" s="82">
        <f t="shared" si="443"/>
        <v>0.07358297724</v>
      </c>
      <c r="Z207" s="82">
        <f t="shared" si="443"/>
        <v>0.07096789407</v>
      </c>
      <c r="AA207" s="82">
        <f t="shared" si="443"/>
        <v>0.1370568494</v>
      </c>
      <c r="AB207" s="82">
        <f t="shared" si="443"/>
        <v>0.06189536686</v>
      </c>
      <c r="AC207" s="82">
        <f t="shared" si="443"/>
        <v>0.0944103586</v>
      </c>
      <c r="AD207" s="82">
        <f t="shared" si="443"/>
        <v>0.1241016222</v>
      </c>
      <c r="AE207" s="82">
        <f t="shared" si="443"/>
        <v>0.07374484955</v>
      </c>
      <c r="AF207" s="82">
        <f t="shared" si="443"/>
        <v>0.07316881593</v>
      </c>
      <c r="AG207" s="82">
        <f t="shared" si="443"/>
        <v>0.07075903732</v>
      </c>
      <c r="AH207" s="82">
        <f t="shared" si="443"/>
        <v>0.04687834245</v>
      </c>
      <c r="AI207" s="82">
        <f t="shared" si="443"/>
        <v>0.04769676883</v>
      </c>
      <c r="AJ207" s="82">
        <f t="shared" si="443"/>
        <v>0.008727243151</v>
      </c>
      <c r="AK207" s="91">
        <v>0.06</v>
      </c>
      <c r="AL207" s="91">
        <v>0.06</v>
      </c>
      <c r="AM207" s="91">
        <v>0.06</v>
      </c>
      <c r="AN207" s="92">
        <v>0.06</v>
      </c>
      <c r="AO207" s="91">
        <f t="shared" ref="AO207:BO207" si="444">AN207</f>
        <v>0.06</v>
      </c>
      <c r="AP207" s="91">
        <f t="shared" si="444"/>
        <v>0.06</v>
      </c>
      <c r="AQ207" s="91">
        <f t="shared" si="444"/>
        <v>0.06</v>
      </c>
      <c r="AR207" s="91">
        <f t="shared" si="444"/>
        <v>0.06</v>
      </c>
      <c r="AS207" s="91">
        <f t="shared" si="444"/>
        <v>0.06</v>
      </c>
      <c r="AT207" s="91">
        <f t="shared" si="444"/>
        <v>0.06</v>
      </c>
      <c r="AU207" s="91">
        <f t="shared" si="444"/>
        <v>0.06</v>
      </c>
      <c r="AV207" s="91">
        <f t="shared" si="444"/>
        <v>0.06</v>
      </c>
      <c r="AW207" s="91">
        <f t="shared" si="444"/>
        <v>0.06</v>
      </c>
      <c r="AX207" s="91">
        <f t="shared" si="444"/>
        <v>0.06</v>
      </c>
      <c r="AY207" s="91">
        <f t="shared" si="444"/>
        <v>0.06</v>
      </c>
      <c r="AZ207" s="91">
        <f t="shared" si="444"/>
        <v>0.06</v>
      </c>
      <c r="BA207" s="91">
        <f t="shared" si="444"/>
        <v>0.06</v>
      </c>
      <c r="BB207" s="91">
        <f t="shared" si="444"/>
        <v>0.06</v>
      </c>
      <c r="BC207" s="91">
        <f t="shared" si="444"/>
        <v>0.06</v>
      </c>
      <c r="BD207" s="91">
        <f t="shared" si="444"/>
        <v>0.06</v>
      </c>
      <c r="BE207" s="91">
        <f t="shared" si="444"/>
        <v>0.06</v>
      </c>
      <c r="BF207" s="91">
        <f t="shared" si="444"/>
        <v>0.06</v>
      </c>
      <c r="BG207" s="91">
        <f t="shared" si="444"/>
        <v>0.06</v>
      </c>
      <c r="BH207" s="91">
        <f t="shared" si="444"/>
        <v>0.06</v>
      </c>
      <c r="BI207" s="91">
        <f t="shared" si="444"/>
        <v>0.06</v>
      </c>
      <c r="BJ207" s="91">
        <f t="shared" si="444"/>
        <v>0.06</v>
      </c>
      <c r="BK207" s="91">
        <f t="shared" si="444"/>
        <v>0.06</v>
      </c>
      <c r="BL207" s="91">
        <f t="shared" si="444"/>
        <v>0.06</v>
      </c>
      <c r="BM207" s="91">
        <f t="shared" si="444"/>
        <v>0.06</v>
      </c>
      <c r="BN207" s="91">
        <f t="shared" si="444"/>
        <v>0.06</v>
      </c>
      <c r="BO207" s="91">
        <f t="shared" si="444"/>
        <v>0.06</v>
      </c>
      <c r="BP207" s="91">
        <v>0.05</v>
      </c>
      <c r="BQ207" s="91">
        <f t="shared" ref="BQ207:BW207" si="445">BP207</f>
        <v>0.05</v>
      </c>
      <c r="BR207" s="91">
        <f t="shared" si="445"/>
        <v>0.05</v>
      </c>
      <c r="BS207" s="91">
        <f t="shared" si="445"/>
        <v>0.05</v>
      </c>
      <c r="BT207" s="91">
        <f t="shared" si="445"/>
        <v>0.05</v>
      </c>
      <c r="BU207" s="91">
        <f t="shared" si="445"/>
        <v>0.05</v>
      </c>
      <c r="BV207" s="91">
        <f t="shared" si="445"/>
        <v>0.05</v>
      </c>
      <c r="BW207" s="91">
        <f t="shared" si="445"/>
        <v>0.05</v>
      </c>
      <c r="BX207" s="6" t="s">
        <v>35</v>
      </c>
      <c r="BZ207" s="82">
        <f t="shared" ref="BZ207:CP207" si="446">BZ206/BZ$11</f>
        <v>0.04556025144</v>
      </c>
      <c r="CA207" s="82">
        <f t="shared" si="446"/>
        <v>0.04727605475</v>
      </c>
      <c r="CB207" s="82">
        <f t="shared" si="446"/>
        <v>0.06482723884</v>
      </c>
      <c r="CC207" s="82">
        <f t="shared" si="446"/>
        <v>0.09861453891</v>
      </c>
      <c r="CD207" s="82">
        <f t="shared" si="446"/>
        <v>0.08861405247</v>
      </c>
      <c r="CE207" s="82">
        <f t="shared" si="446"/>
        <v>0.08897086228</v>
      </c>
      <c r="CF207" s="82">
        <f t="shared" si="446"/>
        <v>0.05573959127</v>
      </c>
      <c r="CG207" s="82">
        <f t="shared" si="446"/>
        <v>0.04732409705</v>
      </c>
      <c r="CH207" s="82">
        <f t="shared" si="446"/>
        <v>0.06</v>
      </c>
      <c r="CI207" s="82">
        <f t="shared" si="446"/>
        <v>0.06</v>
      </c>
      <c r="CJ207" s="82">
        <f t="shared" si="446"/>
        <v>0.06</v>
      </c>
      <c r="CK207" s="82">
        <f t="shared" si="446"/>
        <v>0.06</v>
      </c>
      <c r="CL207" s="82">
        <f t="shared" si="446"/>
        <v>0.06</v>
      </c>
      <c r="CM207" s="82">
        <f t="shared" si="446"/>
        <v>0.06</v>
      </c>
      <c r="CN207" s="82">
        <f t="shared" si="446"/>
        <v>0.06</v>
      </c>
      <c r="CO207" s="82">
        <f t="shared" si="446"/>
        <v>0.05</v>
      </c>
      <c r="CP207" s="82">
        <f t="shared" si="446"/>
        <v>0.05</v>
      </c>
      <c r="CQ207" s="6" t="s">
        <v>35</v>
      </c>
    </row>
    <row r="208" ht="14.25" customHeight="1">
      <c r="BX208" s="6" t="s">
        <v>35</v>
      </c>
      <c r="CQ208" s="6" t="s">
        <v>35</v>
      </c>
    </row>
    <row r="209" ht="14.25" customHeight="1">
      <c r="B209" s="20" t="s">
        <v>120</v>
      </c>
      <c r="C209" s="9" t="s">
        <v>39</v>
      </c>
      <c r="H209" s="81">
        <f>-Inputs!J239/1000</f>
        <v>0</v>
      </c>
      <c r="I209" s="81">
        <f>-Inputs!K239/1000</f>
        <v>0</v>
      </c>
      <c r="J209" s="81">
        <f>-Inputs!L239/1000</f>
        <v>0</v>
      </c>
      <c r="K209" s="81">
        <f>-Inputs!M239/1000</f>
        <v>0</v>
      </c>
      <c r="L209" s="81">
        <f>-Inputs!N239/1000</f>
        <v>0</v>
      </c>
      <c r="M209" s="81">
        <f>-Inputs!O239/1000</f>
        <v>0</v>
      </c>
      <c r="N209" s="81">
        <f>-Inputs!P239/1000</f>
        <v>0</v>
      </c>
      <c r="O209" s="81">
        <f>-Inputs!Q239/1000</f>
        <v>0</v>
      </c>
      <c r="P209" s="81">
        <f>-Inputs!R239/1000</f>
        <v>0</v>
      </c>
      <c r="Q209" s="81">
        <f>-Inputs!S239/1000</f>
        <v>0</v>
      </c>
      <c r="R209" s="81">
        <f>-Inputs!T239/1000</f>
        <v>0</v>
      </c>
      <c r="S209" s="81">
        <f>-Inputs!U239/1000</f>
        <v>6.261</v>
      </c>
      <c r="T209" s="81">
        <f>-Inputs!V239/1000</f>
        <v>0</v>
      </c>
      <c r="U209" s="81">
        <f>-Inputs!W239/1000</f>
        <v>0</v>
      </c>
      <c r="V209" s="81">
        <f>-Inputs!X239/1000</f>
        <v>0</v>
      </c>
      <c r="W209" s="81">
        <f>-Inputs!Y239/1000</f>
        <v>0</v>
      </c>
      <c r="X209" s="81">
        <f>-Inputs!Z239/1000</f>
        <v>8.894</v>
      </c>
      <c r="Y209" s="81">
        <f>-Inputs!AA239/1000</f>
        <v>2.047</v>
      </c>
      <c r="Z209" s="81">
        <f>-Inputs!AB239/1000</f>
        <v>0</v>
      </c>
      <c r="AA209" s="81">
        <f>-Inputs!AC239/1000</f>
        <v>0</v>
      </c>
      <c r="AB209" s="81">
        <f>-Inputs!AD239/1000</f>
        <v>-10.414</v>
      </c>
      <c r="AC209" s="81">
        <f>-Inputs!AE239/1000</f>
        <v>-0.647</v>
      </c>
      <c r="AD209" s="81">
        <f>-Inputs!AF239/1000</f>
        <v>2.267</v>
      </c>
      <c r="AE209" s="81">
        <f>-Inputs!AG239/1000</f>
        <v>0</v>
      </c>
      <c r="AF209" s="81">
        <f>-Inputs!AH239/1000</f>
        <v>0</v>
      </c>
      <c r="AG209" s="81">
        <f>-Inputs!AI239/1000</f>
        <v>9.245</v>
      </c>
      <c r="AH209" s="81">
        <f>-Inputs!AJ239/1000</f>
        <v>14.758</v>
      </c>
      <c r="AI209" s="81">
        <f>-Inputs!AK239/1000</f>
        <v>2.621</v>
      </c>
      <c r="AJ209" s="81">
        <f>-Inputs!AL239/1000</f>
        <v>0</v>
      </c>
      <c r="AK209" s="81">
        <f t="shared" ref="AK209:BW209" si="447">AK210*AK$11</f>
        <v>2.214070005</v>
      </c>
      <c r="AL209" s="81">
        <f t="shared" si="447"/>
        <v>13.49918292</v>
      </c>
      <c r="AM209" s="81">
        <f t="shared" si="447"/>
        <v>2.556605777</v>
      </c>
      <c r="AN209" s="81">
        <f t="shared" si="447"/>
        <v>0</v>
      </c>
      <c r="AO209" s="81">
        <f t="shared" si="447"/>
        <v>0</v>
      </c>
      <c r="AP209" s="81">
        <f t="shared" si="447"/>
        <v>0</v>
      </c>
      <c r="AQ209" s="81">
        <f t="shared" si="447"/>
        <v>0</v>
      </c>
      <c r="AR209" s="81">
        <f t="shared" si="447"/>
        <v>0</v>
      </c>
      <c r="AS209" s="81">
        <f t="shared" si="447"/>
        <v>0</v>
      </c>
      <c r="AT209" s="81">
        <f t="shared" si="447"/>
        <v>0</v>
      </c>
      <c r="AU209" s="81">
        <f t="shared" si="447"/>
        <v>0</v>
      </c>
      <c r="AV209" s="81">
        <f t="shared" si="447"/>
        <v>0</v>
      </c>
      <c r="AW209" s="81">
        <f t="shared" si="447"/>
        <v>0</v>
      </c>
      <c r="AX209" s="81">
        <f t="shared" si="447"/>
        <v>0</v>
      </c>
      <c r="AY209" s="81">
        <f t="shared" si="447"/>
        <v>0</v>
      </c>
      <c r="AZ209" s="81">
        <f t="shared" si="447"/>
        <v>0</v>
      </c>
      <c r="BA209" s="81">
        <f t="shared" si="447"/>
        <v>0</v>
      </c>
      <c r="BB209" s="81">
        <f t="shared" si="447"/>
        <v>0</v>
      </c>
      <c r="BC209" s="81">
        <f t="shared" si="447"/>
        <v>0</v>
      </c>
      <c r="BD209" s="81">
        <f t="shared" si="447"/>
        <v>0</v>
      </c>
      <c r="BE209" s="81">
        <f t="shared" si="447"/>
        <v>0</v>
      </c>
      <c r="BF209" s="81">
        <f t="shared" si="447"/>
        <v>0</v>
      </c>
      <c r="BG209" s="81">
        <f t="shared" si="447"/>
        <v>0</v>
      </c>
      <c r="BH209" s="81">
        <f t="shared" si="447"/>
        <v>0</v>
      </c>
      <c r="BI209" s="81">
        <f t="shared" si="447"/>
        <v>0</v>
      </c>
      <c r="BJ209" s="81">
        <f t="shared" si="447"/>
        <v>0</v>
      </c>
      <c r="BK209" s="81">
        <f t="shared" si="447"/>
        <v>0</v>
      </c>
      <c r="BL209" s="81">
        <f t="shared" si="447"/>
        <v>0</v>
      </c>
      <c r="BM209" s="81">
        <f t="shared" si="447"/>
        <v>0</v>
      </c>
      <c r="BN209" s="81">
        <f t="shared" si="447"/>
        <v>0</v>
      </c>
      <c r="BO209" s="81">
        <f t="shared" si="447"/>
        <v>0</v>
      </c>
      <c r="BP209" s="81">
        <f t="shared" si="447"/>
        <v>0</v>
      </c>
      <c r="BQ209" s="81">
        <f t="shared" si="447"/>
        <v>0</v>
      </c>
      <c r="BR209" s="81">
        <f t="shared" si="447"/>
        <v>0</v>
      </c>
      <c r="BS209" s="81">
        <f t="shared" si="447"/>
        <v>0</v>
      </c>
      <c r="BT209" s="81">
        <f t="shared" si="447"/>
        <v>0</v>
      </c>
      <c r="BU209" s="81">
        <f t="shared" si="447"/>
        <v>0</v>
      </c>
      <c r="BV209" s="81">
        <f t="shared" si="447"/>
        <v>0</v>
      </c>
      <c r="BW209" s="81">
        <f t="shared" si="447"/>
        <v>0</v>
      </c>
      <c r="BX209" s="6" t="s">
        <v>35</v>
      </c>
      <c r="BZ209" s="24">
        <f>SUM(H209:K209)</f>
        <v>0</v>
      </c>
      <c r="CA209" s="24">
        <f>SUM(L209:O209)</f>
        <v>0</v>
      </c>
      <c r="CB209" s="24">
        <f>SUM(P209:S209)</f>
        <v>6.261</v>
      </c>
      <c r="CC209" s="24">
        <f>SUM(T209:W209)</f>
        <v>0</v>
      </c>
      <c r="CD209" s="24">
        <f>SUM(X209:AA209)</f>
        <v>10.941</v>
      </c>
      <c r="CE209" s="24">
        <f>SUM(AB209:AE209)</f>
        <v>-8.794</v>
      </c>
      <c r="CF209" s="24">
        <f>SUM(AF209:AI209)</f>
        <v>26.624</v>
      </c>
      <c r="CG209" s="24">
        <f>SUM(AJ209:AM209)</f>
        <v>18.2698587</v>
      </c>
      <c r="CH209" s="24">
        <f>SUM(AN209:AQ209)</f>
        <v>0</v>
      </c>
      <c r="CI209" s="24">
        <f>SUM(AR209:AU209)</f>
        <v>0</v>
      </c>
      <c r="CJ209" s="24">
        <f>SUM(AV209:AY209)</f>
        <v>0</v>
      </c>
      <c r="CK209" s="24">
        <f>SUM(AZ209:BC209)</f>
        <v>0</v>
      </c>
      <c r="CL209" s="24">
        <f>SUM(BD209:BG209)</f>
        <v>0</v>
      </c>
      <c r="CM209" s="24">
        <f>SUM(BH209:BK209)</f>
        <v>0</v>
      </c>
      <c r="CN209" s="24">
        <f>SUM(BL209:BO209)</f>
        <v>0</v>
      </c>
      <c r="CO209" s="24">
        <f>SUM(BP209:BS209)</f>
        <v>0</v>
      </c>
      <c r="CP209" s="24">
        <f>SUM(BT209:BW209)</f>
        <v>0</v>
      </c>
      <c r="CQ209" s="6" t="s">
        <v>35</v>
      </c>
    </row>
    <row r="210" ht="14.25" customHeight="1">
      <c r="B210" s="10" t="s">
        <v>47</v>
      </c>
      <c r="C210" s="9" t="s">
        <v>42</v>
      </c>
      <c r="H210" s="82">
        <f t="shared" ref="H210:AJ210" si="448">H209/H$11</f>
        <v>0</v>
      </c>
      <c r="I210" s="82">
        <f t="shared" si="448"/>
        <v>0</v>
      </c>
      <c r="J210" s="82">
        <f t="shared" si="448"/>
        <v>0</v>
      </c>
      <c r="K210" s="82">
        <f t="shared" si="448"/>
        <v>0</v>
      </c>
      <c r="L210" s="82">
        <f t="shared" si="448"/>
        <v>0</v>
      </c>
      <c r="M210" s="82">
        <f t="shared" si="448"/>
        <v>0</v>
      </c>
      <c r="N210" s="82">
        <f t="shared" si="448"/>
        <v>0</v>
      </c>
      <c r="O210" s="82">
        <f t="shared" si="448"/>
        <v>0</v>
      </c>
      <c r="P210" s="82">
        <f t="shared" si="448"/>
        <v>0</v>
      </c>
      <c r="Q210" s="82">
        <f t="shared" si="448"/>
        <v>0</v>
      </c>
      <c r="R210" s="82">
        <f t="shared" si="448"/>
        <v>0</v>
      </c>
      <c r="S210" s="82">
        <f t="shared" si="448"/>
        <v>0.09196803666</v>
      </c>
      <c r="T210" s="82">
        <f t="shared" si="448"/>
        <v>0</v>
      </c>
      <c r="U210" s="82">
        <f t="shared" si="448"/>
        <v>0</v>
      </c>
      <c r="V210" s="82">
        <f t="shared" si="448"/>
        <v>0</v>
      </c>
      <c r="W210" s="82">
        <f t="shared" si="448"/>
        <v>0</v>
      </c>
      <c r="X210" s="82">
        <f t="shared" si="448"/>
        <v>0.06879215395</v>
      </c>
      <c r="Y210" s="82">
        <f t="shared" si="448"/>
        <v>0.0111285079</v>
      </c>
      <c r="Z210" s="82">
        <f t="shared" si="448"/>
        <v>0</v>
      </c>
      <c r="AA210" s="82">
        <f t="shared" si="448"/>
        <v>0</v>
      </c>
      <c r="AB210" s="82">
        <f t="shared" si="448"/>
        <v>-0.04316469233</v>
      </c>
      <c r="AC210" s="82">
        <f t="shared" si="448"/>
        <v>-0.002547906149</v>
      </c>
      <c r="AD210" s="82">
        <f t="shared" si="448"/>
        <v>0.008428856657</v>
      </c>
      <c r="AE210" s="82">
        <f t="shared" si="448"/>
        <v>0</v>
      </c>
      <c r="AF210" s="82">
        <f t="shared" si="448"/>
        <v>0</v>
      </c>
      <c r="AG210" s="82">
        <f t="shared" si="448"/>
        <v>0.04504043652</v>
      </c>
      <c r="AH210" s="82">
        <f t="shared" si="448"/>
        <v>0.03758314743</v>
      </c>
      <c r="AI210" s="82">
        <f t="shared" si="448"/>
        <v>0.006245041018</v>
      </c>
      <c r="AJ210" s="82">
        <f t="shared" si="448"/>
        <v>0</v>
      </c>
      <c r="AK210" s="91">
        <f>AI210</f>
        <v>0.006245041018</v>
      </c>
      <c r="AL210" s="91">
        <f t="shared" ref="AL210:AM210" si="449">AH210</f>
        <v>0.03758314743</v>
      </c>
      <c r="AM210" s="91">
        <f t="shared" si="449"/>
        <v>0.006245041018</v>
      </c>
      <c r="AN210" s="91">
        <v>0.0</v>
      </c>
      <c r="AO210" s="91">
        <v>0.0</v>
      </c>
      <c r="AP210" s="91">
        <v>0.0</v>
      </c>
      <c r="AQ210" s="91">
        <v>0.0</v>
      </c>
      <c r="AR210" s="91">
        <v>0.0</v>
      </c>
      <c r="AS210" s="91">
        <v>0.0</v>
      </c>
      <c r="AT210" s="91">
        <v>0.0</v>
      </c>
      <c r="AU210" s="91">
        <v>0.0</v>
      </c>
      <c r="AV210" s="91">
        <v>0.0</v>
      </c>
      <c r="AW210" s="91">
        <v>0.0</v>
      </c>
      <c r="AX210" s="91">
        <v>0.0</v>
      </c>
      <c r="AY210" s="91">
        <v>0.0</v>
      </c>
      <c r="AZ210" s="91">
        <v>0.0</v>
      </c>
      <c r="BA210" s="91">
        <v>0.0</v>
      </c>
      <c r="BB210" s="91">
        <v>0.0</v>
      </c>
      <c r="BC210" s="91">
        <v>0.0</v>
      </c>
      <c r="BD210" s="91">
        <v>0.0</v>
      </c>
      <c r="BE210" s="91">
        <v>0.0</v>
      </c>
      <c r="BF210" s="91">
        <v>0.0</v>
      </c>
      <c r="BG210" s="91">
        <v>0.0</v>
      </c>
      <c r="BH210" s="91">
        <v>0.0</v>
      </c>
      <c r="BI210" s="91">
        <v>0.0</v>
      </c>
      <c r="BJ210" s="91">
        <v>0.0</v>
      </c>
      <c r="BK210" s="91">
        <v>0.0</v>
      </c>
      <c r="BL210" s="91">
        <v>0.0</v>
      </c>
      <c r="BM210" s="91">
        <v>0.0</v>
      </c>
      <c r="BN210" s="91">
        <v>0.0</v>
      </c>
      <c r="BO210" s="91">
        <v>0.0</v>
      </c>
      <c r="BP210" s="91">
        <v>0.0</v>
      </c>
      <c r="BQ210" s="91">
        <v>0.0</v>
      </c>
      <c r="BR210" s="91">
        <v>0.0</v>
      </c>
      <c r="BS210" s="91">
        <v>0.0</v>
      </c>
      <c r="BT210" s="91">
        <v>0.0</v>
      </c>
      <c r="BU210" s="91">
        <v>0.0</v>
      </c>
      <c r="BV210" s="91">
        <v>0.0</v>
      </c>
      <c r="BW210" s="91">
        <v>0.0</v>
      </c>
      <c r="BX210" s="6" t="s">
        <v>35</v>
      </c>
      <c r="BZ210" s="82">
        <f t="shared" ref="BZ210:CP210" si="450">BZ209/BZ$11</f>
        <v>0</v>
      </c>
      <c r="CA210" s="82">
        <f t="shared" si="450"/>
        <v>0</v>
      </c>
      <c r="CB210" s="82">
        <f t="shared" si="450"/>
        <v>0.0258491493</v>
      </c>
      <c r="CC210" s="82">
        <f t="shared" si="450"/>
        <v>0</v>
      </c>
      <c r="CD210" s="82">
        <f t="shared" si="450"/>
        <v>0.01344939237</v>
      </c>
      <c r="CE210" s="82">
        <f t="shared" si="450"/>
        <v>-0.008403971675</v>
      </c>
      <c r="CF210" s="82">
        <f t="shared" si="450"/>
        <v>0.02157431567</v>
      </c>
      <c r="CG210" s="82">
        <f t="shared" si="450"/>
        <v>0.01224569742</v>
      </c>
      <c r="CH210" s="82">
        <f t="shared" si="450"/>
        <v>0</v>
      </c>
      <c r="CI210" s="82">
        <f t="shared" si="450"/>
        <v>0</v>
      </c>
      <c r="CJ210" s="82">
        <f t="shared" si="450"/>
        <v>0</v>
      </c>
      <c r="CK210" s="82">
        <f t="shared" si="450"/>
        <v>0</v>
      </c>
      <c r="CL210" s="82">
        <f t="shared" si="450"/>
        <v>0</v>
      </c>
      <c r="CM210" s="82">
        <f t="shared" si="450"/>
        <v>0</v>
      </c>
      <c r="CN210" s="82">
        <f t="shared" si="450"/>
        <v>0</v>
      </c>
      <c r="CO210" s="82">
        <f t="shared" si="450"/>
        <v>0</v>
      </c>
      <c r="CP210" s="82">
        <f t="shared" si="450"/>
        <v>0</v>
      </c>
      <c r="CQ210" s="6" t="s">
        <v>35</v>
      </c>
    </row>
    <row r="211" ht="14.25" customHeight="1">
      <c r="BX211" s="6" t="s">
        <v>35</v>
      </c>
      <c r="CQ211" s="6" t="s">
        <v>35</v>
      </c>
    </row>
    <row r="212" ht="14.25" customHeight="1">
      <c r="B212" s="20" t="s">
        <v>121</v>
      </c>
      <c r="C212" s="9" t="s">
        <v>39</v>
      </c>
      <c r="H212" s="93">
        <f t="shared" ref="H212:AJ212" si="451">-H51</f>
        <v>4.091</v>
      </c>
      <c r="I212" s="93">
        <f t="shared" si="451"/>
        <v>4.096</v>
      </c>
      <c r="J212" s="81">
        <f t="shared" si="451"/>
        <v>4.05266169</v>
      </c>
      <c r="K212" s="81">
        <f t="shared" si="451"/>
        <v>2.44133831</v>
      </c>
      <c r="L212" s="81">
        <f t="shared" si="451"/>
        <v>4.69829017</v>
      </c>
      <c r="M212" s="81">
        <f t="shared" si="451"/>
        <v>4.969</v>
      </c>
      <c r="N212" s="81">
        <f t="shared" si="451"/>
        <v>5.027448586</v>
      </c>
      <c r="O212" s="81">
        <f t="shared" si="451"/>
        <v>5.010261244</v>
      </c>
      <c r="P212" s="81">
        <f t="shared" si="451"/>
        <v>5.119</v>
      </c>
      <c r="Q212" s="81">
        <f t="shared" si="451"/>
        <v>5.26</v>
      </c>
      <c r="R212" s="81">
        <f t="shared" si="451"/>
        <v>5.819</v>
      </c>
      <c r="S212" s="81">
        <f t="shared" si="451"/>
        <v>5.445</v>
      </c>
      <c r="T212" s="81">
        <f t="shared" si="451"/>
        <v>4.908</v>
      </c>
      <c r="U212" s="81">
        <f t="shared" si="451"/>
        <v>5.442102</v>
      </c>
      <c r="V212" s="81">
        <f t="shared" si="451"/>
        <v>5.65055722</v>
      </c>
      <c r="W212" s="81">
        <f t="shared" si="451"/>
        <v>4.90959833</v>
      </c>
      <c r="X212" s="81">
        <f t="shared" si="451"/>
        <v>5.94535473</v>
      </c>
      <c r="Y212" s="81">
        <f t="shared" si="451"/>
        <v>6.443</v>
      </c>
      <c r="Z212" s="81">
        <f t="shared" si="451"/>
        <v>6.943</v>
      </c>
      <c r="AA212" s="81">
        <f t="shared" si="451"/>
        <v>6.96552699</v>
      </c>
      <c r="AB212" s="81">
        <f t="shared" si="451"/>
        <v>8.72583693</v>
      </c>
      <c r="AC212" s="81">
        <f t="shared" si="451"/>
        <v>9.35409883</v>
      </c>
      <c r="AD212" s="81">
        <f t="shared" si="451"/>
        <v>8.999</v>
      </c>
      <c r="AE212" s="81">
        <f t="shared" si="451"/>
        <v>11.982</v>
      </c>
      <c r="AF212" s="81">
        <f t="shared" si="451"/>
        <v>10.818</v>
      </c>
      <c r="AG212" s="81">
        <f t="shared" si="451"/>
        <v>11.104</v>
      </c>
      <c r="AH212" s="81">
        <f t="shared" si="451"/>
        <v>13.078</v>
      </c>
      <c r="AI212" s="81">
        <f t="shared" si="451"/>
        <v>14.13633251</v>
      </c>
      <c r="AJ212" s="81">
        <f t="shared" si="451"/>
        <v>18.464</v>
      </c>
      <c r="AK212" s="81">
        <f t="shared" ref="AK212:BW212" si="452">AK217*AK213</f>
        <v>18.06306</v>
      </c>
      <c r="AL212" s="81">
        <f t="shared" si="452"/>
        <v>18.3268482</v>
      </c>
      <c r="AM212" s="81">
        <f t="shared" si="452"/>
        <v>18.39091562</v>
      </c>
      <c r="AN212" s="81">
        <f t="shared" si="452"/>
        <v>18.6464884</v>
      </c>
      <c r="AO212" s="81">
        <f t="shared" si="452"/>
        <v>18.75618647</v>
      </c>
      <c r="AP212" s="81">
        <f t="shared" si="452"/>
        <v>18.69210675</v>
      </c>
      <c r="AQ212" s="81">
        <f t="shared" si="452"/>
        <v>19.24453318</v>
      </c>
      <c r="AR212" s="81">
        <f t="shared" si="452"/>
        <v>19.53554171</v>
      </c>
      <c r="AS212" s="81">
        <f t="shared" si="452"/>
        <v>19.68665842</v>
      </c>
      <c r="AT212" s="81">
        <f t="shared" si="452"/>
        <v>19.80818785</v>
      </c>
      <c r="AU212" s="81">
        <f t="shared" si="452"/>
        <v>20.02744002</v>
      </c>
      <c r="AV212" s="81">
        <f t="shared" si="452"/>
        <v>20.35960055</v>
      </c>
      <c r="AW212" s="81">
        <f t="shared" si="452"/>
        <v>20.6223012</v>
      </c>
      <c r="AX212" s="81">
        <f t="shared" si="452"/>
        <v>20.90661911</v>
      </c>
      <c r="AY212" s="81">
        <f t="shared" si="452"/>
        <v>21.16639983</v>
      </c>
      <c r="AZ212" s="81">
        <f t="shared" si="452"/>
        <v>21.53866428</v>
      </c>
      <c r="BA212" s="81">
        <f t="shared" si="452"/>
        <v>21.8333967</v>
      </c>
      <c r="BB212" s="81">
        <f t="shared" si="452"/>
        <v>22.12417571</v>
      </c>
      <c r="BC212" s="81">
        <f t="shared" si="452"/>
        <v>22.44608772</v>
      </c>
      <c r="BD212" s="81">
        <f t="shared" si="452"/>
        <v>22.89485146</v>
      </c>
      <c r="BE212" s="81">
        <f t="shared" si="452"/>
        <v>23.25044239</v>
      </c>
      <c r="BF212" s="81">
        <f t="shared" si="452"/>
        <v>23.58305622</v>
      </c>
      <c r="BG212" s="81">
        <f t="shared" si="452"/>
        <v>23.94905269</v>
      </c>
      <c r="BH212" s="81">
        <f t="shared" si="452"/>
        <v>24.45465673</v>
      </c>
      <c r="BI212" s="81">
        <f t="shared" si="452"/>
        <v>24.85986692</v>
      </c>
      <c r="BJ212" s="81">
        <f t="shared" si="452"/>
        <v>25.24605917</v>
      </c>
      <c r="BK212" s="81">
        <f t="shared" si="452"/>
        <v>25.66643528</v>
      </c>
      <c r="BL212" s="81">
        <f t="shared" si="452"/>
        <v>26.23605073</v>
      </c>
      <c r="BM212" s="81">
        <f t="shared" si="452"/>
        <v>26.69347137</v>
      </c>
      <c r="BN212" s="81">
        <f t="shared" si="452"/>
        <v>27.13025028</v>
      </c>
      <c r="BO212" s="81">
        <f t="shared" si="452"/>
        <v>27.60464063</v>
      </c>
      <c r="BP212" s="81">
        <f t="shared" si="452"/>
        <v>28.24222265</v>
      </c>
      <c r="BQ212" s="81">
        <f t="shared" si="452"/>
        <v>28.51224455</v>
      </c>
      <c r="BR212" s="81">
        <f t="shared" si="452"/>
        <v>28.76791234</v>
      </c>
      <c r="BS212" s="81">
        <f t="shared" si="452"/>
        <v>29.06225378</v>
      </c>
      <c r="BT212" s="81">
        <f t="shared" si="452"/>
        <v>29.50977438</v>
      </c>
      <c r="BU212" s="81">
        <f t="shared" si="452"/>
        <v>29.8503006</v>
      </c>
      <c r="BV212" s="81">
        <f t="shared" si="452"/>
        <v>30.1737621</v>
      </c>
      <c r="BW212" s="81">
        <f t="shared" si="452"/>
        <v>30.53804529</v>
      </c>
      <c r="BX212" s="6" t="s">
        <v>35</v>
      </c>
      <c r="BZ212" s="81">
        <f t="shared" ref="BZ212:CE212" si="453">-BZ51</f>
        <v>14.681</v>
      </c>
      <c r="CA212" s="81">
        <f t="shared" si="453"/>
        <v>19.705</v>
      </c>
      <c r="CB212" s="81">
        <f t="shared" si="453"/>
        <v>21.643</v>
      </c>
      <c r="CC212" s="81">
        <f t="shared" si="453"/>
        <v>20.91025755</v>
      </c>
      <c r="CD212" s="81">
        <f t="shared" si="453"/>
        <v>26.29688172</v>
      </c>
      <c r="CE212" s="81">
        <f t="shared" si="453"/>
        <v>39.06093576</v>
      </c>
      <c r="CF212" s="81">
        <f>SUM(AF212:AI212)</f>
        <v>49.13633251</v>
      </c>
      <c r="CG212" s="81">
        <f>SUM(AJ212:AM212)</f>
        <v>73.24482382</v>
      </c>
      <c r="CH212" s="81">
        <f>SUM(AN212:AQ212)</f>
        <v>75.3393148</v>
      </c>
      <c r="CI212" s="81">
        <f>SUM(AR212:AU212)</f>
        <v>79.05782801</v>
      </c>
      <c r="CJ212" s="81">
        <f>SUM(AV212:AY212)</f>
        <v>83.05492069</v>
      </c>
      <c r="CK212" s="81">
        <f>SUM(AZ212:BC212)</f>
        <v>87.9423244</v>
      </c>
      <c r="CL212" s="81">
        <f>SUM(BD212:BG212)</f>
        <v>93.67740277</v>
      </c>
      <c r="CM212" s="81">
        <f>SUM(BH212:BK212)</f>
        <v>100.2270181</v>
      </c>
      <c r="CN212" s="81">
        <f>SUM(BL212:BO212)</f>
        <v>107.664413</v>
      </c>
      <c r="CO212" s="81">
        <f>SUM(BP212:BS212)</f>
        <v>114.5846333</v>
      </c>
      <c r="CP212" s="81">
        <f>SUM(BT212:BW212)</f>
        <v>120.0718824</v>
      </c>
      <c r="CQ212" s="6" t="s">
        <v>35</v>
      </c>
    </row>
    <row r="213" ht="14.25" customHeight="1">
      <c r="B213" s="10" t="s">
        <v>122</v>
      </c>
      <c r="C213" s="9" t="s">
        <v>42</v>
      </c>
      <c r="H213" s="82">
        <f t="shared" ref="H213:AJ213" si="454">H212/H217</f>
        <v>0.05515261001</v>
      </c>
      <c r="I213" s="82">
        <f t="shared" si="454"/>
        <v>0.05442972373</v>
      </c>
      <c r="J213" s="82">
        <f t="shared" si="454"/>
        <v>0.05387673243</v>
      </c>
      <c r="K213" s="82">
        <f t="shared" si="454"/>
        <v>0.03321639106</v>
      </c>
      <c r="L213" s="82">
        <f t="shared" si="454"/>
        <v>0.06319662878</v>
      </c>
      <c r="M213" s="82">
        <f t="shared" si="454"/>
        <v>0.05868874532</v>
      </c>
      <c r="N213" s="82">
        <f t="shared" si="454"/>
        <v>0.05858063395</v>
      </c>
      <c r="O213" s="82">
        <f t="shared" si="454"/>
        <v>0.05863589411</v>
      </c>
      <c r="P213" s="82">
        <f t="shared" si="454"/>
        <v>0.0627482226</v>
      </c>
      <c r="Q213" s="82">
        <f t="shared" si="454"/>
        <v>0.06712180182</v>
      </c>
      <c r="R213" s="82">
        <f t="shared" si="454"/>
        <v>0.07684587246</v>
      </c>
      <c r="S213" s="82">
        <f t="shared" si="454"/>
        <v>0.07165982312</v>
      </c>
      <c r="T213" s="82">
        <f t="shared" si="454"/>
        <v>0.05748890164</v>
      </c>
      <c r="U213" s="82">
        <f t="shared" si="454"/>
        <v>0.05362680699</v>
      </c>
      <c r="V213" s="82">
        <f t="shared" si="454"/>
        <v>0.05602543423</v>
      </c>
      <c r="W213" s="82">
        <f t="shared" si="454"/>
        <v>0.04635282322</v>
      </c>
      <c r="X213" s="82">
        <f t="shared" si="454"/>
        <v>0.05522907533</v>
      </c>
      <c r="Y213" s="82">
        <f t="shared" si="454"/>
        <v>0.0450194248</v>
      </c>
      <c r="Z213" s="82">
        <f t="shared" si="454"/>
        <v>0.0429436469</v>
      </c>
      <c r="AA213" s="82">
        <f t="shared" si="454"/>
        <v>0.0376953053</v>
      </c>
      <c r="AB213" s="82">
        <f t="shared" si="454"/>
        <v>0.04240268693</v>
      </c>
      <c r="AC213" s="82">
        <f t="shared" si="454"/>
        <v>0.03791351736</v>
      </c>
      <c r="AD213" s="82">
        <f t="shared" si="454"/>
        <v>0.03361247236</v>
      </c>
      <c r="AE213" s="82">
        <f t="shared" si="454"/>
        <v>0.04142494624</v>
      </c>
      <c r="AF213" s="82">
        <f t="shared" si="454"/>
        <v>0.03431660222</v>
      </c>
      <c r="AG213" s="82">
        <f t="shared" si="454"/>
        <v>0.0342521531</v>
      </c>
      <c r="AH213" s="82">
        <f t="shared" si="454"/>
        <v>0.0362995448</v>
      </c>
      <c r="AI213" s="82">
        <f t="shared" si="454"/>
        <v>0.02870980045</v>
      </c>
      <c r="AJ213" s="82">
        <f t="shared" si="454"/>
        <v>0.03373942217</v>
      </c>
      <c r="AK213" s="91">
        <f t="shared" ref="AK213:BW213" si="455">AVERAGE(AD213:AJ213)</f>
        <v>0.03462213448</v>
      </c>
      <c r="AL213" s="91">
        <f t="shared" si="455"/>
        <v>0.03476637192</v>
      </c>
      <c r="AM213" s="91">
        <f t="shared" si="455"/>
        <v>0.03381514702</v>
      </c>
      <c r="AN213" s="91">
        <f t="shared" si="455"/>
        <v>0.03374351056</v>
      </c>
      <c r="AO213" s="91">
        <f t="shared" si="455"/>
        <v>0.03367084734</v>
      </c>
      <c r="AP213" s="91">
        <f t="shared" si="455"/>
        <v>0.03329531913</v>
      </c>
      <c r="AQ213" s="91">
        <f t="shared" si="455"/>
        <v>0.03395039323</v>
      </c>
      <c r="AR213" s="91">
        <f t="shared" si="455"/>
        <v>0.03398053195</v>
      </c>
      <c r="AS213" s="91">
        <f t="shared" si="455"/>
        <v>0.03388887445</v>
      </c>
      <c r="AT213" s="91">
        <f t="shared" si="455"/>
        <v>0.03376351767</v>
      </c>
      <c r="AU213" s="91">
        <f t="shared" si="455"/>
        <v>0.03375614205</v>
      </c>
      <c r="AV213" s="91">
        <f t="shared" si="455"/>
        <v>0.03375794655</v>
      </c>
      <c r="AW213" s="91">
        <f t="shared" si="455"/>
        <v>0.03377038929</v>
      </c>
      <c r="AX213" s="91">
        <f t="shared" si="455"/>
        <v>0.03383825646</v>
      </c>
      <c r="AY213" s="91">
        <f t="shared" si="455"/>
        <v>0.03382223692</v>
      </c>
      <c r="AZ213" s="91">
        <f t="shared" si="455"/>
        <v>0.03379962334</v>
      </c>
      <c r="BA213" s="91">
        <f t="shared" si="455"/>
        <v>0.03378687318</v>
      </c>
      <c r="BB213" s="91">
        <f t="shared" si="455"/>
        <v>0.03379020968</v>
      </c>
      <c r="BC213" s="91">
        <f t="shared" si="455"/>
        <v>0.03379507649</v>
      </c>
      <c r="BD213" s="91">
        <f t="shared" si="455"/>
        <v>0.03380038077</v>
      </c>
      <c r="BE213" s="91">
        <f t="shared" si="455"/>
        <v>0.03380466526</v>
      </c>
      <c r="BF213" s="91">
        <f t="shared" si="455"/>
        <v>0.03379986652</v>
      </c>
      <c r="BG213" s="91">
        <f t="shared" si="455"/>
        <v>0.03379667075</v>
      </c>
      <c r="BH213" s="91">
        <f t="shared" si="455"/>
        <v>0.03379624895</v>
      </c>
      <c r="BI213" s="91">
        <f t="shared" si="455"/>
        <v>0.03379758834</v>
      </c>
      <c r="BJ213" s="91">
        <f t="shared" si="455"/>
        <v>0.03379864244</v>
      </c>
      <c r="BK213" s="91">
        <f t="shared" si="455"/>
        <v>0.03379915186</v>
      </c>
      <c r="BL213" s="91">
        <f t="shared" si="455"/>
        <v>0.0337989763</v>
      </c>
      <c r="BM213" s="91">
        <f t="shared" si="455"/>
        <v>0.0337981636</v>
      </c>
      <c r="BN213" s="91">
        <f t="shared" si="455"/>
        <v>0.03379792032</v>
      </c>
      <c r="BO213" s="91">
        <f t="shared" si="455"/>
        <v>0.03379809883</v>
      </c>
      <c r="BP213" s="91">
        <f t="shared" si="455"/>
        <v>0.0337983631</v>
      </c>
      <c r="BQ213" s="91">
        <f t="shared" si="455"/>
        <v>0.03379847378</v>
      </c>
      <c r="BR213" s="91">
        <f t="shared" si="455"/>
        <v>0.03379844968</v>
      </c>
      <c r="BS213" s="91">
        <f t="shared" si="455"/>
        <v>0.03379834937</v>
      </c>
      <c r="BT213" s="91">
        <f t="shared" si="455"/>
        <v>0.03379825981</v>
      </c>
      <c r="BU213" s="91">
        <f t="shared" si="455"/>
        <v>0.03379827356</v>
      </c>
      <c r="BV213" s="91">
        <f t="shared" si="455"/>
        <v>0.03379832402</v>
      </c>
      <c r="BW213" s="91">
        <f t="shared" si="455"/>
        <v>0.03379835619</v>
      </c>
      <c r="BX213" s="6" t="s">
        <v>35</v>
      </c>
      <c r="BZ213" s="82">
        <f t="shared" ref="BZ213:CP213" si="456">BZ212/BZ217</f>
        <v>0.1979211605</v>
      </c>
      <c r="CA213" s="82">
        <f t="shared" si="456"/>
        <v>0.2650516518</v>
      </c>
      <c r="CB213" s="82">
        <f t="shared" si="456"/>
        <v>0.2652978671</v>
      </c>
      <c r="CC213" s="82">
        <f t="shared" si="456"/>
        <v>0.2449282273</v>
      </c>
      <c r="CD213" s="82">
        <f t="shared" si="456"/>
        <v>0.2442835671</v>
      </c>
      <c r="CE213" s="82">
        <f t="shared" si="456"/>
        <v>0.1898143002</v>
      </c>
      <c r="CF213" s="82">
        <f t="shared" si="456"/>
        <v>0.1558691049</v>
      </c>
      <c r="CG213" s="82">
        <f t="shared" si="456"/>
        <v>0.1338408813</v>
      </c>
      <c r="CH213" s="82">
        <f t="shared" si="456"/>
        <v>0.136337358</v>
      </c>
      <c r="CI213" s="82">
        <f t="shared" si="456"/>
        <v>0.1375148481</v>
      </c>
      <c r="CJ213" s="82">
        <f t="shared" si="456"/>
        <v>0.1377121111</v>
      </c>
      <c r="CK213" s="82">
        <f t="shared" si="456"/>
        <v>0.1380037964</v>
      </c>
      <c r="CL213" s="82">
        <f t="shared" si="456"/>
        <v>0.1382988611</v>
      </c>
      <c r="CM213" s="82">
        <f t="shared" si="456"/>
        <v>0.1385133839</v>
      </c>
      <c r="CN213" s="82">
        <f t="shared" si="456"/>
        <v>0.1387002557</v>
      </c>
      <c r="CO213" s="82">
        <f t="shared" si="456"/>
        <v>0.1371270629</v>
      </c>
      <c r="CP213" s="82">
        <f t="shared" si="456"/>
        <v>0.137521237</v>
      </c>
      <c r="CQ213" s="6" t="s">
        <v>35</v>
      </c>
    </row>
    <row r="214" ht="14.25" customHeight="1">
      <c r="B214" s="20"/>
      <c r="C214" s="89"/>
      <c r="BX214" s="6" t="s">
        <v>35</v>
      </c>
      <c r="CQ214" s="6" t="s">
        <v>35</v>
      </c>
    </row>
    <row r="215" ht="14.25" customHeight="1">
      <c r="B215" s="89"/>
      <c r="C215" s="89"/>
      <c r="AB215" s="45"/>
      <c r="AC215" s="45"/>
      <c r="AD215" s="45"/>
      <c r="AE215" s="45"/>
      <c r="AF215" s="45"/>
      <c r="AG215" s="45"/>
      <c r="AH215" s="67"/>
      <c r="AI215" s="67"/>
      <c r="AJ215" s="67"/>
      <c r="BX215" s="6" t="s">
        <v>35</v>
      </c>
      <c r="CQ215" s="6" t="s">
        <v>35</v>
      </c>
    </row>
    <row r="216" ht="14.25" customHeight="1">
      <c r="B216" s="89"/>
      <c r="C216" s="89"/>
      <c r="AH216" s="45"/>
      <c r="BX216" s="6" t="s">
        <v>35</v>
      </c>
      <c r="CQ216" s="6" t="s">
        <v>35</v>
      </c>
    </row>
    <row r="217" ht="14.25" customHeight="1">
      <c r="B217" s="14" t="s">
        <v>123</v>
      </c>
      <c r="C217" s="78" t="s">
        <v>39</v>
      </c>
      <c r="G217" s="94"/>
      <c r="H217" s="94">
        <f t="shared" ref="H217:BW217" si="457">G221</f>
        <v>74.176</v>
      </c>
      <c r="I217" s="94">
        <f t="shared" si="457"/>
        <v>75.253</v>
      </c>
      <c r="J217" s="94">
        <f t="shared" si="457"/>
        <v>75.221</v>
      </c>
      <c r="K217" s="94">
        <f t="shared" si="457"/>
        <v>73.498</v>
      </c>
      <c r="L217" s="94">
        <f t="shared" si="457"/>
        <v>74.344</v>
      </c>
      <c r="M217" s="94">
        <f t="shared" si="457"/>
        <v>84.667</v>
      </c>
      <c r="N217" s="94">
        <f t="shared" si="457"/>
        <v>85.821</v>
      </c>
      <c r="O217" s="94">
        <f t="shared" si="457"/>
        <v>85.447</v>
      </c>
      <c r="P217" s="94">
        <f t="shared" si="457"/>
        <v>81.58</v>
      </c>
      <c r="Q217" s="94">
        <f t="shared" si="457"/>
        <v>78.365</v>
      </c>
      <c r="R217" s="94">
        <f t="shared" si="457"/>
        <v>75.723</v>
      </c>
      <c r="S217" s="94">
        <f t="shared" si="457"/>
        <v>75.984</v>
      </c>
      <c r="T217" s="94">
        <f t="shared" si="457"/>
        <v>85.373</v>
      </c>
      <c r="U217" s="94">
        <f t="shared" si="457"/>
        <v>101.481</v>
      </c>
      <c r="V217" s="94">
        <f t="shared" si="457"/>
        <v>100.857</v>
      </c>
      <c r="W217" s="94">
        <f t="shared" si="457"/>
        <v>105.918</v>
      </c>
      <c r="X217" s="94">
        <f t="shared" si="457"/>
        <v>107.649</v>
      </c>
      <c r="Y217" s="94">
        <f t="shared" si="457"/>
        <v>143.116</v>
      </c>
      <c r="Z217" s="94">
        <f t="shared" si="457"/>
        <v>161.677</v>
      </c>
      <c r="AA217" s="94">
        <f t="shared" si="457"/>
        <v>184.785</v>
      </c>
      <c r="AB217" s="94">
        <f t="shared" si="457"/>
        <v>205.785</v>
      </c>
      <c r="AC217" s="94">
        <f t="shared" si="457"/>
        <v>246.722</v>
      </c>
      <c r="AD217" s="94">
        <f t="shared" si="457"/>
        <v>267.728</v>
      </c>
      <c r="AE217" s="94">
        <f t="shared" si="457"/>
        <v>289.246</v>
      </c>
      <c r="AF217" s="94">
        <f t="shared" si="457"/>
        <v>315.241</v>
      </c>
      <c r="AG217" s="94">
        <f t="shared" si="457"/>
        <v>324.184</v>
      </c>
      <c r="AH217" s="94">
        <f t="shared" si="457"/>
        <v>360.28</v>
      </c>
      <c r="AI217" s="94">
        <f t="shared" si="457"/>
        <v>492.387</v>
      </c>
      <c r="AJ217" s="94">
        <f t="shared" si="457"/>
        <v>547.253</v>
      </c>
      <c r="AK217" s="94">
        <f t="shared" si="457"/>
        <v>521.72</v>
      </c>
      <c r="AL217" s="94">
        <f t="shared" si="457"/>
        <v>527.14296</v>
      </c>
      <c r="AM217" s="94">
        <f t="shared" si="457"/>
        <v>543.8662033</v>
      </c>
      <c r="AN217" s="94">
        <f t="shared" si="457"/>
        <v>552.5947981</v>
      </c>
      <c r="AO217" s="94">
        <f t="shared" si="457"/>
        <v>557.0452766</v>
      </c>
      <c r="AP217" s="94">
        <f t="shared" si="457"/>
        <v>561.4034417</v>
      </c>
      <c r="AQ217" s="94">
        <f t="shared" si="457"/>
        <v>566.842718</v>
      </c>
      <c r="AR217" s="94">
        <f t="shared" si="457"/>
        <v>574.9039403</v>
      </c>
      <c r="AS217" s="94">
        <f t="shared" si="457"/>
        <v>580.918037</v>
      </c>
      <c r="AT217" s="94">
        <f t="shared" si="457"/>
        <v>586.6742928</v>
      </c>
      <c r="AU217" s="94">
        <f t="shared" si="457"/>
        <v>593.2976581</v>
      </c>
      <c r="AV217" s="94">
        <f t="shared" si="457"/>
        <v>603.1054206</v>
      </c>
      <c r="AW217" s="94">
        <f t="shared" si="457"/>
        <v>610.6622291</v>
      </c>
      <c r="AX217" s="94">
        <f t="shared" si="457"/>
        <v>617.8397263</v>
      </c>
      <c r="AY217" s="94">
        <f t="shared" si="457"/>
        <v>625.8131264</v>
      </c>
      <c r="AZ217" s="94">
        <f t="shared" si="457"/>
        <v>637.2456895</v>
      </c>
      <c r="BA217" s="94">
        <f t="shared" si="457"/>
        <v>646.2094488</v>
      </c>
      <c r="BB217" s="94">
        <f t="shared" si="457"/>
        <v>654.751063</v>
      </c>
      <c r="BC217" s="94">
        <f t="shared" si="457"/>
        <v>664.1821842</v>
      </c>
      <c r="BD217" s="94">
        <f t="shared" si="457"/>
        <v>677.3548387</v>
      </c>
      <c r="BE217" s="94">
        <f t="shared" si="457"/>
        <v>687.7879787</v>
      </c>
      <c r="BF217" s="94">
        <f t="shared" si="457"/>
        <v>697.7263123</v>
      </c>
      <c r="BG217" s="94">
        <f t="shared" si="457"/>
        <v>708.6216531</v>
      </c>
      <c r="BH217" s="94">
        <f t="shared" si="457"/>
        <v>723.5908566</v>
      </c>
      <c r="BI217" s="94">
        <f t="shared" si="457"/>
        <v>735.5515035</v>
      </c>
      <c r="BJ217" s="94">
        <f t="shared" si="457"/>
        <v>746.9548287</v>
      </c>
      <c r="BK217" s="94">
        <f t="shared" si="457"/>
        <v>759.3810456</v>
      </c>
      <c r="BL217" s="94">
        <f t="shared" si="457"/>
        <v>776.2380284</v>
      </c>
      <c r="BM217" s="94">
        <f t="shared" si="457"/>
        <v>789.7905843</v>
      </c>
      <c r="BN217" s="94">
        <f t="shared" si="457"/>
        <v>802.7195171</v>
      </c>
      <c r="BO217" s="94">
        <f t="shared" si="457"/>
        <v>816.7512845</v>
      </c>
      <c r="BP217" s="94">
        <f t="shared" si="457"/>
        <v>835.6091853</v>
      </c>
      <c r="BQ217" s="94">
        <f t="shared" si="457"/>
        <v>843.5956232</v>
      </c>
      <c r="BR217" s="94">
        <f t="shared" si="457"/>
        <v>851.1607073</v>
      </c>
      <c r="BS217" s="94">
        <f t="shared" si="457"/>
        <v>859.8719855</v>
      </c>
      <c r="BT217" s="94">
        <f t="shared" si="457"/>
        <v>873.1152002</v>
      </c>
      <c r="BU217" s="94">
        <f t="shared" si="457"/>
        <v>883.1900999</v>
      </c>
      <c r="BV217" s="94">
        <f t="shared" si="457"/>
        <v>892.7591227</v>
      </c>
      <c r="BW217" s="94">
        <f t="shared" si="457"/>
        <v>903.5364064</v>
      </c>
      <c r="BX217" s="6" t="s">
        <v>35</v>
      </c>
      <c r="BZ217" s="94">
        <f t="shared" ref="BZ217:CP217" si="458">BY221</f>
        <v>74.176</v>
      </c>
      <c r="CA217" s="94">
        <f t="shared" si="458"/>
        <v>74.344</v>
      </c>
      <c r="CB217" s="94">
        <f t="shared" si="458"/>
        <v>81.58</v>
      </c>
      <c r="CC217" s="94">
        <f t="shared" si="458"/>
        <v>85.373</v>
      </c>
      <c r="CD217" s="94">
        <f t="shared" si="458"/>
        <v>107.649</v>
      </c>
      <c r="CE217" s="94">
        <f t="shared" si="458"/>
        <v>205.785</v>
      </c>
      <c r="CF217" s="94">
        <f t="shared" si="458"/>
        <v>315.241</v>
      </c>
      <c r="CG217" s="94">
        <f t="shared" si="458"/>
        <v>547.253</v>
      </c>
      <c r="CH217" s="94">
        <f t="shared" si="458"/>
        <v>552.5947981</v>
      </c>
      <c r="CI217" s="94">
        <f t="shared" si="458"/>
        <v>574.9039403</v>
      </c>
      <c r="CJ217" s="94">
        <f t="shared" si="458"/>
        <v>603.1054206</v>
      </c>
      <c r="CK217" s="94">
        <f t="shared" si="458"/>
        <v>637.2456895</v>
      </c>
      <c r="CL217" s="94">
        <f t="shared" si="458"/>
        <v>677.3548387</v>
      </c>
      <c r="CM217" s="94">
        <f t="shared" si="458"/>
        <v>723.5908566</v>
      </c>
      <c r="CN217" s="94">
        <f t="shared" si="458"/>
        <v>776.2380284</v>
      </c>
      <c r="CO217" s="94">
        <f t="shared" si="458"/>
        <v>835.6091853</v>
      </c>
      <c r="CP217" s="94">
        <f t="shared" si="458"/>
        <v>873.1152002</v>
      </c>
      <c r="CQ217" s="6" t="s">
        <v>35</v>
      </c>
    </row>
    <row r="218" ht="14.25" customHeight="1">
      <c r="B218" s="10" t="s">
        <v>124</v>
      </c>
      <c r="C218" s="9" t="s">
        <v>39</v>
      </c>
      <c r="G218" s="28"/>
      <c r="H218" s="28">
        <f t="shared" ref="H218:BW218" si="459">H201</f>
        <v>1.788</v>
      </c>
      <c r="I218" s="28">
        <f t="shared" si="459"/>
        <v>6.918</v>
      </c>
      <c r="J218" s="28">
        <f t="shared" si="459"/>
        <v>2.237</v>
      </c>
      <c r="K218" s="28">
        <f t="shared" si="459"/>
        <v>3.966</v>
      </c>
      <c r="L218" s="28">
        <f t="shared" si="459"/>
        <v>2.653</v>
      </c>
      <c r="M218" s="28">
        <f t="shared" si="459"/>
        <v>5.197</v>
      </c>
      <c r="N218" s="28">
        <f t="shared" si="459"/>
        <v>4.913</v>
      </c>
      <c r="O218" s="28">
        <f t="shared" si="459"/>
        <v>3.718</v>
      </c>
      <c r="P218" s="28">
        <f t="shared" si="459"/>
        <v>1.436</v>
      </c>
      <c r="Q218" s="28">
        <f t="shared" si="459"/>
        <v>1.491</v>
      </c>
      <c r="R218" s="28">
        <f t="shared" si="459"/>
        <v>4.989</v>
      </c>
      <c r="S218" s="28">
        <f t="shared" si="459"/>
        <v>14.047</v>
      </c>
      <c r="T218" s="28">
        <f t="shared" si="459"/>
        <v>18.165</v>
      </c>
      <c r="U218" s="28">
        <f t="shared" si="459"/>
        <v>6.402</v>
      </c>
      <c r="V218" s="28">
        <f t="shared" si="459"/>
        <v>9.779</v>
      </c>
      <c r="W218" s="28">
        <f t="shared" si="459"/>
        <v>8.368</v>
      </c>
      <c r="X218" s="28">
        <f t="shared" si="459"/>
        <v>15.697</v>
      </c>
      <c r="Y218" s="28">
        <f t="shared" si="459"/>
        <v>15.582</v>
      </c>
      <c r="Z218" s="28">
        <f t="shared" si="459"/>
        <v>18.057</v>
      </c>
      <c r="AA218" s="28">
        <f t="shared" si="459"/>
        <v>33.692</v>
      </c>
      <c r="AB218" s="28">
        <f t="shared" si="459"/>
        <v>4.519</v>
      </c>
      <c r="AC218" s="28">
        <f t="shared" si="459"/>
        <v>23.327</v>
      </c>
      <c r="AD218" s="28">
        <f t="shared" si="459"/>
        <v>35.645</v>
      </c>
      <c r="AE218" s="28">
        <f t="shared" si="459"/>
        <v>20.815</v>
      </c>
      <c r="AF218" s="28">
        <f t="shared" si="459"/>
        <v>15.836</v>
      </c>
      <c r="AG218" s="28">
        <f t="shared" si="459"/>
        <v>23.769</v>
      </c>
      <c r="AH218" s="28">
        <f t="shared" si="459"/>
        <v>33.166</v>
      </c>
      <c r="AI218" s="28">
        <f t="shared" si="459"/>
        <v>22.639</v>
      </c>
      <c r="AJ218" s="28">
        <f t="shared" si="459"/>
        <v>3.219</v>
      </c>
      <c r="AK218" s="28">
        <f t="shared" si="459"/>
        <v>23.48602</v>
      </c>
      <c r="AL218" s="28">
        <f t="shared" si="459"/>
        <v>35.05009152</v>
      </c>
      <c r="AM218" s="28">
        <f t="shared" si="459"/>
        <v>27.11951036</v>
      </c>
      <c r="AN218" s="28">
        <f t="shared" si="459"/>
        <v>23.09696694</v>
      </c>
      <c r="AO218" s="28">
        <f t="shared" si="459"/>
        <v>23.11435159</v>
      </c>
      <c r="AP218" s="28">
        <f t="shared" si="459"/>
        <v>24.13138306</v>
      </c>
      <c r="AQ218" s="28">
        <f t="shared" si="459"/>
        <v>27.30575543</v>
      </c>
      <c r="AR218" s="28">
        <f t="shared" si="459"/>
        <v>25.54963847</v>
      </c>
      <c r="AS218" s="28">
        <f t="shared" si="459"/>
        <v>25.44291418</v>
      </c>
      <c r="AT218" s="28">
        <f t="shared" si="459"/>
        <v>26.43155313</v>
      </c>
      <c r="AU218" s="28">
        <f t="shared" si="459"/>
        <v>29.83520253</v>
      </c>
      <c r="AV218" s="28">
        <f t="shared" si="459"/>
        <v>27.91640906</v>
      </c>
      <c r="AW218" s="28">
        <f t="shared" si="459"/>
        <v>27.79979845</v>
      </c>
      <c r="AX218" s="28">
        <f t="shared" si="459"/>
        <v>28.88001919</v>
      </c>
      <c r="AY218" s="28">
        <f t="shared" si="459"/>
        <v>32.59896296</v>
      </c>
      <c r="AZ218" s="28">
        <f t="shared" si="459"/>
        <v>30.50242357</v>
      </c>
      <c r="BA218" s="28">
        <f t="shared" si="459"/>
        <v>30.37501083</v>
      </c>
      <c r="BB218" s="28">
        <f t="shared" si="459"/>
        <v>31.55529697</v>
      </c>
      <c r="BC218" s="28">
        <f t="shared" si="459"/>
        <v>35.61874216</v>
      </c>
      <c r="BD218" s="28">
        <f t="shared" si="459"/>
        <v>33.3279915</v>
      </c>
      <c r="BE218" s="28">
        <f t="shared" si="459"/>
        <v>33.18877598</v>
      </c>
      <c r="BF218" s="28">
        <f t="shared" si="459"/>
        <v>34.47839699</v>
      </c>
      <c r="BG218" s="28">
        <f t="shared" si="459"/>
        <v>38.91825622</v>
      </c>
      <c r="BH218" s="28">
        <f t="shared" si="459"/>
        <v>36.41530368</v>
      </c>
      <c r="BI218" s="28">
        <f t="shared" si="459"/>
        <v>36.26319204</v>
      </c>
      <c r="BJ218" s="28">
        <f t="shared" si="459"/>
        <v>37.67227607</v>
      </c>
      <c r="BK218" s="28">
        <f t="shared" si="459"/>
        <v>42.52341816</v>
      </c>
      <c r="BL218" s="28">
        <f t="shared" si="459"/>
        <v>39.78860659</v>
      </c>
      <c r="BM218" s="28">
        <f t="shared" si="459"/>
        <v>39.6224042</v>
      </c>
      <c r="BN218" s="28">
        <f t="shared" si="459"/>
        <v>41.16201762</v>
      </c>
      <c r="BO218" s="28">
        <f t="shared" si="459"/>
        <v>46.46254143</v>
      </c>
      <c r="BP218" s="28">
        <f t="shared" si="459"/>
        <v>36.22866062</v>
      </c>
      <c r="BQ218" s="28">
        <f t="shared" si="459"/>
        <v>36.07732861</v>
      </c>
      <c r="BR218" s="28">
        <f t="shared" si="459"/>
        <v>37.47919052</v>
      </c>
      <c r="BS218" s="28">
        <f t="shared" si="459"/>
        <v>42.30546856</v>
      </c>
      <c r="BT218" s="28">
        <f t="shared" si="459"/>
        <v>39.58467399</v>
      </c>
      <c r="BU218" s="28">
        <f t="shared" si="459"/>
        <v>39.41932346</v>
      </c>
      <c r="BV218" s="28">
        <f t="shared" si="459"/>
        <v>40.95104575</v>
      </c>
      <c r="BW218" s="28">
        <f t="shared" si="459"/>
        <v>46.22440224</v>
      </c>
      <c r="BX218" s="6" t="s">
        <v>35</v>
      </c>
      <c r="BZ218" s="28">
        <f t="shared" ref="BZ218:CP218" si="460">BZ201</f>
        <v>14.909</v>
      </c>
      <c r="CA218" s="28">
        <f t="shared" si="460"/>
        <v>16.481</v>
      </c>
      <c r="CB218" s="28">
        <f t="shared" si="460"/>
        <v>21.963</v>
      </c>
      <c r="CC218" s="28">
        <f t="shared" si="460"/>
        <v>42.714</v>
      </c>
      <c r="CD218" s="28">
        <f t="shared" si="460"/>
        <v>83.028</v>
      </c>
      <c r="CE218" s="28">
        <f t="shared" si="460"/>
        <v>84.306</v>
      </c>
      <c r="CF218" s="28">
        <f t="shared" si="460"/>
        <v>95.41</v>
      </c>
      <c r="CG218" s="28">
        <f t="shared" si="460"/>
        <v>88.87462188</v>
      </c>
      <c r="CH218" s="28">
        <f t="shared" si="460"/>
        <v>97.64845702</v>
      </c>
      <c r="CI218" s="28">
        <f t="shared" si="460"/>
        <v>107.2593083</v>
      </c>
      <c r="CJ218" s="28">
        <f t="shared" si="460"/>
        <v>117.1951897</v>
      </c>
      <c r="CK218" s="28">
        <f t="shared" si="460"/>
        <v>128.0514735</v>
      </c>
      <c r="CL218" s="28">
        <f t="shared" si="460"/>
        <v>139.9134207</v>
      </c>
      <c r="CM218" s="28">
        <f t="shared" si="460"/>
        <v>152.8741899</v>
      </c>
      <c r="CN218" s="28">
        <f t="shared" si="460"/>
        <v>167.0355698</v>
      </c>
      <c r="CO218" s="28">
        <f t="shared" si="460"/>
        <v>152.0906483</v>
      </c>
      <c r="CP218" s="28">
        <f t="shared" si="460"/>
        <v>166.1794454</v>
      </c>
      <c r="CQ218" s="6" t="s">
        <v>35</v>
      </c>
    </row>
    <row r="219" ht="14.25" customHeight="1">
      <c r="B219" s="10" t="s">
        <v>125</v>
      </c>
      <c r="C219" s="9" t="s">
        <v>39</v>
      </c>
      <c r="G219" s="28"/>
      <c r="H219" s="28">
        <f t="shared" ref="H219:AJ219" si="461">H51</f>
        <v>-4.091</v>
      </c>
      <c r="I219" s="28">
        <f t="shared" si="461"/>
        <v>-4.096</v>
      </c>
      <c r="J219" s="28">
        <f t="shared" si="461"/>
        <v>-4.05266169</v>
      </c>
      <c r="K219" s="28">
        <f t="shared" si="461"/>
        <v>-2.44133831</v>
      </c>
      <c r="L219" s="28">
        <f t="shared" si="461"/>
        <v>-4.69829017</v>
      </c>
      <c r="M219" s="28">
        <f t="shared" si="461"/>
        <v>-4.969</v>
      </c>
      <c r="N219" s="28">
        <f t="shared" si="461"/>
        <v>-5.027448586</v>
      </c>
      <c r="O219" s="28">
        <f t="shared" si="461"/>
        <v>-5.010261244</v>
      </c>
      <c r="P219" s="28">
        <f t="shared" si="461"/>
        <v>-5.119</v>
      </c>
      <c r="Q219" s="28">
        <f t="shared" si="461"/>
        <v>-5.26</v>
      </c>
      <c r="R219" s="28">
        <f t="shared" si="461"/>
        <v>-5.819</v>
      </c>
      <c r="S219" s="28">
        <f t="shared" si="461"/>
        <v>-5.445</v>
      </c>
      <c r="T219" s="28">
        <f t="shared" si="461"/>
        <v>-4.908</v>
      </c>
      <c r="U219" s="28">
        <f t="shared" si="461"/>
        <v>-5.442102</v>
      </c>
      <c r="V219" s="28">
        <f t="shared" si="461"/>
        <v>-5.65055722</v>
      </c>
      <c r="W219" s="28">
        <f t="shared" si="461"/>
        <v>-4.90959833</v>
      </c>
      <c r="X219" s="28">
        <f t="shared" si="461"/>
        <v>-5.94535473</v>
      </c>
      <c r="Y219" s="28">
        <f t="shared" si="461"/>
        <v>-6.443</v>
      </c>
      <c r="Z219" s="28">
        <f t="shared" si="461"/>
        <v>-6.943</v>
      </c>
      <c r="AA219" s="28">
        <f t="shared" si="461"/>
        <v>-6.96552699</v>
      </c>
      <c r="AB219" s="28">
        <f t="shared" si="461"/>
        <v>-8.72583693</v>
      </c>
      <c r="AC219" s="28">
        <f t="shared" si="461"/>
        <v>-9.35409883</v>
      </c>
      <c r="AD219" s="28">
        <f t="shared" si="461"/>
        <v>-8.999</v>
      </c>
      <c r="AE219" s="28">
        <f t="shared" si="461"/>
        <v>-11.982</v>
      </c>
      <c r="AF219" s="28">
        <f t="shared" si="461"/>
        <v>-10.818</v>
      </c>
      <c r="AG219" s="28">
        <f t="shared" si="461"/>
        <v>-11.104</v>
      </c>
      <c r="AH219" s="28">
        <f t="shared" si="461"/>
        <v>-13.078</v>
      </c>
      <c r="AI219" s="28">
        <f t="shared" si="461"/>
        <v>-14.13633251</v>
      </c>
      <c r="AJ219" s="28">
        <f t="shared" si="461"/>
        <v>-18.464</v>
      </c>
      <c r="AK219" s="28">
        <f t="shared" ref="AK219:BW219" si="462">-AK212</f>
        <v>-18.06306</v>
      </c>
      <c r="AL219" s="28">
        <f t="shared" si="462"/>
        <v>-18.3268482</v>
      </c>
      <c r="AM219" s="28">
        <f t="shared" si="462"/>
        <v>-18.39091562</v>
      </c>
      <c r="AN219" s="28">
        <f t="shared" si="462"/>
        <v>-18.6464884</v>
      </c>
      <c r="AO219" s="28">
        <f t="shared" si="462"/>
        <v>-18.75618647</v>
      </c>
      <c r="AP219" s="28">
        <f t="shared" si="462"/>
        <v>-18.69210675</v>
      </c>
      <c r="AQ219" s="28">
        <f t="shared" si="462"/>
        <v>-19.24453318</v>
      </c>
      <c r="AR219" s="28">
        <f t="shared" si="462"/>
        <v>-19.53554171</v>
      </c>
      <c r="AS219" s="28">
        <f t="shared" si="462"/>
        <v>-19.68665842</v>
      </c>
      <c r="AT219" s="28">
        <f t="shared" si="462"/>
        <v>-19.80818785</v>
      </c>
      <c r="AU219" s="28">
        <f t="shared" si="462"/>
        <v>-20.02744002</v>
      </c>
      <c r="AV219" s="28">
        <f t="shared" si="462"/>
        <v>-20.35960055</v>
      </c>
      <c r="AW219" s="28">
        <f t="shared" si="462"/>
        <v>-20.6223012</v>
      </c>
      <c r="AX219" s="28">
        <f t="shared" si="462"/>
        <v>-20.90661911</v>
      </c>
      <c r="AY219" s="28">
        <f t="shared" si="462"/>
        <v>-21.16639983</v>
      </c>
      <c r="AZ219" s="28">
        <f t="shared" si="462"/>
        <v>-21.53866428</v>
      </c>
      <c r="BA219" s="28">
        <f t="shared" si="462"/>
        <v>-21.8333967</v>
      </c>
      <c r="BB219" s="28">
        <f t="shared" si="462"/>
        <v>-22.12417571</v>
      </c>
      <c r="BC219" s="28">
        <f t="shared" si="462"/>
        <v>-22.44608772</v>
      </c>
      <c r="BD219" s="28">
        <f t="shared" si="462"/>
        <v>-22.89485146</v>
      </c>
      <c r="BE219" s="28">
        <f t="shared" si="462"/>
        <v>-23.25044239</v>
      </c>
      <c r="BF219" s="28">
        <f t="shared" si="462"/>
        <v>-23.58305622</v>
      </c>
      <c r="BG219" s="28">
        <f t="shared" si="462"/>
        <v>-23.94905269</v>
      </c>
      <c r="BH219" s="28">
        <f t="shared" si="462"/>
        <v>-24.45465673</v>
      </c>
      <c r="BI219" s="28">
        <f t="shared" si="462"/>
        <v>-24.85986692</v>
      </c>
      <c r="BJ219" s="28">
        <f t="shared" si="462"/>
        <v>-25.24605917</v>
      </c>
      <c r="BK219" s="28">
        <f t="shared" si="462"/>
        <v>-25.66643528</v>
      </c>
      <c r="BL219" s="28">
        <f t="shared" si="462"/>
        <v>-26.23605073</v>
      </c>
      <c r="BM219" s="28">
        <f t="shared" si="462"/>
        <v>-26.69347137</v>
      </c>
      <c r="BN219" s="28">
        <f t="shared" si="462"/>
        <v>-27.13025028</v>
      </c>
      <c r="BO219" s="28">
        <f t="shared" si="462"/>
        <v>-27.60464063</v>
      </c>
      <c r="BP219" s="28">
        <f t="shared" si="462"/>
        <v>-28.24222265</v>
      </c>
      <c r="BQ219" s="28">
        <f t="shared" si="462"/>
        <v>-28.51224455</v>
      </c>
      <c r="BR219" s="28">
        <f t="shared" si="462"/>
        <v>-28.76791234</v>
      </c>
      <c r="BS219" s="28">
        <f t="shared" si="462"/>
        <v>-29.06225378</v>
      </c>
      <c r="BT219" s="28">
        <f t="shared" si="462"/>
        <v>-29.50977438</v>
      </c>
      <c r="BU219" s="28">
        <f t="shared" si="462"/>
        <v>-29.8503006</v>
      </c>
      <c r="BV219" s="28">
        <f t="shared" si="462"/>
        <v>-30.1737621</v>
      </c>
      <c r="BW219" s="28">
        <f t="shared" si="462"/>
        <v>-30.53804529</v>
      </c>
      <c r="BX219" s="6" t="s">
        <v>35</v>
      </c>
      <c r="BZ219" s="28">
        <f t="shared" ref="BZ219:CP219" si="463">BZ51</f>
        <v>-14.681</v>
      </c>
      <c r="CA219" s="28">
        <f t="shared" si="463"/>
        <v>-19.705</v>
      </c>
      <c r="CB219" s="28">
        <f t="shared" si="463"/>
        <v>-21.643</v>
      </c>
      <c r="CC219" s="28">
        <f t="shared" si="463"/>
        <v>-20.91025755</v>
      </c>
      <c r="CD219" s="28">
        <f t="shared" si="463"/>
        <v>-26.29688172</v>
      </c>
      <c r="CE219" s="28">
        <f t="shared" si="463"/>
        <v>-39.06093576</v>
      </c>
      <c r="CF219" s="28">
        <f t="shared" si="463"/>
        <v>-49.13633251</v>
      </c>
      <c r="CG219" s="28">
        <f t="shared" si="463"/>
        <v>-73.24482382</v>
      </c>
      <c r="CH219" s="28">
        <f t="shared" si="463"/>
        <v>-75.3393148</v>
      </c>
      <c r="CI219" s="28">
        <f t="shared" si="463"/>
        <v>-79.05782801</v>
      </c>
      <c r="CJ219" s="28">
        <f t="shared" si="463"/>
        <v>-83.05492069</v>
      </c>
      <c r="CK219" s="28">
        <f t="shared" si="463"/>
        <v>-87.9423244</v>
      </c>
      <c r="CL219" s="28">
        <f t="shared" si="463"/>
        <v>-93.67740277</v>
      </c>
      <c r="CM219" s="28">
        <f t="shared" si="463"/>
        <v>-100.2270181</v>
      </c>
      <c r="CN219" s="28">
        <f t="shared" si="463"/>
        <v>-107.664413</v>
      </c>
      <c r="CO219" s="28">
        <f t="shared" si="463"/>
        <v>-114.5846333</v>
      </c>
      <c r="CP219" s="28">
        <f t="shared" si="463"/>
        <v>-120.0718824</v>
      </c>
      <c r="CQ219" s="6" t="s">
        <v>35</v>
      </c>
    </row>
    <row r="220" ht="14.25" customHeight="1">
      <c r="B220" s="10" t="s">
        <v>126</v>
      </c>
      <c r="C220" s="9" t="s">
        <v>39</v>
      </c>
      <c r="G220" s="26"/>
      <c r="H220" s="26">
        <f t="shared" ref="H220:AJ220" si="464">H221-H219-H218-H217</f>
        <v>3.38</v>
      </c>
      <c r="I220" s="26">
        <f t="shared" si="464"/>
        <v>-2.854</v>
      </c>
      <c r="J220" s="26">
        <f t="shared" si="464"/>
        <v>0.09266169</v>
      </c>
      <c r="K220" s="26">
        <f t="shared" si="464"/>
        <v>-0.67866169</v>
      </c>
      <c r="L220" s="26">
        <f t="shared" si="464"/>
        <v>12.36829017</v>
      </c>
      <c r="M220" s="26">
        <f t="shared" si="464"/>
        <v>0.926</v>
      </c>
      <c r="N220" s="26">
        <f t="shared" si="464"/>
        <v>-0.259551414</v>
      </c>
      <c r="O220" s="26">
        <f t="shared" si="464"/>
        <v>-2.574738756</v>
      </c>
      <c r="P220" s="26">
        <f t="shared" si="464"/>
        <v>0.468</v>
      </c>
      <c r="Q220" s="26">
        <f t="shared" si="464"/>
        <v>1.127</v>
      </c>
      <c r="R220" s="26">
        <f t="shared" si="464"/>
        <v>1.091</v>
      </c>
      <c r="S220" s="26">
        <f t="shared" si="464"/>
        <v>0.787</v>
      </c>
      <c r="T220" s="26">
        <f t="shared" si="464"/>
        <v>2.851</v>
      </c>
      <c r="U220" s="26">
        <f t="shared" si="464"/>
        <v>-1.583898</v>
      </c>
      <c r="V220" s="26">
        <f t="shared" si="464"/>
        <v>0.93255722</v>
      </c>
      <c r="W220" s="26">
        <f t="shared" si="464"/>
        <v>-1.72740167</v>
      </c>
      <c r="X220" s="26">
        <f t="shared" si="464"/>
        <v>25.71535473</v>
      </c>
      <c r="Y220" s="26">
        <f t="shared" si="464"/>
        <v>9.422</v>
      </c>
      <c r="Z220" s="26">
        <f t="shared" si="464"/>
        <v>11.994</v>
      </c>
      <c r="AA220" s="26">
        <f t="shared" si="464"/>
        <v>-5.72647301</v>
      </c>
      <c r="AB220" s="26">
        <f t="shared" si="464"/>
        <v>45.14383693</v>
      </c>
      <c r="AC220" s="26">
        <f t="shared" si="464"/>
        <v>7.03309883</v>
      </c>
      <c r="AD220" s="26">
        <f t="shared" si="464"/>
        <v>-5.128</v>
      </c>
      <c r="AE220" s="26">
        <f t="shared" si="464"/>
        <v>17.162</v>
      </c>
      <c r="AF220" s="26">
        <f t="shared" si="464"/>
        <v>3.925</v>
      </c>
      <c r="AG220" s="26">
        <f t="shared" si="464"/>
        <v>23.431</v>
      </c>
      <c r="AH220" s="26">
        <f t="shared" si="464"/>
        <v>112.019</v>
      </c>
      <c r="AI220" s="26">
        <f t="shared" si="464"/>
        <v>46.36333251</v>
      </c>
      <c r="AJ220" s="26">
        <f t="shared" si="464"/>
        <v>-10.288</v>
      </c>
      <c r="AK220" s="26">
        <v>0.0</v>
      </c>
      <c r="AL220" s="26">
        <v>0.0</v>
      </c>
      <c r="AM220" s="26">
        <v>0.0</v>
      </c>
      <c r="AN220" s="26">
        <v>0.0</v>
      </c>
      <c r="AO220" s="26">
        <v>0.0</v>
      </c>
      <c r="AP220" s="26">
        <v>0.0</v>
      </c>
      <c r="AQ220" s="26">
        <v>0.0</v>
      </c>
      <c r="AR220" s="26">
        <v>0.0</v>
      </c>
      <c r="AS220" s="26">
        <v>0.0</v>
      </c>
      <c r="AT220" s="26">
        <v>0.0</v>
      </c>
      <c r="AU220" s="26">
        <v>0.0</v>
      </c>
      <c r="AV220" s="26">
        <v>0.0</v>
      </c>
      <c r="AW220" s="26">
        <v>0.0</v>
      </c>
      <c r="AX220" s="26">
        <v>0.0</v>
      </c>
      <c r="AY220" s="26">
        <v>0.0</v>
      </c>
      <c r="AZ220" s="26">
        <v>0.0</v>
      </c>
      <c r="BA220" s="26">
        <v>0.0</v>
      </c>
      <c r="BB220" s="26">
        <v>0.0</v>
      </c>
      <c r="BC220" s="26">
        <v>0.0</v>
      </c>
      <c r="BD220" s="26">
        <v>0.0</v>
      </c>
      <c r="BE220" s="26">
        <v>0.0</v>
      </c>
      <c r="BF220" s="26">
        <v>0.0</v>
      </c>
      <c r="BG220" s="26">
        <v>0.0</v>
      </c>
      <c r="BH220" s="26">
        <v>0.0</v>
      </c>
      <c r="BI220" s="26">
        <v>0.0</v>
      </c>
      <c r="BJ220" s="26">
        <v>0.0</v>
      </c>
      <c r="BK220" s="26">
        <v>0.0</v>
      </c>
      <c r="BL220" s="26">
        <v>0.0</v>
      </c>
      <c r="BM220" s="26">
        <v>0.0</v>
      </c>
      <c r="BN220" s="26">
        <v>0.0</v>
      </c>
      <c r="BO220" s="26">
        <v>0.0</v>
      </c>
      <c r="BP220" s="26">
        <v>0.0</v>
      </c>
      <c r="BQ220" s="26">
        <v>0.0</v>
      </c>
      <c r="BR220" s="26">
        <v>0.0</v>
      </c>
      <c r="BS220" s="26">
        <v>0.0</v>
      </c>
      <c r="BT220" s="26">
        <v>0.0</v>
      </c>
      <c r="BU220" s="26">
        <v>0.0</v>
      </c>
      <c r="BV220" s="26">
        <v>0.0</v>
      </c>
      <c r="BW220" s="26">
        <v>0.0</v>
      </c>
      <c r="BX220" s="6" t="s">
        <v>35</v>
      </c>
      <c r="BZ220" s="26">
        <f t="shared" ref="BZ220:CE220" si="465">BZ221-BZ219-BZ218-BZ217</f>
        <v>-0.06</v>
      </c>
      <c r="CA220" s="26">
        <f t="shared" si="465"/>
        <v>10.46</v>
      </c>
      <c r="CB220" s="26">
        <f t="shared" si="465"/>
        <v>3.473</v>
      </c>
      <c r="CC220" s="26">
        <f t="shared" si="465"/>
        <v>0.47225755</v>
      </c>
      <c r="CD220" s="26">
        <f t="shared" si="465"/>
        <v>41.40488172</v>
      </c>
      <c r="CE220" s="26">
        <f t="shared" si="465"/>
        <v>64.21093576</v>
      </c>
      <c r="CF220" s="81">
        <f>SUM(AF220:AI220)</f>
        <v>185.7383325</v>
      </c>
      <c r="CG220" s="81">
        <f>SUM(AJ220:AM220)</f>
        <v>-10.288</v>
      </c>
      <c r="CH220" s="81">
        <f>SUM(AN220:AQ220)</f>
        <v>0</v>
      </c>
      <c r="CI220" s="81">
        <f>SUM(AR220:AU220)</f>
        <v>0</v>
      </c>
      <c r="CJ220" s="81">
        <f>SUM(AV220:AY220)</f>
        <v>0</v>
      </c>
      <c r="CK220" s="81">
        <f>SUM(AZ220:BC220)</f>
        <v>0</v>
      </c>
      <c r="CL220" s="81">
        <f>SUM(BD220:BG220)</f>
        <v>0</v>
      </c>
      <c r="CM220" s="81">
        <f>SUM(BH220:BK220)</f>
        <v>0</v>
      </c>
      <c r="CN220" s="81">
        <f>SUM(BL220:BO220)</f>
        <v>0</v>
      </c>
      <c r="CO220" s="81">
        <f>SUM(BP220:BS220)</f>
        <v>0</v>
      </c>
      <c r="CP220" s="81">
        <f>SUM(BT220:BW220)</f>
        <v>0</v>
      </c>
      <c r="CQ220" s="6" t="s">
        <v>35</v>
      </c>
    </row>
    <row r="221" ht="14.25" customHeight="1">
      <c r="B221" s="95" t="s">
        <v>127</v>
      </c>
      <c r="C221" s="96" t="s">
        <v>39</v>
      </c>
      <c r="G221" s="97">
        <f>G70</f>
        <v>74.176</v>
      </c>
      <c r="H221" s="97">
        <f t="shared" ref="H221:AJ221" si="466">H70+H71</f>
        <v>75.253</v>
      </c>
      <c r="I221" s="97">
        <f t="shared" si="466"/>
        <v>75.221</v>
      </c>
      <c r="J221" s="97">
        <f t="shared" si="466"/>
        <v>73.498</v>
      </c>
      <c r="K221" s="97">
        <f t="shared" si="466"/>
        <v>74.344</v>
      </c>
      <c r="L221" s="97">
        <f t="shared" si="466"/>
        <v>84.667</v>
      </c>
      <c r="M221" s="97">
        <f t="shared" si="466"/>
        <v>85.821</v>
      </c>
      <c r="N221" s="97">
        <f t="shared" si="466"/>
        <v>85.447</v>
      </c>
      <c r="O221" s="97">
        <f t="shared" si="466"/>
        <v>81.58</v>
      </c>
      <c r="P221" s="97">
        <f t="shared" si="466"/>
        <v>78.365</v>
      </c>
      <c r="Q221" s="97">
        <f t="shared" si="466"/>
        <v>75.723</v>
      </c>
      <c r="R221" s="97">
        <f t="shared" si="466"/>
        <v>75.984</v>
      </c>
      <c r="S221" s="97">
        <f t="shared" si="466"/>
        <v>85.373</v>
      </c>
      <c r="T221" s="97">
        <f t="shared" si="466"/>
        <v>101.481</v>
      </c>
      <c r="U221" s="97">
        <f t="shared" si="466"/>
        <v>100.857</v>
      </c>
      <c r="V221" s="97">
        <f t="shared" si="466"/>
        <v>105.918</v>
      </c>
      <c r="W221" s="97">
        <f t="shared" si="466"/>
        <v>107.649</v>
      </c>
      <c r="X221" s="97">
        <f t="shared" si="466"/>
        <v>143.116</v>
      </c>
      <c r="Y221" s="97">
        <f t="shared" si="466"/>
        <v>161.677</v>
      </c>
      <c r="Z221" s="97">
        <f t="shared" si="466"/>
        <v>184.785</v>
      </c>
      <c r="AA221" s="97">
        <f t="shared" si="466"/>
        <v>205.785</v>
      </c>
      <c r="AB221" s="97">
        <f t="shared" si="466"/>
        <v>246.722</v>
      </c>
      <c r="AC221" s="97">
        <f t="shared" si="466"/>
        <v>267.728</v>
      </c>
      <c r="AD221" s="97">
        <f t="shared" si="466"/>
        <v>289.246</v>
      </c>
      <c r="AE221" s="97">
        <f t="shared" si="466"/>
        <v>315.241</v>
      </c>
      <c r="AF221" s="97">
        <f t="shared" si="466"/>
        <v>324.184</v>
      </c>
      <c r="AG221" s="97">
        <f t="shared" si="466"/>
        <v>360.28</v>
      </c>
      <c r="AH221" s="97">
        <f t="shared" si="466"/>
        <v>492.387</v>
      </c>
      <c r="AI221" s="97">
        <f t="shared" si="466"/>
        <v>547.253</v>
      </c>
      <c r="AJ221" s="97">
        <f t="shared" si="466"/>
        <v>521.72</v>
      </c>
      <c r="AK221" s="97">
        <f t="shared" ref="AK221:BW221" si="467">AK217+AK218+AK219</f>
        <v>527.14296</v>
      </c>
      <c r="AL221" s="97">
        <f t="shared" si="467"/>
        <v>543.8662033</v>
      </c>
      <c r="AM221" s="97">
        <f t="shared" si="467"/>
        <v>552.5947981</v>
      </c>
      <c r="AN221" s="97">
        <f t="shared" si="467"/>
        <v>557.0452766</v>
      </c>
      <c r="AO221" s="97">
        <f t="shared" si="467"/>
        <v>561.4034417</v>
      </c>
      <c r="AP221" s="97">
        <f t="shared" si="467"/>
        <v>566.842718</v>
      </c>
      <c r="AQ221" s="97">
        <f t="shared" si="467"/>
        <v>574.9039403</v>
      </c>
      <c r="AR221" s="97">
        <f t="shared" si="467"/>
        <v>580.918037</v>
      </c>
      <c r="AS221" s="97">
        <f t="shared" si="467"/>
        <v>586.6742928</v>
      </c>
      <c r="AT221" s="97">
        <f t="shared" si="467"/>
        <v>593.2976581</v>
      </c>
      <c r="AU221" s="97">
        <f t="shared" si="467"/>
        <v>603.1054206</v>
      </c>
      <c r="AV221" s="97">
        <f t="shared" si="467"/>
        <v>610.6622291</v>
      </c>
      <c r="AW221" s="97">
        <f t="shared" si="467"/>
        <v>617.8397263</v>
      </c>
      <c r="AX221" s="97">
        <f t="shared" si="467"/>
        <v>625.8131264</v>
      </c>
      <c r="AY221" s="97">
        <f t="shared" si="467"/>
        <v>637.2456895</v>
      </c>
      <c r="AZ221" s="97">
        <f t="shared" si="467"/>
        <v>646.2094488</v>
      </c>
      <c r="BA221" s="97">
        <f t="shared" si="467"/>
        <v>654.751063</v>
      </c>
      <c r="BB221" s="97">
        <f t="shared" si="467"/>
        <v>664.1821842</v>
      </c>
      <c r="BC221" s="97">
        <f t="shared" si="467"/>
        <v>677.3548387</v>
      </c>
      <c r="BD221" s="97">
        <f t="shared" si="467"/>
        <v>687.7879787</v>
      </c>
      <c r="BE221" s="97">
        <f t="shared" si="467"/>
        <v>697.7263123</v>
      </c>
      <c r="BF221" s="97">
        <f t="shared" si="467"/>
        <v>708.6216531</v>
      </c>
      <c r="BG221" s="97">
        <f t="shared" si="467"/>
        <v>723.5908566</v>
      </c>
      <c r="BH221" s="97">
        <f t="shared" si="467"/>
        <v>735.5515035</v>
      </c>
      <c r="BI221" s="97">
        <f t="shared" si="467"/>
        <v>746.9548287</v>
      </c>
      <c r="BJ221" s="97">
        <f t="shared" si="467"/>
        <v>759.3810456</v>
      </c>
      <c r="BK221" s="97">
        <f t="shared" si="467"/>
        <v>776.2380284</v>
      </c>
      <c r="BL221" s="97">
        <f t="shared" si="467"/>
        <v>789.7905843</v>
      </c>
      <c r="BM221" s="97">
        <f t="shared" si="467"/>
        <v>802.7195171</v>
      </c>
      <c r="BN221" s="97">
        <f t="shared" si="467"/>
        <v>816.7512845</v>
      </c>
      <c r="BO221" s="97">
        <f t="shared" si="467"/>
        <v>835.6091853</v>
      </c>
      <c r="BP221" s="97">
        <f t="shared" si="467"/>
        <v>843.5956232</v>
      </c>
      <c r="BQ221" s="97">
        <f t="shared" si="467"/>
        <v>851.1607073</v>
      </c>
      <c r="BR221" s="97">
        <f t="shared" si="467"/>
        <v>859.8719855</v>
      </c>
      <c r="BS221" s="97">
        <f t="shared" si="467"/>
        <v>873.1152002</v>
      </c>
      <c r="BT221" s="97">
        <f t="shared" si="467"/>
        <v>883.1900999</v>
      </c>
      <c r="BU221" s="97">
        <f t="shared" si="467"/>
        <v>892.7591227</v>
      </c>
      <c r="BV221" s="97">
        <f t="shared" si="467"/>
        <v>903.5364064</v>
      </c>
      <c r="BW221" s="97">
        <f t="shared" si="467"/>
        <v>919.2227633</v>
      </c>
      <c r="BX221" s="6" t="s">
        <v>35</v>
      </c>
      <c r="BY221" s="97">
        <f t="shared" ref="BY221:CE221" si="468">BY70+BY71</f>
        <v>74.176</v>
      </c>
      <c r="BZ221" s="97">
        <f t="shared" si="468"/>
        <v>74.344</v>
      </c>
      <c r="CA221" s="97">
        <f t="shared" si="468"/>
        <v>81.58</v>
      </c>
      <c r="CB221" s="97">
        <f t="shared" si="468"/>
        <v>85.373</v>
      </c>
      <c r="CC221" s="97">
        <f t="shared" si="468"/>
        <v>107.649</v>
      </c>
      <c r="CD221" s="97">
        <f t="shared" si="468"/>
        <v>205.785</v>
      </c>
      <c r="CE221" s="97">
        <f t="shared" si="468"/>
        <v>315.241</v>
      </c>
      <c r="CF221" s="97">
        <f t="shared" ref="CF221:CP221" si="469">+CF217+CF218+CF219+CF220</f>
        <v>547.253</v>
      </c>
      <c r="CG221" s="97">
        <f t="shared" si="469"/>
        <v>552.5947981</v>
      </c>
      <c r="CH221" s="97">
        <f t="shared" si="469"/>
        <v>574.9039403</v>
      </c>
      <c r="CI221" s="97">
        <f t="shared" si="469"/>
        <v>603.1054206</v>
      </c>
      <c r="CJ221" s="97">
        <f t="shared" si="469"/>
        <v>637.2456895</v>
      </c>
      <c r="CK221" s="97">
        <f t="shared" si="469"/>
        <v>677.3548387</v>
      </c>
      <c r="CL221" s="97">
        <f t="shared" si="469"/>
        <v>723.5908566</v>
      </c>
      <c r="CM221" s="97">
        <f t="shared" si="469"/>
        <v>776.2380284</v>
      </c>
      <c r="CN221" s="97">
        <f t="shared" si="469"/>
        <v>835.6091853</v>
      </c>
      <c r="CO221" s="97">
        <f t="shared" si="469"/>
        <v>873.1152002</v>
      </c>
      <c r="CP221" s="97">
        <f t="shared" si="469"/>
        <v>919.2227633</v>
      </c>
      <c r="CQ221" s="6" t="s">
        <v>35</v>
      </c>
    </row>
    <row r="222" ht="14.25" customHeight="1">
      <c r="AH222" s="45"/>
      <c r="AK222" s="45"/>
      <c r="AL222" s="45"/>
      <c r="AM222" s="45"/>
      <c r="AN222" s="45"/>
      <c r="BX222" s="6" t="s">
        <v>35</v>
      </c>
      <c r="CQ222" s="6" t="s">
        <v>35</v>
      </c>
    </row>
    <row r="223" ht="14.25" customHeight="1">
      <c r="A223" s="11" t="s">
        <v>36</v>
      </c>
      <c r="B223" s="2" t="s">
        <v>128</v>
      </c>
      <c r="C223" s="3"/>
      <c r="H223" s="98"/>
      <c r="I223" s="98"/>
      <c r="J223" s="98"/>
      <c r="K223" s="98"/>
      <c r="BX223" s="6" t="s">
        <v>35</v>
      </c>
      <c r="CQ223" s="6" t="s">
        <v>35</v>
      </c>
    </row>
    <row r="224" ht="14.25" customHeight="1">
      <c r="A224" s="9"/>
      <c r="B224" s="10"/>
      <c r="C224" s="9"/>
      <c r="H224" s="98"/>
      <c r="I224" s="98"/>
      <c r="J224" s="98"/>
      <c r="K224" s="98"/>
      <c r="BX224" s="6" t="s">
        <v>35</v>
      </c>
      <c r="CQ224" s="6" t="s">
        <v>35</v>
      </c>
    </row>
    <row r="225" ht="14.25" customHeight="1">
      <c r="A225" s="9"/>
      <c r="B225" s="80" t="s">
        <v>78</v>
      </c>
      <c r="C225" s="96" t="s">
        <v>39</v>
      </c>
      <c r="D225" s="37">
        <f t="shared" ref="D225:H225" si="470">D108</f>
        <v>3.049</v>
      </c>
      <c r="E225" s="37">
        <f t="shared" si="470"/>
        <v>-1.257</v>
      </c>
      <c r="F225" s="37">
        <f t="shared" si="470"/>
        <v>43.744</v>
      </c>
      <c r="G225" s="37">
        <f t="shared" si="470"/>
        <v>62.968</v>
      </c>
      <c r="H225" s="37">
        <f t="shared" si="470"/>
        <v>65.303</v>
      </c>
      <c r="I225" s="98"/>
      <c r="J225" s="98"/>
      <c r="K225" s="98"/>
      <c r="BX225" s="6" t="s">
        <v>35</v>
      </c>
    </row>
    <row r="226" ht="14.25" customHeight="1">
      <c r="A226" s="9"/>
      <c r="B226" s="99" t="s">
        <v>129</v>
      </c>
      <c r="C226" s="78" t="s">
        <v>39</v>
      </c>
      <c r="D226" s="100"/>
      <c r="E226" s="100"/>
      <c r="F226" s="100"/>
      <c r="G226" s="100"/>
      <c r="H226" s="101">
        <f>H225/H109</f>
        <v>12.25265962</v>
      </c>
      <c r="BX226" s="6" t="s">
        <v>35</v>
      </c>
    </row>
    <row r="227" ht="14.25" customHeight="1">
      <c r="A227" s="9"/>
      <c r="B227" s="10"/>
      <c r="C227" s="9"/>
      <c r="BX227" s="6" t="s">
        <v>35</v>
      </c>
    </row>
    <row r="228" ht="14.25" customHeight="1">
      <c r="A228" s="9"/>
      <c r="B228" s="10"/>
      <c r="C228" s="9"/>
      <c r="BX228" s="6" t="s">
        <v>35</v>
      </c>
    </row>
    <row r="229" ht="14.25" customHeight="1">
      <c r="A229" s="9"/>
      <c r="B229" s="59" t="s">
        <v>130</v>
      </c>
      <c r="C229" s="9" t="s">
        <v>39</v>
      </c>
      <c r="E229" s="26">
        <f t="shared" ref="E229:BW229" si="471">D233</f>
        <v>12.892</v>
      </c>
      <c r="F229" s="26">
        <f t="shared" si="471"/>
        <v>34.816</v>
      </c>
      <c r="G229" s="26">
        <f t="shared" si="471"/>
        <v>48.589</v>
      </c>
      <c r="H229" s="26">
        <f t="shared" si="471"/>
        <v>65.476</v>
      </c>
      <c r="I229" s="26">
        <f t="shared" si="471"/>
        <v>67.711</v>
      </c>
      <c r="J229" s="26">
        <f t="shared" si="471"/>
        <v>60.742</v>
      </c>
      <c r="K229" s="26">
        <f t="shared" si="471"/>
        <v>62.45</v>
      </c>
      <c r="L229" s="26">
        <f t="shared" si="471"/>
        <v>67.637</v>
      </c>
      <c r="M229" s="26">
        <f t="shared" si="471"/>
        <v>67.101</v>
      </c>
      <c r="N229" s="26">
        <f t="shared" si="471"/>
        <v>83.143</v>
      </c>
      <c r="O229" s="26">
        <f t="shared" si="471"/>
        <v>78.388</v>
      </c>
      <c r="P229" s="26">
        <f t="shared" si="471"/>
        <v>77.811</v>
      </c>
      <c r="Q229" s="26">
        <f t="shared" si="471"/>
        <v>71.756</v>
      </c>
      <c r="R229" s="26">
        <f t="shared" si="471"/>
        <v>71.092</v>
      </c>
      <c r="S229" s="26">
        <f t="shared" si="471"/>
        <v>63.67</v>
      </c>
      <c r="T229" s="26">
        <f t="shared" si="471"/>
        <v>56.11</v>
      </c>
      <c r="U229" s="26">
        <f t="shared" si="471"/>
        <v>49.648</v>
      </c>
      <c r="V229" s="26">
        <f t="shared" si="471"/>
        <v>47.089</v>
      </c>
      <c r="W229" s="26">
        <f t="shared" si="471"/>
        <v>41.213</v>
      </c>
      <c r="X229" s="26">
        <f t="shared" si="471"/>
        <v>60.34</v>
      </c>
      <c r="Y229" s="26">
        <f t="shared" si="471"/>
        <v>58.099</v>
      </c>
      <c r="Z229" s="26">
        <f t="shared" si="471"/>
        <v>63.358</v>
      </c>
      <c r="AA229" s="26">
        <f t="shared" si="471"/>
        <v>116.367</v>
      </c>
      <c r="AB229" s="26">
        <f t="shared" si="471"/>
        <v>136.348</v>
      </c>
      <c r="AC229" s="26">
        <f t="shared" si="471"/>
        <v>238.554</v>
      </c>
      <c r="AD229" s="26">
        <f t="shared" si="471"/>
        <v>254.512</v>
      </c>
      <c r="AE229" s="26">
        <f t="shared" si="471"/>
        <v>251.413</v>
      </c>
      <c r="AF229" s="26">
        <f t="shared" si="471"/>
        <v>348.561</v>
      </c>
      <c r="AG229" s="26">
        <f t="shared" si="471"/>
        <v>337.4</v>
      </c>
      <c r="AH229" s="26">
        <f t="shared" si="471"/>
        <v>379.563</v>
      </c>
      <c r="AI229" s="26">
        <f t="shared" si="471"/>
        <v>428.25</v>
      </c>
      <c r="AJ229" s="26">
        <f t="shared" si="471"/>
        <v>463.583</v>
      </c>
      <c r="AK229" s="26">
        <f t="shared" si="471"/>
        <v>647.362</v>
      </c>
      <c r="AL229" s="26">
        <f t="shared" si="471"/>
        <v>647.362</v>
      </c>
      <c r="AM229" s="26">
        <f t="shared" si="471"/>
        <v>647.362</v>
      </c>
      <c r="AN229" s="26">
        <f t="shared" si="471"/>
        <v>647.362</v>
      </c>
      <c r="AO229" s="26">
        <f t="shared" si="471"/>
        <v>647.362</v>
      </c>
      <c r="AP229" s="26">
        <f t="shared" si="471"/>
        <v>647.362</v>
      </c>
      <c r="AQ229" s="26">
        <f t="shared" si="471"/>
        <v>647.362</v>
      </c>
      <c r="AR229" s="26">
        <f t="shared" si="471"/>
        <v>647.362</v>
      </c>
      <c r="AS229" s="26">
        <f t="shared" si="471"/>
        <v>647.362</v>
      </c>
      <c r="AT229" s="26">
        <f t="shared" si="471"/>
        <v>647.362</v>
      </c>
      <c r="AU229" s="26">
        <f t="shared" si="471"/>
        <v>647.362</v>
      </c>
      <c r="AV229" s="26">
        <f t="shared" si="471"/>
        <v>647.362</v>
      </c>
      <c r="AW229" s="26">
        <f t="shared" si="471"/>
        <v>647.362</v>
      </c>
      <c r="AX229" s="26">
        <f t="shared" si="471"/>
        <v>647.362</v>
      </c>
      <c r="AY229" s="26">
        <f t="shared" si="471"/>
        <v>647.362</v>
      </c>
      <c r="AZ229" s="26">
        <f t="shared" si="471"/>
        <v>647.362</v>
      </c>
      <c r="BA229" s="26">
        <f t="shared" si="471"/>
        <v>647.362</v>
      </c>
      <c r="BB229" s="26">
        <f t="shared" si="471"/>
        <v>647.362</v>
      </c>
      <c r="BC229" s="26">
        <f t="shared" si="471"/>
        <v>647.362</v>
      </c>
      <c r="BD229" s="26">
        <f t="shared" si="471"/>
        <v>647.362</v>
      </c>
      <c r="BE229" s="26">
        <f t="shared" si="471"/>
        <v>647.362</v>
      </c>
      <c r="BF229" s="26">
        <f t="shared" si="471"/>
        <v>647.362</v>
      </c>
      <c r="BG229" s="26">
        <f t="shared" si="471"/>
        <v>647.362</v>
      </c>
      <c r="BH229" s="26">
        <f t="shared" si="471"/>
        <v>647.362</v>
      </c>
      <c r="BI229" s="26">
        <f t="shared" si="471"/>
        <v>647.362</v>
      </c>
      <c r="BJ229" s="26">
        <f t="shared" si="471"/>
        <v>647.362</v>
      </c>
      <c r="BK229" s="26">
        <f t="shared" si="471"/>
        <v>647.362</v>
      </c>
      <c r="BL229" s="26">
        <f t="shared" si="471"/>
        <v>647.362</v>
      </c>
      <c r="BM229" s="26">
        <f t="shared" si="471"/>
        <v>647.362</v>
      </c>
      <c r="BN229" s="26">
        <f t="shared" si="471"/>
        <v>647.362</v>
      </c>
      <c r="BO229" s="26">
        <f t="shared" si="471"/>
        <v>647.362</v>
      </c>
      <c r="BP229" s="26">
        <f t="shared" si="471"/>
        <v>647.362</v>
      </c>
      <c r="BQ229" s="26">
        <f t="shared" si="471"/>
        <v>647.362</v>
      </c>
      <c r="BR229" s="26">
        <f t="shared" si="471"/>
        <v>647.362</v>
      </c>
      <c r="BS229" s="26">
        <f t="shared" si="471"/>
        <v>647.362</v>
      </c>
      <c r="BT229" s="26">
        <f t="shared" si="471"/>
        <v>647.362</v>
      </c>
      <c r="BU229" s="26">
        <f t="shared" si="471"/>
        <v>647.362</v>
      </c>
      <c r="BV229" s="26">
        <f t="shared" si="471"/>
        <v>647.362</v>
      </c>
      <c r="BW229" s="26">
        <f t="shared" si="471"/>
        <v>647.362</v>
      </c>
      <c r="BX229" s="6" t="s">
        <v>35</v>
      </c>
    </row>
    <row r="230" ht="14.25" customHeight="1">
      <c r="A230" s="9"/>
      <c r="B230" s="80" t="s">
        <v>131</v>
      </c>
      <c r="C230" s="96" t="s">
        <v>39</v>
      </c>
      <c r="H230" s="37">
        <f>(Inputs!J248+Inputs!J258+Inputs!J253)/1000</f>
        <v>14.636</v>
      </c>
      <c r="I230" s="37">
        <f>(Inputs!K248+Inputs!K258+Inputs!K253)/1000</f>
        <v>8.991</v>
      </c>
      <c r="J230" s="37">
        <f>(Inputs!L248+Inputs!L258+Inputs!L253)/1000</f>
        <v>10</v>
      </c>
      <c r="K230" s="37">
        <f>(Inputs!M248+Inputs!M258+Inputs!M253)/1000</f>
        <v>17.068</v>
      </c>
      <c r="L230" s="37">
        <f>(Inputs!N248+Inputs!N258+Inputs!N253)/1000</f>
        <v>10.895</v>
      </c>
      <c r="M230" s="37">
        <f>(Inputs!O248+Inputs!O258+Inputs!O253)/1000</f>
        <v>73.01</v>
      </c>
      <c r="N230" s="37">
        <f>(Inputs!P248+Inputs!P258+Inputs!P253)/1000</f>
        <v>0.278</v>
      </c>
      <c r="O230" s="37">
        <f>(Inputs!Q248+Inputs!Q258+Inputs!Q253)/1000</f>
        <v>3.585</v>
      </c>
      <c r="P230" s="37">
        <f>(Inputs!R248+Inputs!R258+Inputs!R253)/1000</f>
        <v>0</v>
      </c>
      <c r="Q230" s="37">
        <f>(Inputs!S248+Inputs!S258+Inputs!S253)/1000</f>
        <v>0</v>
      </c>
      <c r="R230" s="37">
        <f>(Inputs!T248+Inputs!T258+Inputs!T253)/1000</f>
        <v>0</v>
      </c>
      <c r="S230" s="37">
        <f>(Inputs!U248+Inputs!U258+Inputs!U253)/1000</f>
        <v>0</v>
      </c>
      <c r="T230" s="37">
        <f>(Inputs!V248+Inputs!V258+Inputs!V253)/1000</f>
        <v>0</v>
      </c>
      <c r="U230" s="37">
        <f>(Inputs!W248+Inputs!W258+Inputs!W253)/1000</f>
        <v>3.693</v>
      </c>
      <c r="V230" s="37">
        <f>(Inputs!X248+Inputs!X258+Inputs!X253)/1000</f>
        <v>0</v>
      </c>
      <c r="W230" s="37">
        <f>(Inputs!Y248+Inputs!Y258+Inputs!Y253)/1000</f>
        <v>25.449</v>
      </c>
      <c r="X230" s="37">
        <f>(Inputs!Z248+Inputs!Z258+Inputs!Z253)/1000</f>
        <v>0</v>
      </c>
      <c r="Y230" s="37">
        <f>(Inputs!AA248+Inputs!AA258+Inputs!AA253)/1000</f>
        <v>7.2</v>
      </c>
      <c r="Z230" s="37">
        <f>(Inputs!AB248+Inputs!AB258+Inputs!AB253)/1000</f>
        <v>64.446</v>
      </c>
      <c r="AA230" s="37">
        <f>(Inputs!AC248+Inputs!AC258+Inputs!AC253)/1000</f>
        <v>29.04</v>
      </c>
      <c r="AB230" s="37">
        <f>(Inputs!AD248+Inputs!AD258+Inputs!AD253)/1000</f>
        <v>107.941</v>
      </c>
      <c r="AC230" s="37">
        <f>(Inputs!AE248+Inputs!AE258+Inputs!AE253)/1000</f>
        <v>22.593</v>
      </c>
      <c r="AD230" s="37">
        <f>(Inputs!AF248+Inputs!AF258+Inputs!AF253)/1000</f>
        <v>0</v>
      </c>
      <c r="AE230" s="37">
        <f>(Inputs!AG248+Inputs!AG258+Inputs!AG253)/1000</f>
        <v>131.875</v>
      </c>
      <c r="AF230" s="37">
        <f>(Inputs!AH248+Inputs!AH258+Inputs!AH253)/1000</f>
        <v>0</v>
      </c>
      <c r="AG230" s="37">
        <f>(Inputs!AI248+Inputs!AI258+Inputs!AI253)/1000</f>
        <v>58</v>
      </c>
      <c r="AH230" s="37">
        <f>(Inputs!AJ248+Inputs!AJ258+Inputs!AJ253)/1000</f>
        <v>84.2</v>
      </c>
      <c r="AI230" s="37">
        <f>(Inputs!AK248+Inputs!AK258+Inputs!AK253)/1000</f>
        <v>50</v>
      </c>
      <c r="AJ230" s="37">
        <f>(Inputs!AL248+Inputs!AL258+Inputs!AL253)/1000</f>
        <v>200</v>
      </c>
      <c r="AK230" s="37">
        <v>0.0</v>
      </c>
      <c r="AL230" s="37">
        <v>0.0</v>
      </c>
      <c r="AM230" s="37">
        <v>0.0</v>
      </c>
      <c r="AN230" s="37">
        <v>0.0</v>
      </c>
      <c r="AO230" s="37">
        <v>0.0</v>
      </c>
      <c r="AP230" s="37">
        <v>0.0</v>
      </c>
      <c r="AQ230" s="37">
        <v>0.0</v>
      </c>
      <c r="AR230" s="37">
        <v>0.0</v>
      </c>
      <c r="AS230" s="37">
        <v>0.0</v>
      </c>
      <c r="AT230" s="37">
        <v>0.0</v>
      </c>
      <c r="AU230" s="37">
        <v>0.0</v>
      </c>
      <c r="AV230" s="37">
        <v>0.0</v>
      </c>
      <c r="AW230" s="37">
        <v>0.0</v>
      </c>
      <c r="AX230" s="37">
        <v>0.0</v>
      </c>
      <c r="AY230" s="37">
        <v>0.0</v>
      </c>
      <c r="AZ230" s="37">
        <v>0.0</v>
      </c>
      <c r="BA230" s="37">
        <v>0.0</v>
      </c>
      <c r="BB230" s="37">
        <v>0.0</v>
      </c>
      <c r="BC230" s="37">
        <v>0.0</v>
      </c>
      <c r="BD230" s="37">
        <v>0.0</v>
      </c>
      <c r="BE230" s="37">
        <v>0.0</v>
      </c>
      <c r="BF230" s="37">
        <v>0.0</v>
      </c>
      <c r="BG230" s="37">
        <v>0.0</v>
      </c>
      <c r="BH230" s="37">
        <v>0.0</v>
      </c>
      <c r="BI230" s="37">
        <v>0.0</v>
      </c>
      <c r="BJ230" s="37">
        <v>0.0</v>
      </c>
      <c r="BK230" s="37">
        <v>0.0</v>
      </c>
      <c r="BL230" s="37">
        <v>0.0</v>
      </c>
      <c r="BM230" s="37">
        <v>0.0</v>
      </c>
      <c r="BN230" s="37">
        <v>0.0</v>
      </c>
      <c r="BO230" s="37">
        <v>0.0</v>
      </c>
      <c r="BP230" s="37">
        <v>0.0</v>
      </c>
      <c r="BQ230" s="37">
        <v>0.0</v>
      </c>
      <c r="BR230" s="37">
        <v>0.0</v>
      </c>
      <c r="BS230" s="37">
        <v>0.0</v>
      </c>
      <c r="BT230" s="37">
        <v>0.0</v>
      </c>
      <c r="BU230" s="37">
        <v>0.0</v>
      </c>
      <c r="BV230" s="37">
        <v>0.0</v>
      </c>
      <c r="BW230" s="37">
        <v>0.0</v>
      </c>
      <c r="BX230" s="6" t="s">
        <v>35</v>
      </c>
    </row>
    <row r="231" ht="14.25" customHeight="1">
      <c r="A231" s="9"/>
      <c r="B231" s="10" t="s">
        <v>132</v>
      </c>
      <c r="C231" s="9" t="s">
        <v>39</v>
      </c>
      <c r="H231" s="28">
        <f>(+Inputs!J256+Inputs!J257+Inputs!J254)/1000</f>
        <v>-12.523</v>
      </c>
      <c r="I231" s="28">
        <f>(+Inputs!K256+Inputs!K257+Inputs!K254)/1000</f>
        <v>-14.217</v>
      </c>
      <c r="J231" s="28">
        <f>(+Inputs!L256+Inputs!L257+Inputs!L254)/1000</f>
        <v>-10.125</v>
      </c>
      <c r="K231" s="28">
        <f>(+Inputs!M256+Inputs!M257+Inputs!M254)/1000</f>
        <v>-12.738</v>
      </c>
      <c r="L231" s="28">
        <f>(+Inputs!N256+Inputs!N257+Inputs!N254)/1000</f>
        <v>-9.265</v>
      </c>
      <c r="M231" s="28">
        <f>(+Inputs!O256+Inputs!O257+Inputs!O254)/1000</f>
        <v>-50.653</v>
      </c>
      <c r="N231" s="28">
        <f>(+Inputs!P256+Inputs!P257+Inputs!P254)/1000</f>
        <v>-4.912</v>
      </c>
      <c r="O231" s="28">
        <f>(+Inputs!Q256+Inputs!Q257+Inputs!Q254)/1000</f>
        <v>-4.023</v>
      </c>
      <c r="P231" s="28">
        <f>(+Inputs!R256+Inputs!R257+Inputs!R254)/1000</f>
        <v>-15.229</v>
      </c>
      <c r="Q231" s="28">
        <f>(+Inputs!S256+Inputs!S257+Inputs!S254)/1000</f>
        <v>-2.731</v>
      </c>
      <c r="R231" s="28">
        <f>(+Inputs!T256+Inputs!T257+Inputs!T254)/1000</f>
        <v>-6.034</v>
      </c>
      <c r="S231" s="28">
        <f>(+Inputs!U256+Inputs!U257+Inputs!U254)/1000</f>
        <v>-7.897</v>
      </c>
      <c r="T231" s="28">
        <f>(+Inputs!V256+Inputs!V257+Inputs!V254)/1000</f>
        <v>-6.664</v>
      </c>
      <c r="U231" s="28">
        <f>(+Inputs!W256+Inputs!W257+Inputs!W254)/1000</f>
        <v>-6.393</v>
      </c>
      <c r="V231" s="28">
        <f>(+Inputs!X256+Inputs!X257+Inputs!X254)/1000</f>
        <v>-6.393</v>
      </c>
      <c r="W231" s="28">
        <f>(+Inputs!Y256+Inputs!Y257+Inputs!Y254)/1000</f>
        <v>-6.392</v>
      </c>
      <c r="X231" s="28">
        <f>(+Inputs!Z256+Inputs!Z257+Inputs!Z254)/1000</f>
        <v>-6.59</v>
      </c>
      <c r="Y231" s="28">
        <f>(+Inputs!AA256+Inputs!AA257+Inputs!AA254)/1000</f>
        <v>-12.344</v>
      </c>
      <c r="Z231" s="28">
        <f>(+Inputs!AB256+Inputs!AB257+Inputs!AB254)/1000</f>
        <v>-14.72</v>
      </c>
      <c r="AA231" s="28">
        <f>(+Inputs!AC256+Inputs!AC257+Inputs!AC254)/1000</f>
        <v>-11.063</v>
      </c>
      <c r="AB231" s="28">
        <f>(+Inputs!AD256+Inputs!AD257+Inputs!AD254)/1000</f>
        <v>-11.831</v>
      </c>
      <c r="AC231" s="28">
        <f>(+Inputs!AE256+Inputs!AE257+Inputs!AE254)/1000</f>
        <v>-10.463</v>
      </c>
      <c r="AD231" s="28">
        <f>(+Inputs!AF256+Inputs!AF257+Inputs!AF254)/1000</f>
        <v>-6.911</v>
      </c>
      <c r="AE231" s="28">
        <f>(+Inputs!AG256+Inputs!AG257+Inputs!AG254)/1000</f>
        <v>-37.117</v>
      </c>
      <c r="AF231" s="28">
        <f>(+Inputs!AH256+Inputs!AH257+Inputs!AH254)/1000</f>
        <v>-11.486</v>
      </c>
      <c r="AG231" s="28">
        <f>(+Inputs!AI256+Inputs!AI257+Inputs!AI254)/1000</f>
        <v>-19.172</v>
      </c>
      <c r="AH231" s="28">
        <f>(+Inputs!AJ256+Inputs!AJ257+Inputs!AJ254)/1000</f>
        <v>-39.302</v>
      </c>
      <c r="AI231" s="28">
        <f>(+Inputs!AK256+Inputs!AK257+Inputs!AK254)/1000</f>
        <v>-26.227</v>
      </c>
      <c r="AJ231" s="28">
        <f>(+Inputs!AL256+Inputs!AL257+Inputs!AL254)/1000</f>
        <v>-21.789</v>
      </c>
      <c r="AK231" s="28">
        <v>0.0</v>
      </c>
      <c r="AL231" s="28">
        <v>0.0</v>
      </c>
      <c r="AM231" s="28">
        <v>0.0</v>
      </c>
      <c r="AN231" s="28">
        <v>0.0</v>
      </c>
      <c r="AO231" s="28">
        <v>0.0</v>
      </c>
      <c r="AP231" s="28">
        <v>0.0</v>
      </c>
      <c r="AQ231" s="28">
        <v>0.0</v>
      </c>
      <c r="AR231" s="28">
        <v>0.0</v>
      </c>
      <c r="AS231" s="28">
        <v>0.0</v>
      </c>
      <c r="AT231" s="28">
        <v>0.0</v>
      </c>
      <c r="AU231" s="28">
        <v>0.0</v>
      </c>
      <c r="AV231" s="28">
        <v>0.0</v>
      </c>
      <c r="AW231" s="28">
        <v>0.0</v>
      </c>
      <c r="AX231" s="28">
        <v>0.0</v>
      </c>
      <c r="AY231" s="28">
        <v>0.0</v>
      </c>
      <c r="AZ231" s="28">
        <v>0.0</v>
      </c>
      <c r="BA231" s="28">
        <v>0.0</v>
      </c>
      <c r="BB231" s="28">
        <v>0.0</v>
      </c>
      <c r="BC231" s="28">
        <v>0.0</v>
      </c>
      <c r="BD231" s="28">
        <v>0.0</v>
      </c>
      <c r="BE231" s="28">
        <v>0.0</v>
      </c>
      <c r="BF231" s="28">
        <v>0.0</v>
      </c>
      <c r="BG231" s="28">
        <v>0.0</v>
      </c>
      <c r="BH231" s="28">
        <v>0.0</v>
      </c>
      <c r="BI231" s="28">
        <v>0.0</v>
      </c>
      <c r="BJ231" s="28">
        <v>0.0</v>
      </c>
      <c r="BK231" s="28">
        <v>0.0</v>
      </c>
      <c r="BL231" s="28">
        <v>0.0</v>
      </c>
      <c r="BM231" s="28">
        <v>0.0</v>
      </c>
      <c r="BN231" s="28">
        <v>0.0</v>
      </c>
      <c r="BO231" s="28">
        <v>0.0</v>
      </c>
      <c r="BP231" s="28">
        <v>0.0</v>
      </c>
      <c r="BQ231" s="28">
        <v>0.0</v>
      </c>
      <c r="BR231" s="28">
        <v>0.0</v>
      </c>
      <c r="BS231" s="28">
        <v>0.0</v>
      </c>
      <c r="BT231" s="28">
        <v>0.0</v>
      </c>
      <c r="BU231" s="28">
        <v>0.0</v>
      </c>
      <c r="BV231" s="28">
        <v>0.0</v>
      </c>
      <c r="BW231" s="28">
        <v>0.0</v>
      </c>
      <c r="BX231" s="6" t="s">
        <v>35</v>
      </c>
    </row>
    <row r="232" ht="14.25" customHeight="1">
      <c r="A232" s="9"/>
      <c r="B232" s="99" t="s">
        <v>133</v>
      </c>
      <c r="C232" s="78"/>
      <c r="H232" s="26">
        <f t="shared" ref="H232:AJ232" si="472">H233-SUM(H229:H231)</f>
        <v>0.122</v>
      </c>
      <c r="I232" s="26">
        <f t="shared" si="472"/>
        <v>-1.743</v>
      </c>
      <c r="J232" s="26">
        <f t="shared" si="472"/>
        <v>1.833</v>
      </c>
      <c r="K232" s="26">
        <f t="shared" si="472"/>
        <v>0.857</v>
      </c>
      <c r="L232" s="26">
        <f t="shared" si="472"/>
        <v>-2.166</v>
      </c>
      <c r="M232" s="26">
        <f t="shared" si="472"/>
        <v>-6.315</v>
      </c>
      <c r="N232" s="26">
        <f t="shared" si="472"/>
        <v>-0.121</v>
      </c>
      <c r="O232" s="26">
        <f t="shared" si="472"/>
        <v>-0.139</v>
      </c>
      <c r="P232" s="26">
        <f t="shared" si="472"/>
        <v>9.174</v>
      </c>
      <c r="Q232" s="26">
        <f t="shared" si="472"/>
        <v>2.067</v>
      </c>
      <c r="R232" s="26">
        <f t="shared" si="472"/>
        <v>-1.388</v>
      </c>
      <c r="S232" s="26">
        <f t="shared" si="472"/>
        <v>0.337</v>
      </c>
      <c r="T232" s="26">
        <f t="shared" si="472"/>
        <v>0.202</v>
      </c>
      <c r="U232" s="26">
        <f t="shared" si="472"/>
        <v>0.141</v>
      </c>
      <c r="V232" s="26">
        <f t="shared" si="472"/>
        <v>0.517</v>
      </c>
      <c r="W232" s="26">
        <f t="shared" si="472"/>
        <v>0.07</v>
      </c>
      <c r="X232" s="26">
        <f t="shared" si="472"/>
        <v>4.349</v>
      </c>
      <c r="Y232" s="26">
        <f t="shared" si="472"/>
        <v>10.403</v>
      </c>
      <c r="Z232" s="26">
        <f t="shared" si="472"/>
        <v>3.283</v>
      </c>
      <c r="AA232" s="26">
        <f t="shared" si="472"/>
        <v>2.004</v>
      </c>
      <c r="AB232" s="26">
        <f t="shared" si="472"/>
        <v>6.096</v>
      </c>
      <c r="AC232" s="26">
        <f t="shared" si="472"/>
        <v>3.828</v>
      </c>
      <c r="AD232" s="26">
        <f t="shared" si="472"/>
        <v>3.812</v>
      </c>
      <c r="AE232" s="26">
        <f t="shared" si="472"/>
        <v>2.39</v>
      </c>
      <c r="AF232" s="26">
        <f t="shared" si="472"/>
        <v>0.325</v>
      </c>
      <c r="AG232" s="26">
        <f t="shared" si="472"/>
        <v>3.335</v>
      </c>
      <c r="AH232" s="26">
        <f t="shared" si="472"/>
        <v>3.789</v>
      </c>
      <c r="AI232" s="26">
        <f t="shared" si="472"/>
        <v>11.56</v>
      </c>
      <c r="AJ232" s="26">
        <f t="shared" si="472"/>
        <v>5.568</v>
      </c>
      <c r="AK232" s="26">
        <v>0.0</v>
      </c>
      <c r="AL232" s="26">
        <v>0.0</v>
      </c>
      <c r="AM232" s="26">
        <v>0.0</v>
      </c>
      <c r="AN232" s="26">
        <v>0.0</v>
      </c>
      <c r="AO232" s="26">
        <v>0.0</v>
      </c>
      <c r="AP232" s="26">
        <v>0.0</v>
      </c>
      <c r="AQ232" s="26">
        <v>0.0</v>
      </c>
      <c r="AR232" s="26">
        <v>0.0</v>
      </c>
      <c r="AS232" s="26">
        <v>0.0</v>
      </c>
      <c r="AT232" s="26">
        <v>0.0</v>
      </c>
      <c r="AU232" s="26">
        <v>0.0</v>
      </c>
      <c r="AV232" s="26">
        <v>0.0</v>
      </c>
      <c r="AW232" s="26">
        <v>0.0</v>
      </c>
      <c r="AX232" s="26">
        <v>0.0</v>
      </c>
      <c r="AY232" s="26">
        <v>0.0</v>
      </c>
      <c r="AZ232" s="26">
        <v>0.0</v>
      </c>
      <c r="BA232" s="26">
        <v>0.0</v>
      </c>
      <c r="BB232" s="26">
        <v>0.0</v>
      </c>
      <c r="BC232" s="26">
        <v>0.0</v>
      </c>
      <c r="BD232" s="26">
        <v>0.0</v>
      </c>
      <c r="BE232" s="26">
        <v>0.0</v>
      </c>
      <c r="BF232" s="26">
        <v>0.0</v>
      </c>
      <c r="BG232" s="26">
        <v>0.0</v>
      </c>
      <c r="BH232" s="26">
        <v>0.0</v>
      </c>
      <c r="BI232" s="26">
        <v>0.0</v>
      </c>
      <c r="BJ232" s="26">
        <v>0.0</v>
      </c>
      <c r="BK232" s="26">
        <v>0.0</v>
      </c>
      <c r="BL232" s="26">
        <v>0.0</v>
      </c>
      <c r="BM232" s="26">
        <v>0.0</v>
      </c>
      <c r="BN232" s="26">
        <v>0.0</v>
      </c>
      <c r="BO232" s="26">
        <v>0.0</v>
      </c>
      <c r="BP232" s="26">
        <v>0.0</v>
      </c>
      <c r="BQ232" s="26">
        <v>0.0</v>
      </c>
      <c r="BR232" s="26">
        <v>0.0</v>
      </c>
      <c r="BS232" s="26">
        <v>0.0</v>
      </c>
      <c r="BT232" s="26">
        <v>0.0</v>
      </c>
      <c r="BU232" s="26">
        <v>0.0</v>
      </c>
      <c r="BV232" s="26">
        <v>0.0</v>
      </c>
      <c r="BW232" s="26">
        <v>0.0</v>
      </c>
      <c r="BX232" s="6" t="s">
        <v>35</v>
      </c>
    </row>
    <row r="233" ht="14.25" customHeight="1">
      <c r="A233" s="9"/>
      <c r="B233" s="59" t="s">
        <v>134</v>
      </c>
      <c r="C233" s="9" t="s">
        <v>39</v>
      </c>
      <c r="D233" s="102">
        <f t="shared" ref="D233:AJ233" si="473">D106</f>
        <v>12.892</v>
      </c>
      <c r="E233" s="102">
        <f t="shared" si="473"/>
        <v>34.816</v>
      </c>
      <c r="F233" s="102">
        <f t="shared" si="473"/>
        <v>48.589</v>
      </c>
      <c r="G233" s="102">
        <f t="shared" si="473"/>
        <v>65.476</v>
      </c>
      <c r="H233" s="102">
        <f t="shared" si="473"/>
        <v>67.711</v>
      </c>
      <c r="I233" s="102">
        <f t="shared" si="473"/>
        <v>60.742</v>
      </c>
      <c r="J233" s="102">
        <f t="shared" si="473"/>
        <v>62.45</v>
      </c>
      <c r="K233" s="102">
        <f t="shared" si="473"/>
        <v>67.637</v>
      </c>
      <c r="L233" s="102">
        <f t="shared" si="473"/>
        <v>67.101</v>
      </c>
      <c r="M233" s="102">
        <f t="shared" si="473"/>
        <v>83.143</v>
      </c>
      <c r="N233" s="102">
        <f t="shared" si="473"/>
        <v>78.388</v>
      </c>
      <c r="O233" s="102">
        <f t="shared" si="473"/>
        <v>77.811</v>
      </c>
      <c r="P233" s="102">
        <f t="shared" si="473"/>
        <v>71.756</v>
      </c>
      <c r="Q233" s="102">
        <f t="shared" si="473"/>
        <v>71.092</v>
      </c>
      <c r="R233" s="102">
        <f t="shared" si="473"/>
        <v>63.67</v>
      </c>
      <c r="S233" s="102">
        <f t="shared" si="473"/>
        <v>56.11</v>
      </c>
      <c r="T233" s="102">
        <f t="shared" si="473"/>
        <v>49.648</v>
      </c>
      <c r="U233" s="102">
        <f t="shared" si="473"/>
        <v>47.089</v>
      </c>
      <c r="V233" s="102">
        <f t="shared" si="473"/>
        <v>41.213</v>
      </c>
      <c r="W233" s="102">
        <f t="shared" si="473"/>
        <v>60.34</v>
      </c>
      <c r="X233" s="102">
        <f t="shared" si="473"/>
        <v>58.099</v>
      </c>
      <c r="Y233" s="102">
        <f t="shared" si="473"/>
        <v>63.358</v>
      </c>
      <c r="Z233" s="102">
        <f t="shared" si="473"/>
        <v>116.367</v>
      </c>
      <c r="AA233" s="102">
        <f t="shared" si="473"/>
        <v>136.348</v>
      </c>
      <c r="AB233" s="102">
        <f t="shared" si="473"/>
        <v>238.554</v>
      </c>
      <c r="AC233" s="102">
        <f t="shared" si="473"/>
        <v>254.512</v>
      </c>
      <c r="AD233" s="102">
        <f t="shared" si="473"/>
        <v>251.413</v>
      </c>
      <c r="AE233" s="102">
        <f t="shared" si="473"/>
        <v>348.561</v>
      </c>
      <c r="AF233" s="102">
        <f t="shared" si="473"/>
        <v>337.4</v>
      </c>
      <c r="AG233" s="102">
        <f t="shared" si="473"/>
        <v>379.563</v>
      </c>
      <c r="AH233" s="102">
        <f t="shared" si="473"/>
        <v>428.25</v>
      </c>
      <c r="AI233" s="102">
        <f t="shared" si="473"/>
        <v>463.583</v>
      </c>
      <c r="AJ233" s="102">
        <f t="shared" si="473"/>
        <v>647.362</v>
      </c>
      <c r="AK233" s="102">
        <f t="shared" ref="AK233:BW233" si="474">+AK229+AK230+AK231+AK232</f>
        <v>647.362</v>
      </c>
      <c r="AL233" s="102">
        <f t="shared" si="474"/>
        <v>647.362</v>
      </c>
      <c r="AM233" s="102">
        <f t="shared" si="474"/>
        <v>647.362</v>
      </c>
      <c r="AN233" s="102">
        <f t="shared" si="474"/>
        <v>647.362</v>
      </c>
      <c r="AO233" s="102">
        <f t="shared" si="474"/>
        <v>647.362</v>
      </c>
      <c r="AP233" s="102">
        <f t="shared" si="474"/>
        <v>647.362</v>
      </c>
      <c r="AQ233" s="102">
        <f t="shared" si="474"/>
        <v>647.362</v>
      </c>
      <c r="AR233" s="102">
        <f t="shared" si="474"/>
        <v>647.362</v>
      </c>
      <c r="AS233" s="102">
        <f t="shared" si="474"/>
        <v>647.362</v>
      </c>
      <c r="AT233" s="102">
        <f t="shared" si="474"/>
        <v>647.362</v>
      </c>
      <c r="AU233" s="102">
        <f t="shared" si="474"/>
        <v>647.362</v>
      </c>
      <c r="AV233" s="102">
        <f t="shared" si="474"/>
        <v>647.362</v>
      </c>
      <c r="AW233" s="102">
        <f t="shared" si="474"/>
        <v>647.362</v>
      </c>
      <c r="AX233" s="102">
        <f t="shared" si="474"/>
        <v>647.362</v>
      </c>
      <c r="AY233" s="102">
        <f t="shared" si="474"/>
        <v>647.362</v>
      </c>
      <c r="AZ233" s="102">
        <f t="shared" si="474"/>
        <v>647.362</v>
      </c>
      <c r="BA233" s="102">
        <f t="shared" si="474"/>
        <v>647.362</v>
      </c>
      <c r="BB233" s="102">
        <f t="shared" si="474"/>
        <v>647.362</v>
      </c>
      <c r="BC233" s="102">
        <f t="shared" si="474"/>
        <v>647.362</v>
      </c>
      <c r="BD233" s="102">
        <f t="shared" si="474"/>
        <v>647.362</v>
      </c>
      <c r="BE233" s="102">
        <f t="shared" si="474"/>
        <v>647.362</v>
      </c>
      <c r="BF233" s="102">
        <f t="shared" si="474"/>
        <v>647.362</v>
      </c>
      <c r="BG233" s="102">
        <f t="shared" si="474"/>
        <v>647.362</v>
      </c>
      <c r="BH233" s="102">
        <f t="shared" si="474"/>
        <v>647.362</v>
      </c>
      <c r="BI233" s="102">
        <f t="shared" si="474"/>
        <v>647.362</v>
      </c>
      <c r="BJ233" s="102">
        <f t="shared" si="474"/>
        <v>647.362</v>
      </c>
      <c r="BK233" s="102">
        <f t="shared" si="474"/>
        <v>647.362</v>
      </c>
      <c r="BL233" s="102">
        <f t="shared" si="474"/>
        <v>647.362</v>
      </c>
      <c r="BM233" s="102">
        <f t="shared" si="474"/>
        <v>647.362</v>
      </c>
      <c r="BN233" s="102">
        <f t="shared" si="474"/>
        <v>647.362</v>
      </c>
      <c r="BO233" s="102">
        <f t="shared" si="474"/>
        <v>647.362</v>
      </c>
      <c r="BP233" s="102">
        <f t="shared" si="474"/>
        <v>647.362</v>
      </c>
      <c r="BQ233" s="102">
        <f t="shared" si="474"/>
        <v>647.362</v>
      </c>
      <c r="BR233" s="102">
        <f t="shared" si="474"/>
        <v>647.362</v>
      </c>
      <c r="BS233" s="102">
        <f t="shared" si="474"/>
        <v>647.362</v>
      </c>
      <c r="BT233" s="102">
        <f t="shared" si="474"/>
        <v>647.362</v>
      </c>
      <c r="BU233" s="102">
        <f t="shared" si="474"/>
        <v>647.362</v>
      </c>
      <c r="BV233" s="102">
        <f t="shared" si="474"/>
        <v>647.362</v>
      </c>
      <c r="BW233" s="102">
        <f t="shared" si="474"/>
        <v>647.362</v>
      </c>
      <c r="BX233" s="6" t="s">
        <v>35</v>
      </c>
    </row>
    <row r="234" ht="14.25" customHeight="1">
      <c r="A234" s="9"/>
      <c r="B234" s="10"/>
      <c r="C234" s="9"/>
      <c r="BX234" s="6" t="s">
        <v>35</v>
      </c>
    </row>
    <row r="235" ht="14.25" customHeight="1">
      <c r="A235" s="9"/>
      <c r="B235" s="10"/>
      <c r="C235" s="9"/>
      <c r="H235" s="45"/>
      <c r="BX235" s="6" t="s">
        <v>35</v>
      </c>
    </row>
    <row r="236" ht="14.25" customHeight="1">
      <c r="A236" s="9"/>
      <c r="B236" s="99" t="s">
        <v>135</v>
      </c>
      <c r="C236" s="78" t="s">
        <v>42</v>
      </c>
      <c r="H236" s="103"/>
      <c r="AK236" s="104">
        <f t="shared" ref="AK236:AP236" si="475">$AM$237+AK238</f>
        <v>0.172</v>
      </c>
      <c r="AL236" s="104">
        <f t="shared" si="475"/>
        <v>0.172</v>
      </c>
      <c r="AM236" s="104">
        <f t="shared" si="475"/>
        <v>0.172</v>
      </c>
      <c r="AN236" s="104">
        <f t="shared" si="475"/>
        <v>0.172</v>
      </c>
      <c r="AO236" s="104">
        <f t="shared" si="475"/>
        <v>0.172</v>
      </c>
      <c r="AP236" s="104">
        <f t="shared" si="475"/>
        <v>0.172</v>
      </c>
      <c r="AQ236" s="104">
        <f>$AQ$237+AQ238</f>
        <v>0.147</v>
      </c>
      <c r="AR236" s="104">
        <f t="shared" ref="AR236:AT236" si="476">AQ236</f>
        <v>0.147</v>
      </c>
      <c r="AS236" s="104">
        <f t="shared" si="476"/>
        <v>0.147</v>
      </c>
      <c r="AT236" s="104">
        <f t="shared" si="476"/>
        <v>0.147</v>
      </c>
      <c r="AU236" s="104">
        <f>AQ236-(AQ237-AU237)</f>
        <v>0.127</v>
      </c>
      <c r="AV236" s="104">
        <f t="shared" ref="AV236:AX236" si="477">AU236</f>
        <v>0.127</v>
      </c>
      <c r="AW236" s="104">
        <f t="shared" si="477"/>
        <v>0.127</v>
      </c>
      <c r="AX236" s="104">
        <f t="shared" si="477"/>
        <v>0.127</v>
      </c>
      <c r="AY236" s="104">
        <f>AU236-(AU237-AY237)</f>
        <v>0.122</v>
      </c>
      <c r="AZ236" s="104">
        <f t="shared" ref="AZ236:BW236" si="478">AY236</f>
        <v>0.122</v>
      </c>
      <c r="BA236" s="104">
        <f t="shared" si="478"/>
        <v>0.122</v>
      </c>
      <c r="BB236" s="104">
        <f t="shared" si="478"/>
        <v>0.122</v>
      </c>
      <c r="BC236" s="104">
        <f t="shared" si="478"/>
        <v>0.122</v>
      </c>
      <c r="BD236" s="104">
        <f t="shared" si="478"/>
        <v>0.122</v>
      </c>
      <c r="BE236" s="104">
        <f t="shared" si="478"/>
        <v>0.122</v>
      </c>
      <c r="BF236" s="104">
        <f t="shared" si="478"/>
        <v>0.122</v>
      </c>
      <c r="BG236" s="104">
        <f t="shared" si="478"/>
        <v>0.122</v>
      </c>
      <c r="BH236" s="104">
        <f t="shared" si="478"/>
        <v>0.122</v>
      </c>
      <c r="BI236" s="104">
        <f t="shared" si="478"/>
        <v>0.122</v>
      </c>
      <c r="BJ236" s="104">
        <f t="shared" si="478"/>
        <v>0.122</v>
      </c>
      <c r="BK236" s="104">
        <f t="shared" si="478"/>
        <v>0.122</v>
      </c>
      <c r="BL236" s="104">
        <f t="shared" si="478"/>
        <v>0.122</v>
      </c>
      <c r="BM236" s="104">
        <f t="shared" si="478"/>
        <v>0.122</v>
      </c>
      <c r="BN236" s="104">
        <f t="shared" si="478"/>
        <v>0.122</v>
      </c>
      <c r="BO236" s="104">
        <f t="shared" si="478"/>
        <v>0.122</v>
      </c>
      <c r="BP236" s="104">
        <f t="shared" si="478"/>
        <v>0.122</v>
      </c>
      <c r="BQ236" s="104">
        <f t="shared" si="478"/>
        <v>0.122</v>
      </c>
      <c r="BR236" s="104">
        <f t="shared" si="478"/>
        <v>0.122</v>
      </c>
      <c r="BS236" s="104">
        <f t="shared" si="478"/>
        <v>0.122</v>
      </c>
      <c r="BT236" s="104">
        <f t="shared" si="478"/>
        <v>0.122</v>
      </c>
      <c r="BU236" s="104">
        <f t="shared" si="478"/>
        <v>0.122</v>
      </c>
      <c r="BV236" s="104">
        <f t="shared" si="478"/>
        <v>0.122</v>
      </c>
      <c r="BW236" s="104">
        <f t="shared" si="478"/>
        <v>0.122</v>
      </c>
      <c r="BX236" s="6" t="s">
        <v>35</v>
      </c>
    </row>
    <row r="237" ht="14.25" customHeight="1">
      <c r="A237" s="9"/>
      <c r="B237" s="10" t="s">
        <v>136</v>
      </c>
      <c r="C237" s="9" t="s">
        <v>42</v>
      </c>
      <c r="AM237" s="82">
        <f>Macro!BI10</f>
        <v>0.15</v>
      </c>
      <c r="AQ237" s="82">
        <f>Macro!BJ10</f>
        <v>0.125</v>
      </c>
      <c r="AU237" s="82">
        <f>Macro!BK10</f>
        <v>0.105</v>
      </c>
      <c r="AY237" s="82">
        <f>Macro!BL10</f>
        <v>0.1</v>
      </c>
      <c r="AZ237" s="82">
        <f>Macro!BM10</f>
        <v>0.1</v>
      </c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82"/>
      <c r="BR237" s="82"/>
      <c r="BS237" s="82"/>
      <c r="BT237" s="82"/>
      <c r="BU237" s="82"/>
      <c r="BV237" s="82"/>
      <c r="BW237" s="82"/>
      <c r="BX237" s="6" t="s">
        <v>35</v>
      </c>
    </row>
    <row r="238" ht="14.25" customHeight="1">
      <c r="A238" s="9"/>
      <c r="B238" s="10" t="s">
        <v>137</v>
      </c>
      <c r="C238" s="9" t="s">
        <v>42</v>
      </c>
      <c r="AK238" s="82">
        <v>0.022</v>
      </c>
      <c r="AL238" s="82">
        <v>0.022</v>
      </c>
      <c r="AM238" s="82">
        <v>0.022</v>
      </c>
      <c r="AN238" s="82">
        <v>0.022</v>
      </c>
      <c r="AO238" s="82">
        <v>0.022</v>
      </c>
      <c r="AP238" s="82">
        <v>0.022</v>
      </c>
      <c r="AQ238" s="82">
        <v>0.022</v>
      </c>
      <c r="AR238" s="82">
        <v>0.022</v>
      </c>
      <c r="AS238" s="82">
        <v>0.022</v>
      </c>
      <c r="AT238" s="82">
        <v>0.022</v>
      </c>
      <c r="AU238" s="82">
        <v>0.022</v>
      </c>
      <c r="AV238" s="82">
        <v>0.022</v>
      </c>
      <c r="AW238" s="82">
        <v>0.022</v>
      </c>
      <c r="AX238" s="82">
        <v>0.022</v>
      </c>
      <c r="AY238" s="82">
        <v>0.022</v>
      </c>
      <c r="AZ238" s="82">
        <v>0.022</v>
      </c>
      <c r="BA238" s="82">
        <v>0.022</v>
      </c>
      <c r="BB238" s="82">
        <v>0.022</v>
      </c>
      <c r="BC238" s="82">
        <v>0.022</v>
      </c>
      <c r="BD238" s="82">
        <v>0.022</v>
      </c>
      <c r="BE238" s="82">
        <v>0.022</v>
      </c>
      <c r="BF238" s="82">
        <v>0.022</v>
      </c>
      <c r="BG238" s="82">
        <v>0.022</v>
      </c>
      <c r="BH238" s="82">
        <v>0.022</v>
      </c>
      <c r="BI238" s="82">
        <v>0.022</v>
      </c>
      <c r="BJ238" s="82">
        <v>0.022</v>
      </c>
      <c r="BK238" s="82">
        <v>0.022</v>
      </c>
      <c r="BL238" s="82">
        <v>0.022</v>
      </c>
      <c r="BM238" s="82">
        <v>0.022</v>
      </c>
      <c r="BN238" s="82">
        <v>0.022</v>
      </c>
      <c r="BO238" s="82">
        <v>0.022</v>
      </c>
      <c r="BP238" s="82">
        <v>0.022</v>
      </c>
      <c r="BQ238" s="82">
        <v>0.022</v>
      </c>
      <c r="BR238" s="82">
        <v>0.022</v>
      </c>
      <c r="BS238" s="82">
        <v>0.022</v>
      </c>
      <c r="BT238" s="82">
        <v>0.022</v>
      </c>
      <c r="BU238" s="82">
        <v>0.022</v>
      </c>
      <c r="BV238" s="82">
        <v>0.022</v>
      </c>
      <c r="BW238" s="82">
        <v>0.022</v>
      </c>
      <c r="BX238" s="6" t="s">
        <v>35</v>
      </c>
    </row>
    <row r="239" ht="14.25" customHeight="1">
      <c r="A239" s="9"/>
      <c r="B239" s="10"/>
      <c r="C239" s="9"/>
      <c r="BX239" s="6" t="s">
        <v>35</v>
      </c>
    </row>
    <row r="240" ht="14.25" customHeight="1">
      <c r="A240" s="9"/>
      <c r="B240" s="105" t="s">
        <v>53</v>
      </c>
      <c r="C240" s="90" t="s">
        <v>39</v>
      </c>
      <c r="D240" s="106">
        <f t="shared" ref="D240:AJ240" si="479">D36</f>
        <v>-1.412</v>
      </c>
      <c r="E240" s="106">
        <f t="shared" si="479"/>
        <v>-1.952</v>
      </c>
      <c r="F240" s="106">
        <f t="shared" si="479"/>
        <v>-3.282</v>
      </c>
      <c r="G240" s="106">
        <f t="shared" si="479"/>
        <v>-1.872</v>
      </c>
      <c r="H240" s="106">
        <f t="shared" si="479"/>
        <v>-3.323</v>
      </c>
      <c r="I240" s="106">
        <f t="shared" si="479"/>
        <v>-4.385</v>
      </c>
      <c r="J240" s="106">
        <f t="shared" si="479"/>
        <v>-4.672</v>
      </c>
      <c r="K240" s="106">
        <f t="shared" si="479"/>
        <v>-3.082</v>
      </c>
      <c r="L240" s="106">
        <f t="shared" si="479"/>
        <v>-4.069</v>
      </c>
      <c r="M240" s="106">
        <f t="shared" si="479"/>
        <v>-4.656</v>
      </c>
      <c r="N240" s="106">
        <f t="shared" si="479"/>
        <v>-4.742</v>
      </c>
      <c r="O240" s="106">
        <f t="shared" si="479"/>
        <v>-4.583</v>
      </c>
      <c r="P240" s="106">
        <f t="shared" si="479"/>
        <v>-4.511</v>
      </c>
      <c r="Q240" s="106">
        <f t="shared" si="479"/>
        <v>-3.816</v>
      </c>
      <c r="R240" s="106">
        <f t="shared" si="479"/>
        <v>-1.12</v>
      </c>
      <c r="S240" s="106">
        <f t="shared" si="479"/>
        <v>-1.963</v>
      </c>
      <c r="T240" s="106">
        <f t="shared" si="479"/>
        <v>-1.858</v>
      </c>
      <c r="U240" s="106">
        <f t="shared" si="479"/>
        <v>-1.682</v>
      </c>
      <c r="V240" s="106">
        <f t="shared" si="479"/>
        <v>-2.211</v>
      </c>
      <c r="W240" s="106">
        <f t="shared" si="479"/>
        <v>-2.773</v>
      </c>
      <c r="X240" s="106">
        <f t="shared" si="479"/>
        <v>-3.462</v>
      </c>
      <c r="Y240" s="106">
        <f t="shared" si="479"/>
        <v>-5.61</v>
      </c>
      <c r="Z240" s="106">
        <f t="shared" si="479"/>
        <v>-9.335</v>
      </c>
      <c r="AA240" s="106">
        <f t="shared" si="479"/>
        <v>-11.636</v>
      </c>
      <c r="AB240" s="106">
        <f t="shared" si="479"/>
        <v>-11.808</v>
      </c>
      <c r="AC240" s="106">
        <f t="shared" si="479"/>
        <v>-12.665</v>
      </c>
      <c r="AD240" s="106">
        <f t="shared" si="479"/>
        <v>-14.799</v>
      </c>
      <c r="AE240" s="106">
        <f t="shared" si="479"/>
        <v>-19.759</v>
      </c>
      <c r="AF240" s="106">
        <f t="shared" si="479"/>
        <v>-15.792</v>
      </c>
      <c r="AG240" s="106">
        <f t="shared" si="479"/>
        <v>-14.869</v>
      </c>
      <c r="AH240" s="106">
        <f t="shared" si="479"/>
        <v>-22.078</v>
      </c>
      <c r="AI240" s="106">
        <f t="shared" si="479"/>
        <v>-22.717</v>
      </c>
      <c r="AJ240" s="106">
        <f t="shared" si="479"/>
        <v>-23.776</v>
      </c>
      <c r="AK240" s="106">
        <f t="shared" ref="AK240:BW240" si="480">-AK229*(AK236/4)</f>
        <v>-27.836566</v>
      </c>
      <c r="AL240" s="106">
        <f t="shared" si="480"/>
        <v>-27.836566</v>
      </c>
      <c r="AM240" s="106">
        <f t="shared" si="480"/>
        <v>-27.836566</v>
      </c>
      <c r="AN240" s="106">
        <f t="shared" si="480"/>
        <v>-27.836566</v>
      </c>
      <c r="AO240" s="106">
        <f t="shared" si="480"/>
        <v>-27.836566</v>
      </c>
      <c r="AP240" s="106">
        <f t="shared" si="480"/>
        <v>-27.836566</v>
      </c>
      <c r="AQ240" s="106">
        <f t="shared" si="480"/>
        <v>-23.7905535</v>
      </c>
      <c r="AR240" s="106">
        <f t="shared" si="480"/>
        <v>-23.7905535</v>
      </c>
      <c r="AS240" s="106">
        <f t="shared" si="480"/>
        <v>-23.7905535</v>
      </c>
      <c r="AT240" s="106">
        <f t="shared" si="480"/>
        <v>-23.7905535</v>
      </c>
      <c r="AU240" s="106">
        <f t="shared" si="480"/>
        <v>-20.5537435</v>
      </c>
      <c r="AV240" s="106">
        <f t="shared" si="480"/>
        <v>-20.5537435</v>
      </c>
      <c r="AW240" s="106">
        <f t="shared" si="480"/>
        <v>-20.5537435</v>
      </c>
      <c r="AX240" s="106">
        <f t="shared" si="480"/>
        <v>-20.5537435</v>
      </c>
      <c r="AY240" s="106">
        <f t="shared" si="480"/>
        <v>-19.744541</v>
      </c>
      <c r="AZ240" s="106">
        <f t="shared" si="480"/>
        <v>-19.744541</v>
      </c>
      <c r="BA240" s="106">
        <f t="shared" si="480"/>
        <v>-19.744541</v>
      </c>
      <c r="BB240" s="106">
        <f t="shared" si="480"/>
        <v>-19.744541</v>
      </c>
      <c r="BC240" s="106">
        <f t="shared" si="480"/>
        <v>-19.744541</v>
      </c>
      <c r="BD240" s="106">
        <f t="shared" si="480"/>
        <v>-19.744541</v>
      </c>
      <c r="BE240" s="106">
        <f t="shared" si="480"/>
        <v>-19.744541</v>
      </c>
      <c r="BF240" s="106">
        <f t="shared" si="480"/>
        <v>-19.744541</v>
      </c>
      <c r="BG240" s="106">
        <f t="shared" si="480"/>
        <v>-19.744541</v>
      </c>
      <c r="BH240" s="106">
        <f t="shared" si="480"/>
        <v>-19.744541</v>
      </c>
      <c r="BI240" s="106">
        <f t="shared" si="480"/>
        <v>-19.744541</v>
      </c>
      <c r="BJ240" s="106">
        <f t="shared" si="480"/>
        <v>-19.744541</v>
      </c>
      <c r="BK240" s="106">
        <f t="shared" si="480"/>
        <v>-19.744541</v>
      </c>
      <c r="BL240" s="106">
        <f t="shared" si="480"/>
        <v>-19.744541</v>
      </c>
      <c r="BM240" s="106">
        <f t="shared" si="480"/>
        <v>-19.744541</v>
      </c>
      <c r="BN240" s="106">
        <f t="shared" si="480"/>
        <v>-19.744541</v>
      </c>
      <c r="BO240" s="106">
        <f t="shared" si="480"/>
        <v>-19.744541</v>
      </c>
      <c r="BP240" s="106">
        <f t="shared" si="480"/>
        <v>-19.744541</v>
      </c>
      <c r="BQ240" s="106">
        <f t="shared" si="480"/>
        <v>-19.744541</v>
      </c>
      <c r="BR240" s="106">
        <f t="shared" si="480"/>
        <v>-19.744541</v>
      </c>
      <c r="BS240" s="106">
        <f t="shared" si="480"/>
        <v>-19.744541</v>
      </c>
      <c r="BT240" s="106">
        <f t="shared" si="480"/>
        <v>-19.744541</v>
      </c>
      <c r="BU240" s="106">
        <f t="shared" si="480"/>
        <v>-19.744541</v>
      </c>
      <c r="BV240" s="106">
        <f t="shared" si="480"/>
        <v>-19.744541</v>
      </c>
      <c r="BW240" s="106">
        <f t="shared" si="480"/>
        <v>-19.744541</v>
      </c>
      <c r="BX240" s="6" t="s">
        <v>35</v>
      </c>
      <c r="BY240" s="107">
        <f>SUM(D240:G240)</f>
        <v>-8.518</v>
      </c>
      <c r="BZ240" s="107">
        <f>SUM(H240:K240)</f>
        <v>-15.462</v>
      </c>
      <c r="CA240" s="107">
        <f>SUM(L240:O240)</f>
        <v>-18.05</v>
      </c>
      <c r="CB240" s="107">
        <f>SUM(P240:S240)</f>
        <v>-11.41</v>
      </c>
      <c r="CC240" s="107">
        <f>SUM(T240:W240)</f>
        <v>-8.524</v>
      </c>
      <c r="CD240" s="107">
        <f>SUM(X240:AA240)</f>
        <v>-30.043</v>
      </c>
      <c r="CE240" s="107">
        <f>SUM(AB240:AE240)</f>
        <v>-59.031</v>
      </c>
      <c r="CF240" s="107">
        <f>SUM(AF240:AI240)</f>
        <v>-75.456</v>
      </c>
      <c r="CG240" s="107">
        <f>SUM(AJ240:AM240)</f>
        <v>-107.285698</v>
      </c>
      <c r="CH240" s="107">
        <f>SUM(AN240:AQ240)</f>
        <v>-107.3002515</v>
      </c>
      <c r="CI240" s="107">
        <f>SUM(AR240:AU240)</f>
        <v>-91.925404</v>
      </c>
      <c r="CJ240" s="107">
        <f>SUM(AV240:AY240)</f>
        <v>-81.4057715</v>
      </c>
      <c r="CK240" s="107">
        <f>SUM(AZ240:BC240)</f>
        <v>-78.978164</v>
      </c>
      <c r="CL240" s="107">
        <f>SUM(BD240:BG240)</f>
        <v>-78.978164</v>
      </c>
      <c r="CM240" s="107">
        <f>SUM(BH240:BK240)</f>
        <v>-78.978164</v>
      </c>
      <c r="CN240" s="107">
        <f>SUM(BL240:BO240)</f>
        <v>-78.978164</v>
      </c>
      <c r="CO240" s="107">
        <f>SUM(BP240:BS240)</f>
        <v>-78.978164</v>
      </c>
      <c r="CP240" s="107">
        <f>SUM(BT240:BW240)</f>
        <v>-78.978164</v>
      </c>
    </row>
    <row r="241" ht="14.25" customHeight="1">
      <c r="A241" s="9"/>
      <c r="B241" s="10"/>
      <c r="C241" s="9"/>
      <c r="BX241" s="6" t="s">
        <v>35</v>
      </c>
    </row>
    <row r="242" ht="14.25" customHeight="1">
      <c r="A242" s="9"/>
      <c r="B242" s="10"/>
      <c r="C242" s="9"/>
      <c r="BX242" s="6" t="s">
        <v>35</v>
      </c>
    </row>
    <row r="243" ht="14.25" customHeight="1">
      <c r="A243" s="9"/>
      <c r="B243" s="73" t="s">
        <v>52</v>
      </c>
      <c r="C243" s="90" t="s">
        <v>39</v>
      </c>
      <c r="D243" s="75">
        <f t="shared" ref="D243:AJ243" si="481">D35</f>
        <v>0.544</v>
      </c>
      <c r="E243" s="75">
        <f t="shared" si="481"/>
        <v>0.555</v>
      </c>
      <c r="F243" s="75">
        <f t="shared" si="481"/>
        <v>0.776</v>
      </c>
      <c r="G243" s="75">
        <f t="shared" si="481"/>
        <v>0.508</v>
      </c>
      <c r="H243" s="75">
        <f t="shared" si="481"/>
        <v>0.895</v>
      </c>
      <c r="I243" s="75">
        <f t="shared" si="481"/>
        <v>1.644</v>
      </c>
      <c r="J243" s="75">
        <f t="shared" si="481"/>
        <v>2.601</v>
      </c>
      <c r="K243" s="75">
        <f t="shared" si="481"/>
        <v>1.191</v>
      </c>
      <c r="L243" s="75">
        <f t="shared" si="481"/>
        <v>1.566</v>
      </c>
      <c r="M243" s="75">
        <f t="shared" si="481"/>
        <v>0.693</v>
      </c>
      <c r="N243" s="75">
        <f t="shared" si="481"/>
        <v>1.089</v>
      </c>
      <c r="O243" s="75">
        <f t="shared" si="481"/>
        <v>1.117</v>
      </c>
      <c r="P243" s="75">
        <f t="shared" si="481"/>
        <v>1.939</v>
      </c>
      <c r="Q243" s="75">
        <f t="shared" si="481"/>
        <v>2.932</v>
      </c>
      <c r="R243" s="75">
        <f t="shared" si="481"/>
        <v>-0.12</v>
      </c>
      <c r="S243" s="75">
        <f t="shared" si="481"/>
        <v>0.149</v>
      </c>
      <c r="T243" s="75">
        <f t="shared" si="481"/>
        <v>0.997</v>
      </c>
      <c r="U243" s="75">
        <f t="shared" si="481"/>
        <v>1.126</v>
      </c>
      <c r="V243" s="75">
        <f t="shared" si="481"/>
        <v>0.853</v>
      </c>
      <c r="W243" s="75">
        <f t="shared" si="481"/>
        <v>1.235</v>
      </c>
      <c r="X243" s="75">
        <f t="shared" si="481"/>
        <v>2.039</v>
      </c>
      <c r="Y243" s="75">
        <f t="shared" si="481"/>
        <v>1.808</v>
      </c>
      <c r="Z243" s="75">
        <f t="shared" si="481"/>
        <v>2.867</v>
      </c>
      <c r="AA243" s="75">
        <f t="shared" si="481"/>
        <v>3.051</v>
      </c>
      <c r="AB243" s="75">
        <f t="shared" si="481"/>
        <v>4.301</v>
      </c>
      <c r="AC243" s="75">
        <f t="shared" si="481"/>
        <v>3.404</v>
      </c>
      <c r="AD243" s="75">
        <f t="shared" si="481"/>
        <v>2.376</v>
      </c>
      <c r="AE243" s="75">
        <f t="shared" si="481"/>
        <v>3.962</v>
      </c>
      <c r="AF243" s="75">
        <f t="shared" si="481"/>
        <v>4.503</v>
      </c>
      <c r="AG243" s="75">
        <f t="shared" si="481"/>
        <v>4.554</v>
      </c>
      <c r="AH243" s="75">
        <f t="shared" si="481"/>
        <v>6.423</v>
      </c>
      <c r="AI243" s="75">
        <f t="shared" si="481"/>
        <v>7.896</v>
      </c>
      <c r="AJ243" s="75">
        <f t="shared" si="481"/>
        <v>7.978</v>
      </c>
      <c r="AK243" s="75">
        <f t="shared" ref="AK243:BW243" si="482">AJ244*AJ245</f>
        <v>7.978</v>
      </c>
      <c r="AL243" s="75">
        <f t="shared" si="482"/>
        <v>13.5172875</v>
      </c>
      <c r="AM243" s="75">
        <f t="shared" si="482"/>
        <v>16.64164325</v>
      </c>
      <c r="AN243" s="75">
        <f t="shared" si="482"/>
        <v>17.49202057</v>
      </c>
      <c r="AO243" s="75">
        <f t="shared" si="482"/>
        <v>14.10463673</v>
      </c>
      <c r="AP243" s="75">
        <f t="shared" si="482"/>
        <v>11.3451836</v>
      </c>
      <c r="AQ243" s="75">
        <f t="shared" si="482"/>
        <v>14.3033831</v>
      </c>
      <c r="AR243" s="75">
        <f t="shared" si="482"/>
        <v>15.37431596</v>
      </c>
      <c r="AS243" s="75">
        <f t="shared" si="482"/>
        <v>12.74321784</v>
      </c>
      <c r="AT243" s="75">
        <f t="shared" si="482"/>
        <v>10.00205144</v>
      </c>
      <c r="AU243" s="75">
        <f t="shared" si="482"/>
        <v>12.84287918</v>
      </c>
      <c r="AV243" s="75">
        <f t="shared" si="482"/>
        <v>13.93278492</v>
      </c>
      <c r="AW243" s="75">
        <f t="shared" si="482"/>
        <v>13.15508298</v>
      </c>
      <c r="AX243" s="75">
        <f t="shared" si="482"/>
        <v>10.3492782</v>
      </c>
      <c r="AY243" s="75">
        <f t="shared" si="482"/>
        <v>13.37328006</v>
      </c>
      <c r="AZ243" s="75">
        <f t="shared" si="482"/>
        <v>14.58265163</v>
      </c>
      <c r="BA243" s="75">
        <f t="shared" si="482"/>
        <v>14.50137818</v>
      </c>
      <c r="BB243" s="75">
        <f t="shared" si="482"/>
        <v>11.4446824</v>
      </c>
      <c r="BC243" s="75">
        <f t="shared" si="482"/>
        <v>14.76792433</v>
      </c>
      <c r="BD243" s="75">
        <f t="shared" si="482"/>
        <v>16.10805845</v>
      </c>
      <c r="BE243" s="75">
        <f t="shared" si="482"/>
        <v>16.02779811</v>
      </c>
      <c r="BF243" s="75">
        <f t="shared" si="482"/>
        <v>12.69778123</v>
      </c>
      <c r="BG243" s="75">
        <f t="shared" si="482"/>
        <v>16.33965149</v>
      </c>
      <c r="BH243" s="75">
        <f t="shared" si="482"/>
        <v>17.81520946</v>
      </c>
      <c r="BI243" s="75">
        <f t="shared" si="482"/>
        <v>17.73929136</v>
      </c>
      <c r="BJ243" s="75">
        <f t="shared" si="482"/>
        <v>14.11310514</v>
      </c>
      <c r="BK243" s="75">
        <f t="shared" si="482"/>
        <v>18.10521003</v>
      </c>
      <c r="BL243" s="75">
        <f t="shared" si="482"/>
        <v>19.73105566</v>
      </c>
      <c r="BM243" s="75">
        <f t="shared" si="482"/>
        <v>19.66238317</v>
      </c>
      <c r="BN243" s="75">
        <f t="shared" si="482"/>
        <v>15.71517087</v>
      </c>
      <c r="BO243" s="75">
        <f t="shared" si="482"/>
        <v>20.09251482</v>
      </c>
      <c r="BP243" s="75">
        <f t="shared" si="482"/>
        <v>21.88496498</v>
      </c>
      <c r="BQ243" s="75">
        <f t="shared" si="482"/>
        <v>21.82650231</v>
      </c>
      <c r="BR243" s="75">
        <f t="shared" si="482"/>
        <v>17.71194372</v>
      </c>
      <c r="BS243" s="75">
        <f t="shared" si="482"/>
        <v>22.6867926</v>
      </c>
      <c r="BT243" s="75">
        <f t="shared" si="482"/>
        <v>24.84132253</v>
      </c>
      <c r="BU243" s="75">
        <f t="shared" si="482"/>
        <v>24.99448678</v>
      </c>
      <c r="BV243" s="75">
        <f t="shared" si="482"/>
        <v>20.5005917</v>
      </c>
      <c r="BW243" s="75">
        <f t="shared" si="482"/>
        <v>25.94202732</v>
      </c>
      <c r="BX243" s="6" t="s">
        <v>35</v>
      </c>
      <c r="BY243" s="34">
        <f>SUM(D243:G243)</f>
        <v>2.383</v>
      </c>
      <c r="BZ243" s="34">
        <f>SUM(H243:K243)</f>
        <v>6.331</v>
      </c>
      <c r="CA243" s="34">
        <f>SUM(L243:O243)</f>
        <v>4.465</v>
      </c>
      <c r="CB243" s="34">
        <f>SUM(P243:S243)</f>
        <v>4.9</v>
      </c>
      <c r="CC243" s="34">
        <f>SUM(T243:W243)</f>
        <v>4.211</v>
      </c>
      <c r="CD243" s="34">
        <f>SUM(X243:AA243)</f>
        <v>9.765</v>
      </c>
      <c r="CE243" s="34">
        <f>SUM(AB243:AE243)</f>
        <v>14.043</v>
      </c>
      <c r="CF243" s="34">
        <f>SUM(AF243:AI243)</f>
        <v>23.376</v>
      </c>
      <c r="CG243" s="34">
        <f>SUM(AJ243:AM243)</f>
        <v>46.11493075</v>
      </c>
      <c r="CH243" s="34">
        <f>SUM(AN243:AQ243)</f>
        <v>57.24522399</v>
      </c>
      <c r="CI243" s="34">
        <f>SUM(AR243:AU243)</f>
        <v>50.96246443</v>
      </c>
      <c r="CJ243" s="34">
        <f>SUM(AV243:AY243)</f>
        <v>50.81042616</v>
      </c>
      <c r="CK243" s="34">
        <f>SUM(AZ243:BC243)</f>
        <v>55.29663654</v>
      </c>
      <c r="CL243" s="34">
        <f>SUM(BD243:BG243)</f>
        <v>61.17328927</v>
      </c>
      <c r="CM243" s="34">
        <f>SUM(BH243:BK243)</f>
        <v>67.77281599</v>
      </c>
      <c r="CN243" s="34">
        <f>SUM(BL243:BO243)</f>
        <v>75.20112452</v>
      </c>
      <c r="CO243" s="34">
        <f>SUM(BP243:BS243)</f>
        <v>84.11020362</v>
      </c>
      <c r="CP243" s="34">
        <f>SUM(BT243:BW243)</f>
        <v>96.27842834</v>
      </c>
    </row>
    <row r="244" ht="14.25" customHeight="1">
      <c r="A244" s="9"/>
      <c r="B244" s="10" t="s">
        <v>138</v>
      </c>
      <c r="C244" s="9" t="s">
        <v>39</v>
      </c>
      <c r="D244" s="37" t="str">
        <f t="shared" ref="D244:BW244" si="483">C107</f>
        <v/>
      </c>
      <c r="E244" s="37">
        <f t="shared" si="483"/>
        <v>9.843</v>
      </c>
      <c r="F244" s="37">
        <f t="shared" si="483"/>
        <v>36.073</v>
      </c>
      <c r="G244" s="37">
        <f t="shared" si="483"/>
        <v>4.845</v>
      </c>
      <c r="H244" s="37">
        <f t="shared" si="483"/>
        <v>2.508</v>
      </c>
      <c r="I244" s="37">
        <f t="shared" si="483"/>
        <v>2.408</v>
      </c>
      <c r="J244" s="37">
        <f t="shared" si="483"/>
        <v>5.296</v>
      </c>
      <c r="K244" s="37">
        <f t="shared" si="483"/>
        <v>5.107</v>
      </c>
      <c r="L244" s="37">
        <f t="shared" si="483"/>
        <v>3.428</v>
      </c>
      <c r="M244" s="37">
        <f t="shared" si="483"/>
        <v>5.104</v>
      </c>
      <c r="N244" s="37">
        <f t="shared" si="483"/>
        <v>26.91</v>
      </c>
      <c r="O244" s="37">
        <f t="shared" si="483"/>
        <v>26.669</v>
      </c>
      <c r="P244" s="37">
        <f t="shared" si="483"/>
        <v>44.528</v>
      </c>
      <c r="Q244" s="37">
        <f t="shared" si="483"/>
        <v>147.452</v>
      </c>
      <c r="R244" s="37">
        <f t="shared" si="483"/>
        <v>149.107</v>
      </c>
      <c r="S244" s="37">
        <f t="shared" si="483"/>
        <v>135.441</v>
      </c>
      <c r="T244" s="37">
        <f t="shared" si="483"/>
        <v>110.422</v>
      </c>
      <c r="U244" s="37">
        <f t="shared" si="483"/>
        <v>78.564</v>
      </c>
      <c r="V244" s="37">
        <f t="shared" si="483"/>
        <v>70.557</v>
      </c>
      <c r="W244" s="37">
        <f t="shared" si="483"/>
        <v>71.11</v>
      </c>
      <c r="X244" s="37">
        <f t="shared" si="483"/>
        <v>76.649</v>
      </c>
      <c r="Y244" s="37">
        <f t="shared" si="483"/>
        <v>66.407</v>
      </c>
      <c r="Z244" s="37">
        <f t="shared" si="483"/>
        <v>57.448</v>
      </c>
      <c r="AA244" s="37">
        <f t="shared" si="483"/>
        <v>104.02</v>
      </c>
      <c r="AB244" s="37">
        <f t="shared" si="483"/>
        <v>115.887</v>
      </c>
      <c r="AC244" s="37">
        <f t="shared" si="483"/>
        <v>191.237</v>
      </c>
      <c r="AD244" s="37">
        <f t="shared" si="483"/>
        <v>78.864</v>
      </c>
      <c r="AE244" s="37">
        <f t="shared" si="483"/>
        <v>93.009</v>
      </c>
      <c r="AF244" s="37">
        <f t="shared" si="483"/>
        <v>136.902</v>
      </c>
      <c r="AG244" s="37">
        <f t="shared" si="483"/>
        <v>185.841</v>
      </c>
      <c r="AH244" s="37">
        <f t="shared" si="483"/>
        <v>191.546</v>
      </c>
      <c r="AI244" s="37">
        <f t="shared" si="483"/>
        <v>193.115</v>
      </c>
      <c r="AJ244" s="37">
        <f t="shared" si="483"/>
        <v>243.739</v>
      </c>
      <c r="AK244" s="37">
        <f t="shared" si="483"/>
        <v>360.461</v>
      </c>
      <c r="AL244" s="37">
        <f t="shared" si="483"/>
        <v>443.7771534</v>
      </c>
      <c r="AM244" s="37">
        <f t="shared" si="483"/>
        <v>466.4538818</v>
      </c>
      <c r="AN244" s="37">
        <f t="shared" si="483"/>
        <v>451.3483753</v>
      </c>
      <c r="AO244" s="37">
        <f t="shared" si="483"/>
        <v>363.045875</v>
      </c>
      <c r="AP244" s="37">
        <f t="shared" si="483"/>
        <v>457.7082591</v>
      </c>
      <c r="AQ244" s="37">
        <f t="shared" si="483"/>
        <v>491.9781107</v>
      </c>
      <c r="AR244" s="37">
        <f t="shared" si="483"/>
        <v>485.4559179</v>
      </c>
      <c r="AS244" s="37">
        <f t="shared" si="483"/>
        <v>381.0305312</v>
      </c>
      <c r="AT244" s="37">
        <f t="shared" si="483"/>
        <v>489.2525403</v>
      </c>
      <c r="AU244" s="37">
        <f t="shared" si="483"/>
        <v>530.7727589</v>
      </c>
      <c r="AV244" s="37">
        <f t="shared" si="483"/>
        <v>526.2033191</v>
      </c>
      <c r="AW244" s="37">
        <f t="shared" si="483"/>
        <v>413.9711281</v>
      </c>
      <c r="AX244" s="37">
        <f t="shared" si="483"/>
        <v>534.9312023</v>
      </c>
      <c r="AY244" s="37">
        <f t="shared" si="483"/>
        <v>583.3060654</v>
      </c>
      <c r="AZ244" s="37">
        <f t="shared" si="483"/>
        <v>580.0551272</v>
      </c>
      <c r="BA244" s="37">
        <f t="shared" si="483"/>
        <v>457.7872958</v>
      </c>
      <c r="BB244" s="37">
        <f t="shared" si="483"/>
        <v>590.716973</v>
      </c>
      <c r="BC244" s="37">
        <f t="shared" si="483"/>
        <v>644.3223378</v>
      </c>
      <c r="BD244" s="37">
        <f t="shared" si="483"/>
        <v>641.1119243</v>
      </c>
      <c r="BE244" s="37">
        <f t="shared" si="483"/>
        <v>507.9112491</v>
      </c>
      <c r="BF244" s="37">
        <f t="shared" si="483"/>
        <v>653.5860597</v>
      </c>
      <c r="BG244" s="37">
        <f t="shared" si="483"/>
        <v>712.6083785</v>
      </c>
      <c r="BH244" s="37">
        <f t="shared" si="483"/>
        <v>709.5716544</v>
      </c>
      <c r="BI244" s="37">
        <f t="shared" si="483"/>
        <v>564.5242057</v>
      </c>
      <c r="BJ244" s="37">
        <f t="shared" si="483"/>
        <v>724.2084011</v>
      </c>
      <c r="BK244" s="37">
        <f t="shared" si="483"/>
        <v>789.2422262</v>
      </c>
      <c r="BL244" s="37">
        <f t="shared" si="483"/>
        <v>786.4953269</v>
      </c>
      <c r="BM244" s="37">
        <f t="shared" si="483"/>
        <v>628.6068346</v>
      </c>
      <c r="BN244" s="37">
        <f t="shared" si="483"/>
        <v>803.7005929</v>
      </c>
      <c r="BO244" s="37">
        <f t="shared" si="483"/>
        <v>875.3985992</v>
      </c>
      <c r="BP244" s="37">
        <f t="shared" si="483"/>
        <v>873.0600926</v>
      </c>
      <c r="BQ244" s="37">
        <f t="shared" si="483"/>
        <v>708.4777488</v>
      </c>
      <c r="BR244" s="37">
        <f t="shared" si="483"/>
        <v>907.471704</v>
      </c>
      <c r="BS244" s="37">
        <f t="shared" si="483"/>
        <v>993.6529013</v>
      </c>
      <c r="BT244" s="37">
        <f t="shared" si="483"/>
        <v>999.7794711</v>
      </c>
      <c r="BU244" s="37">
        <f t="shared" si="483"/>
        <v>820.0236682</v>
      </c>
      <c r="BV244" s="37">
        <f t="shared" si="483"/>
        <v>1037.681093</v>
      </c>
      <c r="BW244" s="37">
        <f t="shared" si="483"/>
        <v>1132.120483</v>
      </c>
      <c r="BX244" s="6" t="s">
        <v>35</v>
      </c>
      <c r="BZ244" s="37">
        <f t="shared" ref="BZ244:CE244" si="484">BY107</f>
        <v>2.508</v>
      </c>
      <c r="CA244" s="37">
        <f t="shared" si="484"/>
        <v>3.428</v>
      </c>
      <c r="CB244" s="37">
        <f t="shared" si="484"/>
        <v>44.528</v>
      </c>
      <c r="CC244" s="37">
        <f t="shared" si="484"/>
        <v>110.422</v>
      </c>
      <c r="CD244" s="37">
        <f t="shared" si="484"/>
        <v>76.649</v>
      </c>
      <c r="CE244" s="37">
        <f t="shared" si="484"/>
        <v>115.887</v>
      </c>
      <c r="CF244" s="108">
        <f>CE244*CF245^1/2</f>
        <v>6.64611945</v>
      </c>
    </row>
    <row r="245" ht="14.25" customHeight="1">
      <c r="A245" s="9"/>
      <c r="B245" s="10" t="s">
        <v>139</v>
      </c>
      <c r="C245" s="9" t="s">
        <v>42</v>
      </c>
      <c r="E245" s="82">
        <f t="shared" ref="E245:AJ245" si="485">E243/E244</f>
        <v>0.0563852484</v>
      </c>
      <c r="F245" s="82">
        <f t="shared" si="485"/>
        <v>0.02151193413</v>
      </c>
      <c r="G245" s="82">
        <f t="shared" si="485"/>
        <v>0.1048503612</v>
      </c>
      <c r="H245" s="82">
        <f t="shared" si="485"/>
        <v>0.3568580542</v>
      </c>
      <c r="I245" s="82">
        <f t="shared" si="485"/>
        <v>0.6827242525</v>
      </c>
      <c r="J245" s="82">
        <f t="shared" si="485"/>
        <v>0.4911253776</v>
      </c>
      <c r="K245" s="82">
        <f t="shared" si="485"/>
        <v>0.2332093205</v>
      </c>
      <c r="L245" s="82">
        <f t="shared" si="485"/>
        <v>0.4568261377</v>
      </c>
      <c r="M245" s="82">
        <f t="shared" si="485"/>
        <v>0.1357758621</v>
      </c>
      <c r="N245" s="82">
        <f t="shared" si="485"/>
        <v>0.04046822742</v>
      </c>
      <c r="O245" s="82">
        <f t="shared" si="485"/>
        <v>0.04188383516</v>
      </c>
      <c r="P245" s="82">
        <f t="shared" si="485"/>
        <v>0.04354563421</v>
      </c>
      <c r="Q245" s="82">
        <f t="shared" si="485"/>
        <v>0.01988443697</v>
      </c>
      <c r="R245" s="82">
        <f t="shared" si="485"/>
        <v>-0.0008047911902</v>
      </c>
      <c r="S245" s="82">
        <f t="shared" si="485"/>
        <v>0.001100110011</v>
      </c>
      <c r="T245" s="82">
        <f t="shared" si="485"/>
        <v>0.009028997845</v>
      </c>
      <c r="U245" s="82">
        <f t="shared" si="485"/>
        <v>0.01433226414</v>
      </c>
      <c r="V245" s="82">
        <f t="shared" si="485"/>
        <v>0.01208951628</v>
      </c>
      <c r="W245" s="82">
        <f t="shared" si="485"/>
        <v>0.01736745887</v>
      </c>
      <c r="X245" s="82">
        <f t="shared" si="485"/>
        <v>0.02660178215</v>
      </c>
      <c r="Y245" s="82">
        <f t="shared" si="485"/>
        <v>0.02722604545</v>
      </c>
      <c r="Z245" s="82">
        <f t="shared" si="485"/>
        <v>0.04990600195</v>
      </c>
      <c r="AA245" s="82">
        <f t="shared" si="485"/>
        <v>0.0293308979</v>
      </c>
      <c r="AB245" s="82">
        <f t="shared" si="485"/>
        <v>0.03711374011</v>
      </c>
      <c r="AC245" s="82">
        <f t="shared" si="485"/>
        <v>0.01779990274</v>
      </c>
      <c r="AD245" s="82">
        <f t="shared" si="485"/>
        <v>0.03012781497</v>
      </c>
      <c r="AE245" s="82">
        <f t="shared" si="485"/>
        <v>0.04259802815</v>
      </c>
      <c r="AF245" s="82">
        <f t="shared" si="485"/>
        <v>0.03289214182</v>
      </c>
      <c r="AG245" s="82">
        <f t="shared" si="485"/>
        <v>0.02450481864</v>
      </c>
      <c r="AH245" s="82">
        <f t="shared" si="485"/>
        <v>0.03353241519</v>
      </c>
      <c r="AI245" s="82">
        <f t="shared" si="485"/>
        <v>0.04088755405</v>
      </c>
      <c r="AJ245" s="82">
        <f t="shared" si="485"/>
        <v>0.03273173353</v>
      </c>
      <c r="AK245" s="82">
        <f t="shared" ref="AK245:AM245" si="486">$AM$237/4</f>
        <v>0.0375</v>
      </c>
      <c r="AL245" s="82">
        <f t="shared" si="486"/>
        <v>0.0375</v>
      </c>
      <c r="AM245" s="82">
        <f t="shared" si="486"/>
        <v>0.0375</v>
      </c>
      <c r="AN245" s="82">
        <f t="shared" ref="AN245:AQ245" si="487">$AQ$237/4</f>
        <v>0.03125</v>
      </c>
      <c r="AO245" s="82">
        <f t="shared" si="487"/>
        <v>0.03125</v>
      </c>
      <c r="AP245" s="82">
        <f t="shared" si="487"/>
        <v>0.03125</v>
      </c>
      <c r="AQ245" s="82">
        <f t="shared" si="487"/>
        <v>0.03125</v>
      </c>
      <c r="AR245" s="82">
        <f t="shared" ref="AR245:AU245" si="488">$AU$237/4</f>
        <v>0.02625</v>
      </c>
      <c r="AS245" s="82">
        <f t="shared" si="488"/>
        <v>0.02625</v>
      </c>
      <c r="AT245" s="82">
        <f t="shared" si="488"/>
        <v>0.02625</v>
      </c>
      <c r="AU245" s="82">
        <f t="shared" si="488"/>
        <v>0.02625</v>
      </c>
      <c r="AV245" s="82">
        <f t="shared" ref="AV245:BW245" si="489">$AY$237/4</f>
        <v>0.025</v>
      </c>
      <c r="AW245" s="82">
        <f t="shared" si="489"/>
        <v>0.025</v>
      </c>
      <c r="AX245" s="82">
        <f t="shared" si="489"/>
        <v>0.025</v>
      </c>
      <c r="AY245" s="82">
        <f t="shared" si="489"/>
        <v>0.025</v>
      </c>
      <c r="AZ245" s="82">
        <f t="shared" si="489"/>
        <v>0.025</v>
      </c>
      <c r="BA245" s="82">
        <f t="shared" si="489"/>
        <v>0.025</v>
      </c>
      <c r="BB245" s="82">
        <f t="shared" si="489"/>
        <v>0.025</v>
      </c>
      <c r="BC245" s="82">
        <f t="shared" si="489"/>
        <v>0.025</v>
      </c>
      <c r="BD245" s="82">
        <f t="shared" si="489"/>
        <v>0.025</v>
      </c>
      <c r="BE245" s="82">
        <f t="shared" si="489"/>
        <v>0.025</v>
      </c>
      <c r="BF245" s="82">
        <f t="shared" si="489"/>
        <v>0.025</v>
      </c>
      <c r="BG245" s="82">
        <f t="shared" si="489"/>
        <v>0.025</v>
      </c>
      <c r="BH245" s="82">
        <f t="shared" si="489"/>
        <v>0.025</v>
      </c>
      <c r="BI245" s="82">
        <f t="shared" si="489"/>
        <v>0.025</v>
      </c>
      <c r="BJ245" s="82">
        <f t="shared" si="489"/>
        <v>0.025</v>
      </c>
      <c r="BK245" s="82">
        <f t="shared" si="489"/>
        <v>0.025</v>
      </c>
      <c r="BL245" s="82">
        <f t="shared" si="489"/>
        <v>0.025</v>
      </c>
      <c r="BM245" s="82">
        <f t="shared" si="489"/>
        <v>0.025</v>
      </c>
      <c r="BN245" s="82">
        <f t="shared" si="489"/>
        <v>0.025</v>
      </c>
      <c r="BO245" s="82">
        <f t="shared" si="489"/>
        <v>0.025</v>
      </c>
      <c r="BP245" s="82">
        <f t="shared" si="489"/>
        <v>0.025</v>
      </c>
      <c r="BQ245" s="82">
        <f t="shared" si="489"/>
        <v>0.025</v>
      </c>
      <c r="BR245" s="82">
        <f t="shared" si="489"/>
        <v>0.025</v>
      </c>
      <c r="BS245" s="82">
        <f t="shared" si="489"/>
        <v>0.025</v>
      </c>
      <c r="BT245" s="82">
        <f t="shared" si="489"/>
        <v>0.025</v>
      </c>
      <c r="BU245" s="82">
        <f t="shared" si="489"/>
        <v>0.025</v>
      </c>
      <c r="BV245" s="82">
        <f t="shared" si="489"/>
        <v>0.025</v>
      </c>
      <c r="BW245" s="82">
        <f t="shared" si="489"/>
        <v>0.025</v>
      </c>
      <c r="BX245" s="6" t="s">
        <v>35</v>
      </c>
      <c r="BZ245" s="82"/>
      <c r="CA245" s="82"/>
      <c r="CB245" s="82">
        <f t="shared" ref="CB245:CE245" si="490">CB243/CB244</f>
        <v>0.1100431189</v>
      </c>
      <c r="CC245" s="82">
        <f t="shared" si="490"/>
        <v>0.03813551647</v>
      </c>
      <c r="CD245" s="82">
        <f t="shared" si="490"/>
        <v>0.1273989224</v>
      </c>
      <c r="CE245" s="82">
        <f t="shared" si="490"/>
        <v>0.1211783893</v>
      </c>
      <c r="CF245" s="82">
        <f>Macro!BH10</f>
        <v>0.1147</v>
      </c>
      <c r="CG245" s="82">
        <f>Macro!BI10</f>
        <v>0.15</v>
      </c>
      <c r="CH245" s="82">
        <f>Macro!BJ10</f>
        <v>0.125</v>
      </c>
      <c r="CI245" s="82">
        <f>Macro!BK10</f>
        <v>0.105</v>
      </c>
      <c r="CJ245" s="82">
        <f>Macro!BL10</f>
        <v>0.1</v>
      </c>
      <c r="CK245" s="82">
        <f>Macro!BM10</f>
        <v>0.1</v>
      </c>
      <c r="CL245" s="82">
        <f>Macro!BN10</f>
        <v>0.1</v>
      </c>
      <c r="CM245" s="82">
        <f>Macro!BO10</f>
        <v>0.1</v>
      </c>
      <c r="CN245" s="82">
        <f>Macro!BP10</f>
        <v>0.1</v>
      </c>
      <c r="CO245" s="82">
        <f>Macro!BQ10</f>
        <v>0.1</v>
      </c>
      <c r="CP245" s="82">
        <f>Macro!BR10</f>
        <v>0.1</v>
      </c>
    </row>
    <row r="246" ht="14.25" customHeight="1">
      <c r="A246" s="9"/>
      <c r="B246" s="10" t="s">
        <v>140</v>
      </c>
      <c r="C246" s="9" t="s">
        <v>42</v>
      </c>
      <c r="BX246" s="6" t="s">
        <v>35</v>
      </c>
    </row>
    <row r="247" ht="14.25" customHeight="1">
      <c r="BX247" s="6" t="s">
        <v>35</v>
      </c>
    </row>
    <row r="248" ht="14.25" customHeight="1">
      <c r="A248" s="11" t="s">
        <v>36</v>
      </c>
      <c r="B248" s="2" t="s">
        <v>141</v>
      </c>
      <c r="C248" s="3"/>
      <c r="BX248" s="6" t="s">
        <v>35</v>
      </c>
    </row>
    <row r="249" ht="14.25" customHeight="1">
      <c r="A249" s="9"/>
      <c r="B249" s="10"/>
      <c r="C249" s="9"/>
      <c r="BX249" s="6" t="s">
        <v>35</v>
      </c>
    </row>
    <row r="250" ht="14.25" customHeight="1">
      <c r="A250" s="9"/>
      <c r="B250" s="73" t="s">
        <v>142</v>
      </c>
      <c r="C250" s="90" t="s">
        <v>39</v>
      </c>
      <c r="H250" s="75">
        <f>+(Inputs!J252+Inputs!J266)/1000</f>
        <v>-1.996</v>
      </c>
      <c r="I250" s="75">
        <f>+(Inputs!K252+Inputs!K266)/1000</f>
        <v>0</v>
      </c>
      <c r="J250" s="75">
        <f>+(Inputs!L252+Inputs!L266)/1000</f>
        <v>0</v>
      </c>
      <c r="K250" s="75">
        <f>+(Inputs!M252+Inputs!M266)/1000</f>
        <v>0</v>
      </c>
      <c r="L250" s="75">
        <f>+(Inputs!N252+Inputs!N266)/1000</f>
        <v>-0.304</v>
      </c>
      <c r="M250" s="75">
        <f>+(Inputs!O252+Inputs!O266)/1000</f>
        <v>-0.303</v>
      </c>
      <c r="N250" s="75">
        <f>+(Inputs!P252+Inputs!P266)/1000</f>
        <v>-0.303</v>
      </c>
      <c r="O250" s="75">
        <f>+(Inputs!Q252+Inputs!Q266)/1000</f>
        <v>0</v>
      </c>
      <c r="P250" s="75">
        <f>+(Inputs!R252+Inputs!R266)/1000</f>
        <v>-1.808</v>
      </c>
      <c r="Q250" s="75">
        <f>+(Inputs!S252+Inputs!S266)/1000</f>
        <v>0</v>
      </c>
      <c r="R250" s="75">
        <f>+(Inputs!T252+Inputs!T266)/1000</f>
        <v>0</v>
      </c>
      <c r="S250" s="75">
        <f>+(Inputs!U252+Inputs!U266)/1000</f>
        <v>0</v>
      </c>
      <c r="T250" s="75">
        <f>+(Inputs!V252+Inputs!V266)/1000</f>
        <v>0</v>
      </c>
      <c r="U250" s="75">
        <f>+(Inputs!W252+Inputs!W266)/1000</f>
        <v>0</v>
      </c>
      <c r="V250" s="75">
        <f>+(Inputs!X252+Inputs!X266)/1000</f>
        <v>0</v>
      </c>
      <c r="W250" s="75">
        <f>+(Inputs!Y252+Inputs!Y266)/1000</f>
        <v>0</v>
      </c>
      <c r="X250" s="75">
        <f>+(Inputs!Z252+Inputs!Z266)/1000</f>
        <v>-1.936</v>
      </c>
      <c r="Y250" s="75">
        <f>+(Inputs!AA252+Inputs!AA266)/1000</f>
        <v>-1.408</v>
      </c>
      <c r="Z250" s="75">
        <f>+(Inputs!AB252+Inputs!AB266)/1000</f>
        <v>-0.198</v>
      </c>
      <c r="AA250" s="75">
        <f>+(Inputs!AC252+Inputs!AC266)/1000</f>
        <v>-8.749</v>
      </c>
      <c r="AB250" s="75">
        <f>+(Inputs!AD252+Inputs!AD266)/1000</f>
        <v>-2.109</v>
      </c>
      <c r="AC250" s="75">
        <f>+(Inputs!AE252+Inputs!AE266)/1000</f>
        <v>-40.554</v>
      </c>
      <c r="AD250" s="75">
        <f>+(Inputs!AF252+Inputs!AF266)/1000</f>
        <v>0</v>
      </c>
      <c r="AE250" s="75">
        <f>+(Inputs!AG252+Inputs!AG266)/1000</f>
        <v>-0.479</v>
      </c>
      <c r="AF250" s="75">
        <f>+(Inputs!AH252+Inputs!AH266)/1000</f>
        <v>0</v>
      </c>
      <c r="AG250" s="75">
        <f>+(Inputs!AI252+Inputs!AI266)/1000</f>
        <v>-17.057</v>
      </c>
      <c r="AH250" s="75">
        <f>+(Inputs!AJ252+Inputs!AJ266)/1000</f>
        <v>-5.12</v>
      </c>
      <c r="AI250" s="75">
        <f>+(Inputs!AK252+Inputs!AK266)/1000</f>
        <v>-0.64</v>
      </c>
      <c r="AJ250" s="75">
        <f>+(Inputs!AL252+Inputs!AL266)/1000</f>
        <v>0</v>
      </c>
      <c r="AK250" s="75">
        <f t="shared" ref="AK250:BW250" si="491">-AK254*AK255</f>
        <v>-0.7385470936</v>
      </c>
      <c r="AL250" s="75">
        <f t="shared" si="491"/>
        <v>-4.187761097</v>
      </c>
      <c r="AM250" s="75">
        <f t="shared" si="491"/>
        <v>-4.294166022</v>
      </c>
      <c r="AN250" s="75">
        <f t="shared" si="491"/>
        <v>-5.168724348</v>
      </c>
      <c r="AO250" s="75">
        <f t="shared" si="491"/>
        <v>-4.566689505</v>
      </c>
      <c r="AP250" s="75">
        <f t="shared" si="491"/>
        <v>-4.913741342</v>
      </c>
      <c r="AQ250" s="75">
        <f t="shared" si="491"/>
        <v>-6.907324578</v>
      </c>
      <c r="AR250" s="75">
        <f t="shared" si="491"/>
        <v>-6.773375376</v>
      </c>
      <c r="AS250" s="75">
        <f t="shared" si="491"/>
        <v>-6.22269564</v>
      </c>
      <c r="AT250" s="75">
        <f t="shared" si="491"/>
        <v>-6.63291609</v>
      </c>
      <c r="AU250" s="75">
        <f t="shared" si="491"/>
        <v>-8.54361506</v>
      </c>
      <c r="AV250" s="75">
        <f t="shared" si="491"/>
        <v>-8.242639398</v>
      </c>
      <c r="AW250" s="75">
        <f t="shared" si="491"/>
        <v>-7.999470164</v>
      </c>
      <c r="AX250" s="75">
        <f t="shared" si="491"/>
        <v>-8.495663159</v>
      </c>
      <c r="AY250" s="75">
        <f t="shared" si="491"/>
        <v>-10.15439755</v>
      </c>
      <c r="AZ250" s="75">
        <f t="shared" si="491"/>
        <v>-9.362133723</v>
      </c>
      <c r="BA250" s="75">
        <f t="shared" si="491"/>
        <v>-9.22842712</v>
      </c>
      <c r="BB250" s="75">
        <f t="shared" si="491"/>
        <v>-9.772134218</v>
      </c>
      <c r="BC250" s="75">
        <f t="shared" si="491"/>
        <v>-11.43594801</v>
      </c>
      <c r="BD250" s="75">
        <f t="shared" si="491"/>
        <v>-10.57351099</v>
      </c>
      <c r="BE250" s="75">
        <f t="shared" si="491"/>
        <v>-10.42888568</v>
      </c>
      <c r="BF250" s="75">
        <f t="shared" si="491"/>
        <v>-11.02464761</v>
      </c>
      <c r="BG250" s="75">
        <f t="shared" si="491"/>
        <v>-12.84443942</v>
      </c>
      <c r="BH250" s="75">
        <f t="shared" si="491"/>
        <v>-11.90404889</v>
      </c>
      <c r="BI250" s="75">
        <f t="shared" si="491"/>
        <v>-11.7480491</v>
      </c>
      <c r="BJ250" s="75">
        <f t="shared" si="491"/>
        <v>-12.40111226</v>
      </c>
      <c r="BK250" s="75">
        <f t="shared" si="491"/>
        <v>-14.39169002</v>
      </c>
      <c r="BL250" s="75">
        <f t="shared" si="491"/>
        <v>-13.36652311</v>
      </c>
      <c r="BM250" s="75">
        <f t="shared" si="491"/>
        <v>-13.19852475</v>
      </c>
      <c r="BN250" s="75">
        <f t="shared" si="491"/>
        <v>-13.9146401</v>
      </c>
      <c r="BO250" s="75">
        <f t="shared" si="491"/>
        <v>-16.09226424</v>
      </c>
      <c r="BP250" s="75">
        <f t="shared" si="491"/>
        <v>-14.97487913</v>
      </c>
      <c r="BQ250" s="75">
        <f t="shared" si="491"/>
        <v>-14.79416457</v>
      </c>
      <c r="BR250" s="75">
        <f t="shared" si="491"/>
        <v>-15.61067576</v>
      </c>
      <c r="BS250" s="75">
        <f t="shared" si="491"/>
        <v>-18.02300157</v>
      </c>
      <c r="BT250" s="75">
        <f t="shared" si="491"/>
        <v>-16.83577875</v>
      </c>
      <c r="BU250" s="75">
        <f t="shared" si="491"/>
        <v>-16.67560193</v>
      </c>
      <c r="BV250" s="75">
        <f t="shared" si="491"/>
        <v>-17.56806128</v>
      </c>
      <c r="BW250" s="75">
        <f t="shared" si="491"/>
        <v>-20.2048378</v>
      </c>
      <c r="BX250" s="6" t="s">
        <v>35</v>
      </c>
      <c r="BY250" s="34">
        <f>SUM(D250:G250)</f>
        <v>0</v>
      </c>
      <c r="BZ250" s="34">
        <f>SUM(H250:K250)</f>
        <v>-1.996</v>
      </c>
      <c r="CA250" s="34">
        <f>SUM(L250:O250)</f>
        <v>-0.91</v>
      </c>
      <c r="CB250" s="34">
        <f>SUM(P250:S250)</f>
        <v>-1.808</v>
      </c>
      <c r="CC250" s="34">
        <f>SUM(T250:W250)</f>
        <v>0</v>
      </c>
      <c r="CD250" s="34">
        <f>SUM(X250:AA250)</f>
        <v>-12.291</v>
      </c>
      <c r="CE250" s="34">
        <f>SUM(AB250:AE250)</f>
        <v>-43.142</v>
      </c>
      <c r="CF250" s="34">
        <f>SUM(AF250:AI250)</f>
        <v>-22.817</v>
      </c>
      <c r="CG250" s="34">
        <f>SUM(AJ250:AM250)</f>
        <v>-9.220474213</v>
      </c>
      <c r="CH250" s="34">
        <f>SUM(AN250:AQ250)</f>
        <v>-21.55647977</v>
      </c>
      <c r="CI250" s="34">
        <f>SUM(AR250:AU250)</f>
        <v>-28.17260216</v>
      </c>
      <c r="CJ250" s="34">
        <f>SUM(AV250:AY250)</f>
        <v>-34.89217027</v>
      </c>
      <c r="CK250" s="34">
        <f>SUM(AZ250:BC250)</f>
        <v>-39.79864307</v>
      </c>
      <c r="CL250" s="34">
        <f>SUM(BD250:BG250)</f>
        <v>-44.8714837</v>
      </c>
      <c r="CM250" s="34">
        <f>SUM(BH250:BK250)</f>
        <v>-50.44490027</v>
      </c>
      <c r="CN250" s="34">
        <f>SUM(BL250:BO250)</f>
        <v>-56.5719522</v>
      </c>
      <c r="CO250" s="34">
        <f>SUM(BP250:BS250)</f>
        <v>-63.40272103</v>
      </c>
      <c r="CP250" s="34">
        <f>SUM(BT250:BW250)</f>
        <v>-71.28427975</v>
      </c>
    </row>
    <row r="251" ht="14.25" customHeight="1">
      <c r="A251" s="9"/>
      <c r="B251" s="10" t="s">
        <v>143</v>
      </c>
      <c r="C251" s="9" t="s">
        <v>42</v>
      </c>
      <c r="L251" s="37">
        <f t="shared" ref="L251:AG251" si="492">L250/H250-1</f>
        <v>-0.8476953908</v>
      </c>
      <c r="M251" s="37" t="str">
        <f t="shared" si="492"/>
        <v>#DIV/0!</v>
      </c>
      <c r="N251" s="37" t="str">
        <f t="shared" si="492"/>
        <v>#DIV/0!</v>
      </c>
      <c r="O251" s="37" t="str">
        <f t="shared" si="492"/>
        <v>#DIV/0!</v>
      </c>
      <c r="P251" s="37">
        <f t="shared" si="492"/>
        <v>4.947368421</v>
      </c>
      <c r="Q251" s="37">
        <f t="shared" si="492"/>
        <v>-1</v>
      </c>
      <c r="R251" s="37">
        <f t="shared" si="492"/>
        <v>-1</v>
      </c>
      <c r="S251" s="37" t="str">
        <f t="shared" si="492"/>
        <v>#DIV/0!</v>
      </c>
      <c r="T251" s="37">
        <f t="shared" si="492"/>
        <v>-1</v>
      </c>
      <c r="U251" s="37" t="str">
        <f t="shared" si="492"/>
        <v>#DIV/0!</v>
      </c>
      <c r="V251" s="37" t="str">
        <f t="shared" si="492"/>
        <v>#DIV/0!</v>
      </c>
      <c r="W251" s="37" t="str">
        <f t="shared" si="492"/>
        <v>#DIV/0!</v>
      </c>
      <c r="X251" s="37" t="str">
        <f t="shared" si="492"/>
        <v>#DIV/0!</v>
      </c>
      <c r="Y251" s="37" t="str">
        <f t="shared" si="492"/>
        <v>#DIV/0!</v>
      </c>
      <c r="Z251" s="37" t="str">
        <f t="shared" si="492"/>
        <v>#DIV/0!</v>
      </c>
      <c r="AA251" s="37" t="str">
        <f t="shared" si="492"/>
        <v>#DIV/0!</v>
      </c>
      <c r="AB251" s="37">
        <f t="shared" si="492"/>
        <v>0.08935950413</v>
      </c>
      <c r="AC251" s="37">
        <f t="shared" si="492"/>
        <v>27.80255682</v>
      </c>
      <c r="AD251" s="37">
        <f t="shared" si="492"/>
        <v>-1</v>
      </c>
      <c r="AE251" s="37">
        <f t="shared" si="492"/>
        <v>-0.9452508858</v>
      </c>
      <c r="AF251" s="37">
        <f t="shared" si="492"/>
        <v>-1</v>
      </c>
      <c r="AG251" s="37">
        <f t="shared" si="492"/>
        <v>-0.5794003058</v>
      </c>
      <c r="AH251" s="37"/>
      <c r="AI251" s="37">
        <f t="shared" ref="AI251:AJ251" si="493">AI250/AE250-1</f>
        <v>0.3361169102</v>
      </c>
      <c r="AJ251" s="37" t="str">
        <f t="shared" si="493"/>
        <v>#DIV/0!</v>
      </c>
      <c r="BX251" s="6" t="s">
        <v>35</v>
      </c>
    </row>
    <row r="252" ht="14.25" customHeight="1">
      <c r="A252" s="9"/>
      <c r="B252" s="10"/>
      <c r="C252" s="9"/>
      <c r="BX252" s="6" t="s">
        <v>35</v>
      </c>
    </row>
    <row r="253" ht="14.25" customHeight="1">
      <c r="A253" s="9"/>
      <c r="B253" s="10"/>
      <c r="C253" s="9"/>
      <c r="BX253" s="6" t="s">
        <v>35</v>
      </c>
    </row>
    <row r="254" ht="14.25" customHeight="1">
      <c r="A254" s="9"/>
      <c r="B254" s="99" t="s">
        <v>60</v>
      </c>
      <c r="C254" s="78" t="s">
        <v>39</v>
      </c>
      <c r="AH254" s="26"/>
      <c r="AI254" s="26">
        <f>AI47</f>
        <v>21.349</v>
      </c>
      <c r="AJ254" s="26"/>
      <c r="AK254" s="26">
        <f t="shared" ref="AK254:BW254" si="494">AK47</f>
        <v>2.954188375</v>
      </c>
      <c r="AL254" s="26">
        <f t="shared" si="494"/>
        <v>16.75104439</v>
      </c>
      <c r="AM254" s="26">
        <f t="shared" si="494"/>
        <v>17.17666409</v>
      </c>
      <c r="AN254" s="26">
        <f t="shared" si="494"/>
        <v>20.67489739</v>
      </c>
      <c r="AO254" s="26">
        <f t="shared" si="494"/>
        <v>18.26675802</v>
      </c>
      <c r="AP254" s="26">
        <f t="shared" si="494"/>
        <v>19.65496537</v>
      </c>
      <c r="AQ254" s="26">
        <f t="shared" si="494"/>
        <v>27.62929831</v>
      </c>
      <c r="AR254" s="26">
        <f t="shared" si="494"/>
        <v>27.0935015</v>
      </c>
      <c r="AS254" s="26">
        <f t="shared" si="494"/>
        <v>24.89078256</v>
      </c>
      <c r="AT254" s="26">
        <f t="shared" si="494"/>
        <v>26.53166436</v>
      </c>
      <c r="AU254" s="26">
        <f t="shared" si="494"/>
        <v>34.17446024</v>
      </c>
      <c r="AV254" s="26">
        <f t="shared" si="494"/>
        <v>32.97055759</v>
      </c>
      <c r="AW254" s="26">
        <f t="shared" si="494"/>
        <v>31.99788066</v>
      </c>
      <c r="AX254" s="26">
        <f t="shared" si="494"/>
        <v>33.98265264</v>
      </c>
      <c r="AY254" s="26">
        <f t="shared" si="494"/>
        <v>40.61759021</v>
      </c>
      <c r="AZ254" s="26">
        <f t="shared" si="494"/>
        <v>37.44853489</v>
      </c>
      <c r="BA254" s="26">
        <f t="shared" si="494"/>
        <v>36.91370848</v>
      </c>
      <c r="BB254" s="26">
        <f t="shared" si="494"/>
        <v>39.08853687</v>
      </c>
      <c r="BC254" s="26">
        <f t="shared" si="494"/>
        <v>45.74379205</v>
      </c>
      <c r="BD254" s="26">
        <f t="shared" si="494"/>
        <v>42.29404397</v>
      </c>
      <c r="BE254" s="26">
        <f t="shared" si="494"/>
        <v>41.71554273</v>
      </c>
      <c r="BF254" s="26">
        <f t="shared" si="494"/>
        <v>44.09859044</v>
      </c>
      <c r="BG254" s="26">
        <f t="shared" si="494"/>
        <v>51.37775767</v>
      </c>
      <c r="BH254" s="26">
        <f t="shared" si="494"/>
        <v>47.61619557</v>
      </c>
      <c r="BI254" s="26">
        <f t="shared" si="494"/>
        <v>46.9921964</v>
      </c>
      <c r="BJ254" s="26">
        <f t="shared" si="494"/>
        <v>49.60444904</v>
      </c>
      <c r="BK254" s="26">
        <f t="shared" si="494"/>
        <v>57.56676007</v>
      </c>
      <c r="BL254" s="26">
        <f t="shared" si="494"/>
        <v>53.46609243</v>
      </c>
      <c r="BM254" s="26">
        <f t="shared" si="494"/>
        <v>52.79409901</v>
      </c>
      <c r="BN254" s="26">
        <f t="shared" si="494"/>
        <v>55.65856039</v>
      </c>
      <c r="BO254" s="26">
        <f t="shared" si="494"/>
        <v>64.36905698</v>
      </c>
      <c r="BP254" s="26">
        <f t="shared" si="494"/>
        <v>59.89951652</v>
      </c>
      <c r="BQ254" s="26">
        <f t="shared" si="494"/>
        <v>59.17665827</v>
      </c>
      <c r="BR254" s="26">
        <f t="shared" si="494"/>
        <v>62.44270304</v>
      </c>
      <c r="BS254" s="26">
        <f t="shared" si="494"/>
        <v>72.09200627</v>
      </c>
      <c r="BT254" s="26">
        <f t="shared" si="494"/>
        <v>67.34311499</v>
      </c>
      <c r="BU254" s="26">
        <f t="shared" si="494"/>
        <v>66.7024077</v>
      </c>
      <c r="BV254" s="26">
        <f t="shared" si="494"/>
        <v>70.27224511</v>
      </c>
      <c r="BW254" s="26">
        <f t="shared" si="494"/>
        <v>80.81935122</v>
      </c>
      <c r="BX254" s="6" t="s">
        <v>35</v>
      </c>
      <c r="BZ254" s="81"/>
      <c r="CA254" s="81"/>
      <c r="CB254" s="81"/>
      <c r="CC254" s="81">
        <f t="shared" ref="CC254:CP254" si="495">CC47</f>
        <v>14.499</v>
      </c>
      <c r="CD254" s="81">
        <f t="shared" si="495"/>
        <v>64.934</v>
      </c>
      <c r="CE254" s="81">
        <f t="shared" si="495"/>
        <v>25.079</v>
      </c>
      <c r="CF254" s="81">
        <f t="shared" si="495"/>
        <v>42.255</v>
      </c>
      <c r="CG254" s="81">
        <f t="shared" si="495"/>
        <v>40.89889685</v>
      </c>
      <c r="CH254" s="81">
        <f t="shared" si="495"/>
        <v>86.22591909</v>
      </c>
      <c r="CI254" s="81">
        <f t="shared" si="495"/>
        <v>112.6904087</v>
      </c>
      <c r="CJ254" s="81">
        <f t="shared" si="495"/>
        <v>139.5686811</v>
      </c>
      <c r="CK254" s="81">
        <f t="shared" si="495"/>
        <v>159.1945723</v>
      </c>
      <c r="CL254" s="81">
        <f t="shared" si="495"/>
        <v>179.4859348</v>
      </c>
      <c r="CM254" s="81">
        <f t="shared" si="495"/>
        <v>201.7796011</v>
      </c>
      <c r="CN254" s="81">
        <f t="shared" si="495"/>
        <v>226.2878088</v>
      </c>
      <c r="CO254" s="81">
        <f t="shared" si="495"/>
        <v>253.6108841</v>
      </c>
      <c r="CP254" s="81">
        <f t="shared" si="495"/>
        <v>285.137119</v>
      </c>
    </row>
    <row r="255" ht="14.25" customHeight="1">
      <c r="A255" s="9"/>
      <c r="B255" s="10" t="s">
        <v>144</v>
      </c>
      <c r="C255" s="9" t="s">
        <v>42</v>
      </c>
      <c r="AH255" s="109"/>
      <c r="AI255" s="109">
        <f>-AI250/AI254</f>
        <v>0.02997798492</v>
      </c>
      <c r="AJ255" s="109"/>
      <c r="AK255" s="109">
        <v>0.25</v>
      </c>
      <c r="AL255" s="109">
        <v>0.25</v>
      </c>
      <c r="AM255" s="109">
        <v>0.25</v>
      </c>
      <c r="AN255" s="109">
        <v>0.25</v>
      </c>
      <c r="AO255" s="109">
        <v>0.25</v>
      </c>
      <c r="AP255" s="109">
        <v>0.25</v>
      </c>
      <c r="AQ255" s="109">
        <v>0.25</v>
      </c>
      <c r="AR255" s="109">
        <v>0.25</v>
      </c>
      <c r="AS255" s="109">
        <v>0.25</v>
      </c>
      <c r="AT255" s="109">
        <v>0.25</v>
      </c>
      <c r="AU255" s="109">
        <v>0.25</v>
      </c>
      <c r="AV255" s="109">
        <v>0.25</v>
      </c>
      <c r="AW255" s="109">
        <v>0.25</v>
      </c>
      <c r="AX255" s="109">
        <v>0.25</v>
      </c>
      <c r="AY255" s="109">
        <v>0.25</v>
      </c>
      <c r="AZ255" s="109">
        <v>0.25</v>
      </c>
      <c r="BA255" s="109">
        <v>0.25</v>
      </c>
      <c r="BB255" s="109">
        <v>0.25</v>
      </c>
      <c r="BC255" s="109">
        <v>0.25</v>
      </c>
      <c r="BD255" s="109">
        <v>0.25</v>
      </c>
      <c r="BE255" s="109">
        <v>0.25</v>
      </c>
      <c r="BF255" s="109">
        <v>0.25</v>
      </c>
      <c r="BG255" s="109">
        <v>0.25</v>
      </c>
      <c r="BH255" s="109">
        <v>0.25</v>
      </c>
      <c r="BI255" s="109">
        <v>0.25</v>
      </c>
      <c r="BJ255" s="109">
        <v>0.25</v>
      </c>
      <c r="BK255" s="109">
        <v>0.25</v>
      </c>
      <c r="BL255" s="109">
        <v>0.25</v>
      </c>
      <c r="BM255" s="109">
        <v>0.25</v>
      </c>
      <c r="BN255" s="109">
        <v>0.25</v>
      </c>
      <c r="BO255" s="109">
        <v>0.25</v>
      </c>
      <c r="BP255" s="109">
        <v>0.25</v>
      </c>
      <c r="BQ255" s="109">
        <v>0.25</v>
      </c>
      <c r="BR255" s="109">
        <v>0.25</v>
      </c>
      <c r="BS255" s="109">
        <v>0.25</v>
      </c>
      <c r="BT255" s="109">
        <v>0.25</v>
      </c>
      <c r="BU255" s="109">
        <v>0.25</v>
      </c>
      <c r="BV255" s="109">
        <v>0.25</v>
      </c>
      <c r="BW255" s="109">
        <v>0.25</v>
      </c>
      <c r="BX255" s="6" t="s">
        <v>35</v>
      </c>
      <c r="CB255" s="82"/>
      <c r="CC255" s="82">
        <f t="shared" ref="CC255:CP255" si="496">-CC250/CC254</f>
        <v>0</v>
      </c>
      <c r="CD255" s="82">
        <f t="shared" si="496"/>
        <v>0.1892845043</v>
      </c>
      <c r="CE255" s="82">
        <f t="shared" si="496"/>
        <v>1.720244029</v>
      </c>
      <c r="CF255" s="82">
        <f t="shared" si="496"/>
        <v>0.5399834339</v>
      </c>
      <c r="CG255" s="82">
        <f t="shared" si="496"/>
        <v>0.225445548</v>
      </c>
      <c r="CH255" s="82">
        <f t="shared" si="496"/>
        <v>0.25</v>
      </c>
      <c r="CI255" s="82">
        <f t="shared" si="496"/>
        <v>0.25</v>
      </c>
      <c r="CJ255" s="82">
        <f t="shared" si="496"/>
        <v>0.25</v>
      </c>
      <c r="CK255" s="82">
        <f t="shared" si="496"/>
        <v>0.25</v>
      </c>
      <c r="CL255" s="82">
        <f t="shared" si="496"/>
        <v>0.25</v>
      </c>
      <c r="CM255" s="82">
        <f t="shared" si="496"/>
        <v>0.25</v>
      </c>
      <c r="CN255" s="82">
        <f t="shared" si="496"/>
        <v>0.25</v>
      </c>
      <c r="CO255" s="82">
        <f t="shared" si="496"/>
        <v>0.25</v>
      </c>
      <c r="CP255" s="82">
        <f t="shared" si="496"/>
        <v>0.25</v>
      </c>
    </row>
    <row r="256" ht="14.25" customHeight="1">
      <c r="A256" s="9"/>
      <c r="B256" s="10"/>
      <c r="C256" s="9"/>
      <c r="BX256" s="6" t="s">
        <v>35</v>
      </c>
    </row>
    <row r="257" ht="14.25" customHeight="1">
      <c r="A257" s="11" t="s">
        <v>36</v>
      </c>
      <c r="B257" s="10"/>
      <c r="C257" s="9"/>
    </row>
  </sheetData>
  <dataValidations>
    <dataValidation type="list" allowBlank="1" showErrorMessage="1" sqref="D197">
      <formula1>#REF!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8.71"/>
    <col customWidth="1" min="2" max="2" width="50.43"/>
    <col customWidth="1" min="3" max="4" width="8.71"/>
    <col customWidth="1" min="5" max="5" width="12.0"/>
    <col customWidth="1" min="6" max="7" width="8.71"/>
    <col customWidth="1" min="8" max="20" width="12.43"/>
    <col customWidth="1" min="21" max="34" width="8.71"/>
    <col customWidth="1" min="35" max="75" width="9.14"/>
    <col customWidth="1" min="76" max="76" width="8.71"/>
    <col customWidth="1" min="77" max="82" width="9.14"/>
    <col customWidth="1" min="83" max="94" width="9.86"/>
    <col customWidth="1" min="95" max="95" width="8.71"/>
    <col customWidth="1" min="96" max="101" width="9.86"/>
    <col customWidth="1" min="102" max="103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A7" s="1"/>
      <c r="B7" s="2" t="s">
        <v>0</v>
      </c>
      <c r="C7" s="3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20</v>
      </c>
      <c r="W7" s="4" t="s">
        <v>21</v>
      </c>
      <c r="X7" s="4" t="s">
        <v>22</v>
      </c>
      <c r="Y7" s="4" t="s">
        <v>23</v>
      </c>
      <c r="Z7" s="4" t="s">
        <v>24</v>
      </c>
      <c r="AA7" s="4" t="s">
        <v>25</v>
      </c>
      <c r="AB7" s="4" t="s">
        <v>26</v>
      </c>
      <c r="AC7" s="4" t="s">
        <v>27</v>
      </c>
      <c r="AD7" s="4" t="s">
        <v>28</v>
      </c>
      <c r="AE7" s="4" t="s">
        <v>29</v>
      </c>
      <c r="AF7" s="4" t="s">
        <v>30</v>
      </c>
      <c r="AG7" s="4" t="s">
        <v>31</v>
      </c>
      <c r="AH7" s="4" t="s">
        <v>32</v>
      </c>
      <c r="AI7" s="4" t="s">
        <v>33</v>
      </c>
      <c r="AJ7" s="4" t="s">
        <v>34</v>
      </c>
      <c r="AK7" s="5" t="s">
        <v>145</v>
      </c>
      <c r="AL7" s="5" t="s">
        <v>146</v>
      </c>
      <c r="AM7" s="5" t="s">
        <v>147</v>
      </c>
      <c r="AN7" s="5" t="s">
        <v>148</v>
      </c>
      <c r="AO7" s="5" t="s">
        <v>149</v>
      </c>
      <c r="AP7" s="5" t="s">
        <v>150</v>
      </c>
      <c r="AQ7" s="5" t="s">
        <v>151</v>
      </c>
      <c r="AR7" s="5" t="s">
        <v>152</v>
      </c>
      <c r="AS7" s="5" t="s">
        <v>153</v>
      </c>
      <c r="AT7" s="5" t="s">
        <v>154</v>
      </c>
      <c r="AU7" s="5" t="s">
        <v>155</v>
      </c>
      <c r="AV7" s="5" t="s">
        <v>156</v>
      </c>
      <c r="AW7" s="5" t="s">
        <v>157</v>
      </c>
      <c r="AX7" s="5" t="s">
        <v>158</v>
      </c>
      <c r="AY7" s="5" t="s">
        <v>159</v>
      </c>
      <c r="AZ7" s="5" t="s">
        <v>160</v>
      </c>
      <c r="BA7" s="5" t="s">
        <v>161</v>
      </c>
      <c r="BB7" s="5" t="s">
        <v>162</v>
      </c>
      <c r="BC7" s="5" t="s">
        <v>163</v>
      </c>
      <c r="BD7" s="5" t="s">
        <v>164</v>
      </c>
      <c r="BE7" s="5" t="s">
        <v>165</v>
      </c>
      <c r="BF7" s="5" t="s">
        <v>166</v>
      </c>
      <c r="BG7" s="5" t="s">
        <v>167</v>
      </c>
      <c r="BH7" s="5" t="s">
        <v>168</v>
      </c>
      <c r="BI7" s="5" t="s">
        <v>169</v>
      </c>
      <c r="BJ7" s="5" t="s">
        <v>170</v>
      </c>
      <c r="BK7" s="5" t="s">
        <v>171</v>
      </c>
      <c r="BL7" s="5" t="s">
        <v>172</v>
      </c>
      <c r="BM7" s="5" t="s">
        <v>173</v>
      </c>
      <c r="BN7" s="5" t="s">
        <v>174</v>
      </c>
      <c r="BO7" s="5" t="s">
        <v>175</v>
      </c>
      <c r="BP7" s="5" t="s">
        <v>176</v>
      </c>
      <c r="BQ7" s="5" t="s">
        <v>177</v>
      </c>
      <c r="BR7" s="5" t="s">
        <v>178</v>
      </c>
      <c r="BS7" s="5" t="s">
        <v>179</v>
      </c>
      <c r="BT7" s="5" t="s">
        <v>180</v>
      </c>
      <c r="BU7" s="5" t="s">
        <v>181</v>
      </c>
      <c r="BV7" s="5" t="s">
        <v>182</v>
      </c>
      <c r="BW7" s="5" t="s">
        <v>183</v>
      </c>
      <c r="BX7" s="6" t="s">
        <v>35</v>
      </c>
      <c r="BY7" s="4">
        <v>2017.0</v>
      </c>
      <c r="BZ7" s="4">
        <f t="shared" ref="BZ7:CP7" si="1">BY7+1</f>
        <v>2018</v>
      </c>
      <c r="CA7" s="4">
        <f t="shared" si="1"/>
        <v>2019</v>
      </c>
      <c r="CB7" s="4">
        <f t="shared" si="1"/>
        <v>2020</v>
      </c>
      <c r="CC7" s="4">
        <f t="shared" si="1"/>
        <v>2021</v>
      </c>
      <c r="CD7" s="4">
        <f t="shared" si="1"/>
        <v>2022</v>
      </c>
      <c r="CE7" s="4">
        <f t="shared" si="1"/>
        <v>2023</v>
      </c>
      <c r="CF7" s="5">
        <f t="shared" si="1"/>
        <v>2024</v>
      </c>
      <c r="CG7" s="5">
        <f t="shared" si="1"/>
        <v>2025</v>
      </c>
      <c r="CH7" s="5">
        <f t="shared" si="1"/>
        <v>2026</v>
      </c>
      <c r="CI7" s="5">
        <f t="shared" si="1"/>
        <v>2027</v>
      </c>
      <c r="CJ7" s="5">
        <f t="shared" si="1"/>
        <v>2028</v>
      </c>
      <c r="CK7" s="5">
        <f t="shared" si="1"/>
        <v>2029</v>
      </c>
      <c r="CL7" s="5">
        <f t="shared" si="1"/>
        <v>2030</v>
      </c>
      <c r="CM7" s="5">
        <f t="shared" si="1"/>
        <v>2031</v>
      </c>
      <c r="CN7" s="5">
        <f t="shared" si="1"/>
        <v>2032</v>
      </c>
      <c r="CO7" s="5">
        <f t="shared" si="1"/>
        <v>2033</v>
      </c>
      <c r="CP7" s="5">
        <f t="shared" si="1"/>
        <v>2034</v>
      </c>
      <c r="CQ7" s="6" t="s">
        <v>35</v>
      </c>
      <c r="CR7" s="4" t="s">
        <v>184</v>
      </c>
      <c r="CS7" s="4" t="s">
        <v>185</v>
      </c>
      <c r="CT7" s="4" t="s">
        <v>186</v>
      </c>
      <c r="CU7" s="4" t="s">
        <v>187</v>
      </c>
      <c r="CV7" s="4" t="s">
        <v>188</v>
      </c>
      <c r="CW7" s="4" t="s">
        <v>189</v>
      </c>
    </row>
    <row r="8" ht="14.25" customHeight="1">
      <c r="A8" s="9"/>
      <c r="B8" s="10"/>
      <c r="C8" s="9"/>
      <c r="BX8" s="6" t="s">
        <v>35</v>
      </c>
      <c r="CQ8" s="6" t="s">
        <v>35</v>
      </c>
    </row>
    <row r="9" ht="14.25" customHeight="1">
      <c r="A9" s="11" t="s">
        <v>36</v>
      </c>
      <c r="B9" s="2" t="s">
        <v>190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6" t="s">
        <v>35</v>
      </c>
      <c r="BY9" s="2"/>
      <c r="BZ9" s="2"/>
      <c r="CA9" s="2"/>
      <c r="CB9" s="2"/>
      <c r="CC9" s="2"/>
      <c r="CD9" s="2"/>
      <c r="CE9" s="2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6" t="s">
        <v>35</v>
      </c>
      <c r="CR9" s="30">
        <f>CF35/(1+CF15+CF18)</f>
        <v>288.6687628</v>
      </c>
    </row>
    <row r="10" ht="14.25" customHeight="1">
      <c r="BX10" s="6" t="s">
        <v>35</v>
      </c>
      <c r="CQ10" s="6" t="s">
        <v>35</v>
      </c>
    </row>
    <row r="11" ht="14.25" customHeight="1">
      <c r="B11" s="73" t="s">
        <v>191</v>
      </c>
      <c r="C11" s="74" t="s">
        <v>39</v>
      </c>
      <c r="D11" s="17">
        <f>Inputs!F344/1000</f>
        <v>58.518</v>
      </c>
      <c r="E11" s="17">
        <f>Inputs!G344/1000</f>
        <v>59.783</v>
      </c>
      <c r="F11" s="17">
        <f>Inputs!H344/1000</f>
        <v>67.278</v>
      </c>
      <c r="G11" s="17">
        <f>Inputs!I344/1000</f>
        <v>75.153</v>
      </c>
      <c r="H11" s="17">
        <f>Inputs!J344/1000</f>
        <v>83.716</v>
      </c>
      <c r="I11" s="17">
        <f>Inputs!K344/1000</f>
        <v>92.528</v>
      </c>
      <c r="J11" s="17">
        <f>Inputs!L344/1000</f>
        <v>87.657</v>
      </c>
      <c r="K11" s="17">
        <f>Inputs!M344/1000</f>
        <v>96.578</v>
      </c>
      <c r="L11" s="17">
        <f>Inputs!N344/1000</f>
        <v>91.096</v>
      </c>
      <c r="M11" s="17">
        <f>Inputs!O344/1000</f>
        <v>103.638</v>
      </c>
      <c r="N11" s="17">
        <f>Inputs!P344/1000</f>
        <v>95.114</v>
      </c>
      <c r="O11" s="17">
        <f>Inputs!Q344/1000</f>
        <v>98.305</v>
      </c>
      <c r="P11" s="17">
        <f>Inputs!R344/1000</f>
        <v>77.335</v>
      </c>
      <c r="Q11" s="17">
        <f>Inputs!S344/1000</f>
        <v>55.58</v>
      </c>
      <c r="R11" s="17">
        <f>Inputs!T344/1000</f>
        <v>61.614</v>
      </c>
      <c r="S11" s="17">
        <f>Inputs!U344/1000</f>
        <v>74.274</v>
      </c>
      <c r="T11" s="17">
        <f>Inputs!V344/1000</f>
        <v>85.35</v>
      </c>
      <c r="U11" s="17">
        <f>Inputs!W344/1000</f>
        <v>121.173</v>
      </c>
      <c r="V11" s="17">
        <f>Inputs!X344/1000</f>
        <v>135.439</v>
      </c>
      <c r="W11" s="17">
        <f>Inputs!Y344/1000</f>
        <v>130.823</v>
      </c>
      <c r="X11" s="17">
        <f>Inputs!Z309/1000</f>
        <v>141.2899856</v>
      </c>
      <c r="Y11" s="17">
        <f>Inputs!AA309/1000</f>
        <v>200.7569294</v>
      </c>
      <c r="Z11" s="17">
        <f>Inputs!AB309/1000</f>
        <v>276.4234388</v>
      </c>
      <c r="AA11" s="17">
        <f>Inputs!AC309/1000</f>
        <v>266.6321378</v>
      </c>
      <c r="AB11" s="17">
        <f>Inputs!AD309/1000</f>
        <v>261.5430617</v>
      </c>
      <c r="AC11" s="17">
        <f>Inputs!AE309/1000</f>
        <v>274.6045119</v>
      </c>
      <c r="AD11" s="17">
        <f>Inputs!AF309/1000</f>
        <v>293.4205026</v>
      </c>
      <c r="AE11" s="17">
        <f>Inputs!AG309/1000</f>
        <v>310.0400492</v>
      </c>
      <c r="AF11" s="17">
        <f>Inputs!AH309/1000</f>
        <v>238.2740967</v>
      </c>
      <c r="AG11" s="17">
        <f>Inputs!AI309/1000</f>
        <v>227.0926206</v>
      </c>
      <c r="AH11" s="17">
        <f>Inputs!AJ344/1000</f>
        <v>432.755079</v>
      </c>
      <c r="AI11" s="17">
        <f>Inputs!AK344/1000</f>
        <v>458.0501062</v>
      </c>
      <c r="AJ11" s="17">
        <f>Inputs!AL344/1000</f>
        <v>403.2024248</v>
      </c>
      <c r="AK11" s="110">
        <f t="shared" ref="AK11:BW11" si="2">AK20/(1+AK15+AK18)</f>
        <v>392.2414065</v>
      </c>
      <c r="AL11" s="17">
        <f t="shared" si="2"/>
        <v>408.577708</v>
      </c>
      <c r="AM11" s="17">
        <f t="shared" si="2"/>
        <v>453.9266948</v>
      </c>
      <c r="AN11" s="17">
        <f t="shared" si="2"/>
        <v>424.3250798</v>
      </c>
      <c r="AO11" s="17">
        <f t="shared" si="2"/>
        <v>426.2141353</v>
      </c>
      <c r="AP11" s="17">
        <f t="shared" si="2"/>
        <v>457.5002087</v>
      </c>
      <c r="AQ11" s="17">
        <f t="shared" si="2"/>
        <v>504.6150496</v>
      </c>
      <c r="AR11" s="17">
        <f t="shared" si="2"/>
        <v>469.3842448</v>
      </c>
      <c r="AS11" s="17">
        <f t="shared" si="2"/>
        <v>469.151368</v>
      </c>
      <c r="AT11" s="17">
        <f t="shared" si="2"/>
        <v>501.1084961</v>
      </c>
      <c r="AU11" s="17">
        <f t="shared" si="2"/>
        <v>551.3596663</v>
      </c>
      <c r="AV11" s="17">
        <f t="shared" si="2"/>
        <v>512.8652837</v>
      </c>
      <c r="AW11" s="17">
        <f t="shared" si="2"/>
        <v>512.6108346</v>
      </c>
      <c r="AX11" s="17">
        <f t="shared" si="2"/>
        <v>547.528286</v>
      </c>
      <c r="AY11" s="17">
        <f t="shared" si="2"/>
        <v>602.4344337</v>
      </c>
      <c r="AZ11" s="17">
        <f t="shared" si="2"/>
        <v>560.3741544</v>
      </c>
      <c r="BA11" s="17">
        <f t="shared" si="2"/>
        <v>560.0961345</v>
      </c>
      <c r="BB11" s="17">
        <f t="shared" si="2"/>
        <v>598.2481365</v>
      </c>
      <c r="BC11" s="17">
        <f t="shared" si="2"/>
        <v>658.2404718</v>
      </c>
      <c r="BD11" s="17">
        <f t="shared" si="2"/>
        <v>612.2839717</v>
      </c>
      <c r="BE11" s="17">
        <f t="shared" si="2"/>
        <v>611.9801978</v>
      </c>
      <c r="BF11" s="17">
        <f t="shared" si="2"/>
        <v>653.6663803</v>
      </c>
      <c r="BG11" s="17">
        <f t="shared" si="2"/>
        <v>719.2160583</v>
      </c>
      <c r="BH11" s="17">
        <f t="shared" si="2"/>
        <v>669.0024141</v>
      </c>
      <c r="BI11" s="17">
        <f t="shared" si="2"/>
        <v>668.6705002</v>
      </c>
      <c r="BJ11" s="17">
        <f t="shared" si="2"/>
        <v>714.2182494</v>
      </c>
      <c r="BK11" s="17">
        <f t="shared" si="2"/>
        <v>785.84007</v>
      </c>
      <c r="BL11" s="17">
        <f t="shared" si="2"/>
        <v>730.9749245</v>
      </c>
      <c r="BM11" s="17">
        <f t="shared" si="2"/>
        <v>730.6122641</v>
      </c>
      <c r="BN11" s="17">
        <f t="shared" si="2"/>
        <v>780.379293</v>
      </c>
      <c r="BO11" s="17">
        <f t="shared" si="2"/>
        <v>858.6357445</v>
      </c>
      <c r="BP11" s="17">
        <f t="shared" si="2"/>
        <v>798.6882095</v>
      </c>
      <c r="BQ11" s="17">
        <f t="shared" si="2"/>
        <v>798.2919544</v>
      </c>
      <c r="BR11" s="17">
        <f t="shared" si="2"/>
        <v>852.6691127</v>
      </c>
      <c r="BS11" s="17">
        <f t="shared" si="2"/>
        <v>938.1747887</v>
      </c>
      <c r="BT11" s="17">
        <f t="shared" si="2"/>
        <v>872.6740613</v>
      </c>
      <c r="BU11" s="17">
        <f t="shared" si="2"/>
        <v>872.2410993</v>
      </c>
      <c r="BV11" s="17">
        <f t="shared" si="2"/>
        <v>931.6554428</v>
      </c>
      <c r="BW11" s="17">
        <f t="shared" si="2"/>
        <v>1025.08187</v>
      </c>
      <c r="BX11" s="6" t="s">
        <v>35</v>
      </c>
      <c r="BY11" s="17">
        <f>SUM(D11:G11)</f>
        <v>260.732</v>
      </c>
      <c r="BZ11" s="17">
        <f>SUM(H11:K11)</f>
        <v>360.479</v>
      </c>
      <c r="CA11" s="17">
        <f>SUM(L11:O11)</f>
        <v>388.153</v>
      </c>
      <c r="CB11" s="17">
        <f>SUM(P11:S11)</f>
        <v>268.803</v>
      </c>
      <c r="CC11" s="17">
        <f>SUM(T11:W11)</f>
        <v>472.785</v>
      </c>
      <c r="CD11" s="17">
        <f>SUM(X11:AA11)</f>
        <v>885.1024916</v>
      </c>
      <c r="CE11" s="17">
        <f>SUM(AB11:AE11)</f>
        <v>1139.608125</v>
      </c>
      <c r="CF11" s="17">
        <f>SUM(AF11:AI11)</f>
        <v>1356.171902</v>
      </c>
      <c r="CG11" s="17">
        <f>SUM(AJ11:AM11)</f>
        <v>1657.948234</v>
      </c>
      <c r="CH11" s="17">
        <f>SUM(AN11:AQ11)</f>
        <v>1812.654473</v>
      </c>
      <c r="CI11" s="17">
        <f>SUM(AR11:AU11)</f>
        <v>1991.003775</v>
      </c>
      <c r="CJ11" s="17">
        <f>SUM(AV11:AY11)</f>
        <v>2175.438838</v>
      </c>
      <c r="CK11" s="17">
        <f>SUM(AZ11:BC11)</f>
        <v>2376.958897</v>
      </c>
      <c r="CL11" s="17">
        <f>SUM(BD11:BG11)</f>
        <v>2597.146608</v>
      </c>
      <c r="CM11" s="17">
        <f>SUM(BH11:BK11)</f>
        <v>2837.731234</v>
      </c>
      <c r="CN11" s="17">
        <f>SUM(BL11:BO11)</f>
        <v>3100.602226</v>
      </c>
      <c r="CO11" s="17">
        <f>SUM(BP11:BS11)</f>
        <v>3387.824065</v>
      </c>
      <c r="CP11" s="17">
        <f>SUM(BT11:BW11)</f>
        <v>3701.652473</v>
      </c>
      <c r="CQ11" s="6" t="s">
        <v>35</v>
      </c>
      <c r="CR11" s="19">
        <f>(CF11/BY11)^(1/7)-1</f>
        <v>0.2656187936</v>
      </c>
      <c r="CS11" s="19">
        <f>(CE11/CA11)^(1/4)-1</f>
        <v>0.3089954817</v>
      </c>
      <c r="CT11" s="19">
        <f>(CF11/CD11)^(1/2)-1</f>
        <v>0.2378288185</v>
      </c>
      <c r="CU11" s="19">
        <f>(CH11/CE11)^(1/3)-1</f>
        <v>0.1673107813</v>
      </c>
      <c r="CV11" s="19">
        <f>(CJ11/CF11)^(1/4)-1</f>
        <v>0.1254029101</v>
      </c>
      <c r="CW11" s="19">
        <f>(CJ11/CG11)^(1/3)-1</f>
        <v>0.09477608981</v>
      </c>
    </row>
    <row r="12" ht="14.25" customHeight="1">
      <c r="B12" s="10" t="s">
        <v>40</v>
      </c>
      <c r="C12" s="9" t="s">
        <v>42</v>
      </c>
      <c r="D12" s="60"/>
      <c r="H12" s="19">
        <f t="shared" ref="H12:BW12" si="3">H11/D11-1</f>
        <v>0.4306025496</v>
      </c>
      <c r="I12" s="19">
        <f t="shared" si="3"/>
        <v>0.5477309603</v>
      </c>
      <c r="J12" s="19">
        <f t="shared" si="3"/>
        <v>0.3029073397</v>
      </c>
      <c r="K12" s="19">
        <f t="shared" si="3"/>
        <v>0.2850850931</v>
      </c>
      <c r="L12" s="19">
        <f t="shared" si="3"/>
        <v>0.08815519136</v>
      </c>
      <c r="M12" s="19">
        <f t="shared" si="3"/>
        <v>0.1200717621</v>
      </c>
      <c r="N12" s="19">
        <f t="shared" si="3"/>
        <v>0.08507021687</v>
      </c>
      <c r="O12" s="19">
        <f t="shared" si="3"/>
        <v>0.01788191928</v>
      </c>
      <c r="P12" s="19">
        <f t="shared" si="3"/>
        <v>-0.1510604198</v>
      </c>
      <c r="Q12" s="19">
        <f t="shared" si="3"/>
        <v>-0.4637102221</v>
      </c>
      <c r="R12" s="19">
        <f t="shared" si="3"/>
        <v>-0.3522089282</v>
      </c>
      <c r="S12" s="19">
        <f t="shared" si="3"/>
        <v>-0.2444534866</v>
      </c>
      <c r="T12" s="19">
        <f t="shared" si="3"/>
        <v>0.1036400078</v>
      </c>
      <c r="U12" s="19">
        <f t="shared" si="3"/>
        <v>1.180154732</v>
      </c>
      <c r="V12" s="19">
        <f t="shared" si="3"/>
        <v>1.198185477</v>
      </c>
      <c r="W12" s="19">
        <f t="shared" si="3"/>
        <v>0.7613565985</v>
      </c>
      <c r="X12" s="19">
        <f t="shared" si="3"/>
        <v>0.6554186942</v>
      </c>
      <c r="Y12" s="19">
        <f t="shared" si="3"/>
        <v>0.6567793932</v>
      </c>
      <c r="Z12" s="19">
        <f t="shared" si="3"/>
        <v>1.04094418</v>
      </c>
      <c r="AA12" s="19">
        <f t="shared" si="3"/>
        <v>1.038113618</v>
      </c>
      <c r="AB12" s="19">
        <f t="shared" si="3"/>
        <v>0.8511082769</v>
      </c>
      <c r="AC12" s="19">
        <f t="shared" si="3"/>
        <v>0.3678457459</v>
      </c>
      <c r="AD12" s="19">
        <f t="shared" si="3"/>
        <v>0.06148922783</v>
      </c>
      <c r="AE12" s="19">
        <f t="shared" si="3"/>
        <v>0.1628007477</v>
      </c>
      <c r="AF12" s="19">
        <f t="shared" si="3"/>
        <v>-0.0889680073</v>
      </c>
      <c r="AG12" s="19">
        <f t="shared" si="3"/>
        <v>-0.1730193395</v>
      </c>
      <c r="AH12" s="19">
        <f t="shared" si="3"/>
        <v>0.4748631235</v>
      </c>
      <c r="AI12" s="19">
        <f t="shared" si="3"/>
        <v>0.477390122</v>
      </c>
      <c r="AJ12" s="19">
        <f t="shared" si="3"/>
        <v>0.6921790091</v>
      </c>
      <c r="AK12" s="19">
        <f t="shared" si="3"/>
        <v>0.7272309661</v>
      </c>
      <c r="AL12" s="19">
        <f t="shared" si="3"/>
        <v>-0.05586848587</v>
      </c>
      <c r="AM12" s="19">
        <f t="shared" si="3"/>
        <v>-0.00900209686</v>
      </c>
      <c r="AN12" s="19">
        <f t="shared" si="3"/>
        <v>0.05238722212</v>
      </c>
      <c r="AO12" s="19">
        <f t="shared" si="3"/>
        <v>0.08661178636</v>
      </c>
      <c r="AP12" s="19">
        <f t="shared" si="3"/>
        <v>0.1197385459</v>
      </c>
      <c r="AQ12" s="19">
        <f t="shared" si="3"/>
        <v>0.1116663889</v>
      </c>
      <c r="AR12" s="19">
        <f t="shared" si="3"/>
        <v>0.1061901998</v>
      </c>
      <c r="AS12" s="19">
        <f t="shared" si="3"/>
        <v>0.100740987</v>
      </c>
      <c r="AT12" s="19">
        <f t="shared" si="3"/>
        <v>0.09531861757</v>
      </c>
      <c r="AU12" s="19">
        <f t="shared" si="3"/>
        <v>0.0926342105</v>
      </c>
      <c r="AV12" s="19">
        <f t="shared" si="3"/>
        <v>0.0926342105</v>
      </c>
      <c r="AW12" s="19">
        <f t="shared" si="3"/>
        <v>0.0926342105</v>
      </c>
      <c r="AX12" s="19">
        <f t="shared" si="3"/>
        <v>0.0926342105</v>
      </c>
      <c r="AY12" s="19">
        <f t="shared" si="3"/>
        <v>0.0926342105</v>
      </c>
      <c r="AZ12" s="19">
        <f t="shared" si="3"/>
        <v>0.0926342105</v>
      </c>
      <c r="BA12" s="19">
        <f t="shared" si="3"/>
        <v>0.0926342105</v>
      </c>
      <c r="BB12" s="19">
        <f t="shared" si="3"/>
        <v>0.0926342105</v>
      </c>
      <c r="BC12" s="19">
        <f t="shared" si="3"/>
        <v>0.0926342105</v>
      </c>
      <c r="BD12" s="19">
        <f t="shared" si="3"/>
        <v>0.0926342105</v>
      </c>
      <c r="BE12" s="19">
        <f t="shared" si="3"/>
        <v>0.0926342105</v>
      </c>
      <c r="BF12" s="19">
        <f t="shared" si="3"/>
        <v>0.0926342105</v>
      </c>
      <c r="BG12" s="19">
        <f t="shared" si="3"/>
        <v>0.0926342105</v>
      </c>
      <c r="BH12" s="19">
        <f t="shared" si="3"/>
        <v>0.0926342105</v>
      </c>
      <c r="BI12" s="19">
        <f t="shared" si="3"/>
        <v>0.0926342105</v>
      </c>
      <c r="BJ12" s="19">
        <f t="shared" si="3"/>
        <v>0.0926342105</v>
      </c>
      <c r="BK12" s="19">
        <f t="shared" si="3"/>
        <v>0.0926342105</v>
      </c>
      <c r="BL12" s="19">
        <f t="shared" si="3"/>
        <v>0.0926342105</v>
      </c>
      <c r="BM12" s="19">
        <f t="shared" si="3"/>
        <v>0.0926342105</v>
      </c>
      <c r="BN12" s="19">
        <f t="shared" si="3"/>
        <v>0.0926342105</v>
      </c>
      <c r="BO12" s="19">
        <f t="shared" si="3"/>
        <v>0.0926342105</v>
      </c>
      <c r="BP12" s="19">
        <f t="shared" si="3"/>
        <v>0.0926342105</v>
      </c>
      <c r="BQ12" s="19">
        <f t="shared" si="3"/>
        <v>0.0926342105</v>
      </c>
      <c r="BR12" s="19">
        <f t="shared" si="3"/>
        <v>0.0926342105</v>
      </c>
      <c r="BS12" s="19">
        <f t="shared" si="3"/>
        <v>0.0926342105</v>
      </c>
      <c r="BT12" s="19">
        <f t="shared" si="3"/>
        <v>0.0926342105</v>
      </c>
      <c r="BU12" s="19">
        <f t="shared" si="3"/>
        <v>0.0926342105</v>
      </c>
      <c r="BV12" s="19">
        <f t="shared" si="3"/>
        <v>0.0926342105</v>
      </c>
      <c r="BW12" s="19">
        <f t="shared" si="3"/>
        <v>0.0926342105</v>
      </c>
      <c r="BX12" s="6" t="s">
        <v>35</v>
      </c>
      <c r="BY12" s="19"/>
      <c r="BZ12" s="19">
        <f t="shared" ref="BZ12:CP12" si="4">BZ11/BY11-1</f>
        <v>0.3825652394</v>
      </c>
      <c r="CA12" s="19">
        <f t="shared" si="4"/>
        <v>0.07677007537</v>
      </c>
      <c r="CB12" s="19">
        <f t="shared" si="4"/>
        <v>-0.3074818435</v>
      </c>
      <c r="CC12" s="19">
        <f t="shared" si="4"/>
        <v>0.7588531378</v>
      </c>
      <c r="CD12" s="19">
        <f t="shared" si="4"/>
        <v>0.8721035812</v>
      </c>
      <c r="CE12" s="19">
        <f t="shared" si="4"/>
        <v>0.287543687</v>
      </c>
      <c r="CF12" s="19">
        <f t="shared" si="4"/>
        <v>0.1900335494</v>
      </c>
      <c r="CG12" s="19">
        <f t="shared" si="4"/>
        <v>0.2225207077</v>
      </c>
      <c r="CH12" s="19">
        <f t="shared" si="4"/>
        <v>0.09331186353</v>
      </c>
      <c r="CI12" s="19">
        <f t="shared" si="4"/>
        <v>0.09839122923</v>
      </c>
      <c r="CJ12" s="19">
        <f t="shared" si="4"/>
        <v>0.0926342105</v>
      </c>
      <c r="CK12" s="19">
        <f t="shared" si="4"/>
        <v>0.0926342105</v>
      </c>
      <c r="CL12" s="19">
        <f t="shared" si="4"/>
        <v>0.0926342105</v>
      </c>
      <c r="CM12" s="19">
        <f t="shared" si="4"/>
        <v>0.0926342105</v>
      </c>
      <c r="CN12" s="19">
        <f t="shared" si="4"/>
        <v>0.0926342105</v>
      </c>
      <c r="CO12" s="19">
        <f t="shared" si="4"/>
        <v>0.0926342105</v>
      </c>
      <c r="CP12" s="19">
        <f t="shared" si="4"/>
        <v>0.0926342105</v>
      </c>
      <c r="CQ12" s="6" t="s">
        <v>35</v>
      </c>
    </row>
    <row r="13" ht="14.25" customHeight="1">
      <c r="BX13" s="6" t="s">
        <v>35</v>
      </c>
      <c r="CQ13" s="6" t="s">
        <v>35</v>
      </c>
    </row>
    <row r="14" ht="14.25" customHeight="1">
      <c r="B14" s="53" t="s">
        <v>192</v>
      </c>
      <c r="D14" s="54">
        <v>-6.178</v>
      </c>
      <c r="E14" s="54">
        <v>-5.694</v>
      </c>
      <c r="F14" s="54">
        <v>-5.811</v>
      </c>
      <c r="G14" s="54">
        <v>-6.139</v>
      </c>
      <c r="H14" s="54">
        <v>-6.872</v>
      </c>
      <c r="I14" s="54">
        <v>-7.462</v>
      </c>
      <c r="J14" s="54">
        <v>-6.975</v>
      </c>
      <c r="K14" s="54">
        <v>-8.065999999999999</v>
      </c>
      <c r="L14" s="54">
        <v>-7.455</v>
      </c>
      <c r="M14" s="54">
        <v>-7.941</v>
      </c>
      <c r="N14" s="54">
        <v>-7.564</v>
      </c>
      <c r="O14" s="54">
        <v>-8.348</v>
      </c>
      <c r="P14" s="54">
        <v>-6.136</v>
      </c>
      <c r="Q14" s="54">
        <v>-4.427</v>
      </c>
      <c r="R14" s="54">
        <v>-4.343</v>
      </c>
      <c r="S14" s="54">
        <v>-5.587</v>
      </c>
      <c r="T14" s="54">
        <v>-6.225</v>
      </c>
      <c r="U14" s="54">
        <f>Inputs!W370/1000</f>
        <v>-8.837</v>
      </c>
      <c r="V14" s="54">
        <f>Inputs!X370/1000</f>
        <v>-10.4</v>
      </c>
      <c r="W14" s="54">
        <f>Inputs!Y370/1000</f>
        <v>-9.711</v>
      </c>
      <c r="X14" s="54">
        <f>Inputs!Z370/1000</f>
        <v>-10.219</v>
      </c>
      <c r="Y14" s="54">
        <f>Inputs!AA370/1000</f>
        <v>-15.45</v>
      </c>
      <c r="Z14" s="54">
        <f>Inputs!AB370/1000</f>
        <v>-20.534</v>
      </c>
      <c r="AA14" s="54">
        <f>Inputs!AC370/1000</f>
        <v>-18.594</v>
      </c>
      <c r="AB14" s="54">
        <f>Inputs!AD370/1000</f>
        <v>-18.887</v>
      </c>
      <c r="AC14" s="54">
        <f>Inputs!AE370/1000</f>
        <v>-19.862</v>
      </c>
      <c r="AD14" s="54">
        <f>Inputs!AF370/1000</f>
        <v>-22.282</v>
      </c>
      <c r="AE14" s="54">
        <f>Inputs!AG370/1000</f>
        <v>-24.301</v>
      </c>
      <c r="AF14" s="54">
        <f>Inputs!AH370/1000</f>
        <v>-20.594</v>
      </c>
      <c r="AG14" s="54">
        <f>Inputs!AI370/1000</f>
        <v>-18.617</v>
      </c>
      <c r="AH14" s="54">
        <f t="shared" ref="AH14:AJ14" si="5">AH20-AH11+AH17</f>
        <v>-46.1988743</v>
      </c>
      <c r="AI14" s="54">
        <f t="shared" si="5"/>
        <v>-41.65359235</v>
      </c>
      <c r="AJ14" s="54">
        <f t="shared" si="5"/>
        <v>-35.88653488</v>
      </c>
      <c r="AK14" s="54">
        <f t="shared" ref="AK14:BW14" si="6">AK15*AK$11</f>
        <v>-32.1558589</v>
      </c>
      <c r="AL14" s="54">
        <f t="shared" si="6"/>
        <v>-43.61781314</v>
      </c>
      <c r="AM14" s="54">
        <f t="shared" si="6"/>
        <v>-41.27862268</v>
      </c>
      <c r="AN14" s="54">
        <f t="shared" si="6"/>
        <v>-37.76653075</v>
      </c>
      <c r="AO14" s="54">
        <f t="shared" si="6"/>
        <v>-34.94093528</v>
      </c>
      <c r="AP14" s="54">
        <f t="shared" si="6"/>
        <v>-48.84054667</v>
      </c>
      <c r="AQ14" s="54">
        <f t="shared" si="6"/>
        <v>-45.88805741</v>
      </c>
      <c r="AR14" s="54">
        <f t="shared" si="6"/>
        <v>-41.7769662</v>
      </c>
      <c r="AS14" s="54">
        <f t="shared" si="6"/>
        <v>-38.46091958</v>
      </c>
      <c r="AT14" s="54">
        <f t="shared" si="6"/>
        <v>-53.49596005</v>
      </c>
      <c r="AU14" s="54">
        <f t="shared" si="6"/>
        <v>-50.13886138</v>
      </c>
      <c r="AV14" s="54">
        <f t="shared" si="6"/>
        <v>-45.64694248</v>
      </c>
      <c r="AW14" s="54">
        <f t="shared" si="6"/>
        <v>-42.0237165</v>
      </c>
      <c r="AX14" s="54">
        <f t="shared" si="6"/>
        <v>-58.45151608</v>
      </c>
      <c r="AY14" s="54">
        <f t="shared" si="6"/>
        <v>-54.78343522</v>
      </c>
      <c r="AZ14" s="54">
        <f t="shared" si="6"/>
        <v>-49.87541096</v>
      </c>
      <c r="BA14" s="54">
        <f t="shared" si="6"/>
        <v>-45.9165503</v>
      </c>
      <c r="BB14" s="54">
        <f t="shared" si="6"/>
        <v>-63.86612612</v>
      </c>
      <c r="BC14" s="54">
        <f t="shared" si="6"/>
        <v>-59.85825549</v>
      </c>
      <c r="BD14" s="54">
        <f t="shared" si="6"/>
        <v>-54.49558028</v>
      </c>
      <c r="BE14" s="54">
        <f t="shared" si="6"/>
        <v>-50.16999369</v>
      </c>
      <c r="BF14" s="54">
        <f t="shared" si="6"/>
        <v>-69.7823143</v>
      </c>
      <c r="BG14" s="54">
        <f t="shared" si="6"/>
        <v>-65.40317773</v>
      </c>
      <c r="BH14" s="54">
        <f t="shared" si="6"/>
        <v>-59.54373533</v>
      </c>
      <c r="BI14" s="54">
        <f t="shared" si="6"/>
        <v>-54.81745145</v>
      </c>
      <c r="BJ14" s="54">
        <f t="shared" si="6"/>
        <v>-76.24654389</v>
      </c>
      <c r="BK14" s="54">
        <f t="shared" si="6"/>
        <v>-71.46174946</v>
      </c>
      <c r="BL14" s="54">
        <f t="shared" si="6"/>
        <v>-65.05952224</v>
      </c>
      <c r="BM14" s="54">
        <f t="shared" si="6"/>
        <v>-59.89542278</v>
      </c>
      <c r="BN14" s="54">
        <f t="shared" si="6"/>
        <v>-83.30958228</v>
      </c>
      <c r="BO14" s="54">
        <f t="shared" si="6"/>
        <v>-78.0815522</v>
      </c>
      <c r="BP14" s="54">
        <f t="shared" si="6"/>
        <v>-71.08625972</v>
      </c>
      <c r="BQ14" s="54">
        <f t="shared" si="6"/>
        <v>-65.44378798</v>
      </c>
      <c r="BR14" s="54">
        <f t="shared" si="6"/>
        <v>-91.02689967</v>
      </c>
      <c r="BS14" s="54">
        <f t="shared" si="6"/>
        <v>-85.31457515</v>
      </c>
      <c r="BT14" s="54">
        <f t="shared" si="6"/>
        <v>-77.67127927</v>
      </c>
      <c r="BU14" s="54">
        <f t="shared" si="6"/>
        <v>-71.50612162</v>
      </c>
      <c r="BV14" s="54">
        <f t="shared" si="6"/>
        <v>-99.45910465</v>
      </c>
      <c r="BW14" s="54">
        <f t="shared" si="6"/>
        <v>-93.21762346</v>
      </c>
      <c r="BX14" s="6" t="s">
        <v>35</v>
      </c>
      <c r="BY14" s="54">
        <f>SUM(D14:G14)</f>
        <v>-23.822</v>
      </c>
      <c r="BZ14" s="54">
        <f>SUM(H14:K14)</f>
        <v>-29.375</v>
      </c>
      <c r="CA14" s="54">
        <f>SUM(L14:O14)</f>
        <v>-31.308</v>
      </c>
      <c r="CB14" s="54">
        <f>SUM(P14:S14)</f>
        <v>-20.493</v>
      </c>
      <c r="CC14" s="54">
        <f>SUM(T14:W14)</f>
        <v>-35.173</v>
      </c>
      <c r="CD14" s="54">
        <f>SUM(X14:AA14)</f>
        <v>-64.797</v>
      </c>
      <c r="CE14" s="54">
        <f>SUM(AB14:AE14)</f>
        <v>-85.332</v>
      </c>
      <c r="CF14" s="54">
        <f>SUM(AF14:AI14)</f>
        <v>-127.0634667</v>
      </c>
      <c r="CG14" s="54">
        <f>SUM(AJ14:AM14)</f>
        <v>-152.9388296</v>
      </c>
      <c r="CH14" s="54">
        <f>SUM(AN14:AQ14)</f>
        <v>-167.4360701</v>
      </c>
      <c r="CI14" s="54">
        <f>SUM(AR14:AU14)</f>
        <v>-183.8727072</v>
      </c>
      <c r="CJ14" s="54">
        <f>SUM(AV14:AY14)</f>
        <v>-200.9056103</v>
      </c>
      <c r="CK14" s="54">
        <f>SUM(AZ14:BC14)</f>
        <v>-219.5163429</v>
      </c>
      <c r="CL14" s="54">
        <f>SUM(BD14:BG14)</f>
        <v>-239.851066</v>
      </c>
      <c r="CM14" s="54">
        <f>SUM(BH14:BK14)</f>
        <v>-262.0694801</v>
      </c>
      <c r="CN14" s="54">
        <f>SUM(BL14:BO14)</f>
        <v>-286.3460795</v>
      </c>
      <c r="CO14" s="54">
        <f>SUM(BP14:BS14)</f>
        <v>-312.8715225</v>
      </c>
      <c r="CP14" s="54">
        <f>SUM(BT14:BW14)</f>
        <v>-341.854129</v>
      </c>
      <c r="CQ14" s="6" t="s">
        <v>35</v>
      </c>
    </row>
    <row r="15" ht="14.25" customHeight="1">
      <c r="B15" s="10" t="s">
        <v>193</v>
      </c>
      <c r="D15" s="19">
        <f t="shared" ref="D15:AJ15" si="7">D14/D$11</f>
        <v>-0.1055743532</v>
      </c>
      <c r="E15" s="19">
        <f t="shared" si="7"/>
        <v>-0.09524446749</v>
      </c>
      <c r="F15" s="19">
        <f t="shared" si="7"/>
        <v>-0.08637295996</v>
      </c>
      <c r="G15" s="19">
        <f t="shared" si="7"/>
        <v>-0.08168669248</v>
      </c>
      <c r="H15" s="19">
        <f t="shared" si="7"/>
        <v>-0.08208705624</v>
      </c>
      <c r="I15" s="19">
        <f t="shared" si="7"/>
        <v>-0.08064585855</v>
      </c>
      <c r="J15" s="19">
        <f t="shared" si="7"/>
        <v>-0.07957151169</v>
      </c>
      <c r="K15" s="19">
        <f t="shared" si="7"/>
        <v>-0.08351798546</v>
      </c>
      <c r="L15" s="19">
        <f t="shared" si="7"/>
        <v>-0.08183674366</v>
      </c>
      <c r="M15" s="19">
        <f t="shared" si="7"/>
        <v>-0.07662247438</v>
      </c>
      <c r="N15" s="19">
        <f t="shared" si="7"/>
        <v>-0.07952562189</v>
      </c>
      <c r="O15" s="19">
        <f t="shared" si="7"/>
        <v>-0.08491938355</v>
      </c>
      <c r="P15" s="19">
        <f t="shared" si="7"/>
        <v>-0.07934311761</v>
      </c>
      <c r="Q15" s="19">
        <f t="shared" si="7"/>
        <v>-0.07965095358</v>
      </c>
      <c r="R15" s="19">
        <f t="shared" si="7"/>
        <v>-0.07048722693</v>
      </c>
      <c r="S15" s="19">
        <f t="shared" si="7"/>
        <v>-0.07522147723</v>
      </c>
      <c r="T15" s="19">
        <f t="shared" si="7"/>
        <v>-0.07293497364</v>
      </c>
      <c r="U15" s="19">
        <f t="shared" si="7"/>
        <v>-0.07292878777</v>
      </c>
      <c r="V15" s="19">
        <f t="shared" si="7"/>
        <v>-0.076787336</v>
      </c>
      <c r="W15" s="19">
        <f t="shared" si="7"/>
        <v>-0.07423006658</v>
      </c>
      <c r="X15" s="19">
        <f t="shared" si="7"/>
        <v>-0.07232642823</v>
      </c>
      <c r="Y15" s="19">
        <f t="shared" si="7"/>
        <v>-0.07695873834</v>
      </c>
      <c r="Z15" s="19">
        <f t="shared" si="7"/>
        <v>-0.07428458342</v>
      </c>
      <c r="AA15" s="19">
        <f t="shared" si="7"/>
        <v>-0.0697365297</v>
      </c>
      <c r="AB15" s="19">
        <f t="shared" si="7"/>
        <v>-0.07221372984</v>
      </c>
      <c r="AC15" s="19">
        <f t="shared" si="7"/>
        <v>-0.07232947436</v>
      </c>
      <c r="AD15" s="19">
        <f t="shared" si="7"/>
        <v>-0.07593879705</v>
      </c>
      <c r="AE15" s="19">
        <f t="shared" si="7"/>
        <v>-0.07838019656</v>
      </c>
      <c r="AF15" s="19">
        <f t="shared" si="7"/>
        <v>-0.08642987336</v>
      </c>
      <c r="AG15" s="19">
        <f t="shared" si="7"/>
        <v>-0.08197976646</v>
      </c>
      <c r="AH15" s="19">
        <f t="shared" si="7"/>
        <v>-0.1067552446</v>
      </c>
      <c r="AI15" s="19">
        <f t="shared" si="7"/>
        <v>-0.09093675951</v>
      </c>
      <c r="AJ15" s="19">
        <f t="shared" si="7"/>
        <v>-0.08900376752</v>
      </c>
      <c r="AK15" s="111">
        <f t="shared" ref="AK15:BW15" si="8">AG15</f>
        <v>-0.08197976646</v>
      </c>
      <c r="AL15" s="111">
        <f t="shared" si="8"/>
        <v>-0.1067552446</v>
      </c>
      <c r="AM15" s="111">
        <f t="shared" si="8"/>
        <v>-0.09093675951</v>
      </c>
      <c r="AN15" s="111">
        <f t="shared" si="8"/>
        <v>-0.08900376752</v>
      </c>
      <c r="AO15" s="111">
        <f t="shared" si="8"/>
        <v>-0.08197976646</v>
      </c>
      <c r="AP15" s="111">
        <f t="shared" si="8"/>
        <v>-0.1067552446</v>
      </c>
      <c r="AQ15" s="111">
        <f t="shared" si="8"/>
        <v>-0.09093675951</v>
      </c>
      <c r="AR15" s="111">
        <f t="shared" si="8"/>
        <v>-0.08900376752</v>
      </c>
      <c r="AS15" s="111">
        <f t="shared" si="8"/>
        <v>-0.08197976646</v>
      </c>
      <c r="AT15" s="111">
        <f t="shared" si="8"/>
        <v>-0.1067552446</v>
      </c>
      <c r="AU15" s="111">
        <f t="shared" si="8"/>
        <v>-0.09093675951</v>
      </c>
      <c r="AV15" s="111">
        <f t="shared" si="8"/>
        <v>-0.08900376752</v>
      </c>
      <c r="AW15" s="111">
        <f t="shared" si="8"/>
        <v>-0.08197976646</v>
      </c>
      <c r="AX15" s="111">
        <f t="shared" si="8"/>
        <v>-0.1067552446</v>
      </c>
      <c r="AY15" s="111">
        <f t="shared" si="8"/>
        <v>-0.09093675951</v>
      </c>
      <c r="AZ15" s="111">
        <f t="shared" si="8"/>
        <v>-0.08900376752</v>
      </c>
      <c r="BA15" s="111">
        <f t="shared" si="8"/>
        <v>-0.08197976646</v>
      </c>
      <c r="BB15" s="111">
        <f t="shared" si="8"/>
        <v>-0.1067552446</v>
      </c>
      <c r="BC15" s="111">
        <f t="shared" si="8"/>
        <v>-0.09093675951</v>
      </c>
      <c r="BD15" s="111">
        <f t="shared" si="8"/>
        <v>-0.08900376752</v>
      </c>
      <c r="BE15" s="111">
        <f t="shared" si="8"/>
        <v>-0.08197976646</v>
      </c>
      <c r="BF15" s="111">
        <f t="shared" si="8"/>
        <v>-0.1067552446</v>
      </c>
      <c r="BG15" s="111">
        <f t="shared" si="8"/>
        <v>-0.09093675951</v>
      </c>
      <c r="BH15" s="111">
        <f t="shared" si="8"/>
        <v>-0.08900376752</v>
      </c>
      <c r="BI15" s="111">
        <f t="shared" si="8"/>
        <v>-0.08197976646</v>
      </c>
      <c r="BJ15" s="111">
        <f t="shared" si="8"/>
        <v>-0.1067552446</v>
      </c>
      <c r="BK15" s="111">
        <f t="shared" si="8"/>
        <v>-0.09093675951</v>
      </c>
      <c r="BL15" s="111">
        <f t="shared" si="8"/>
        <v>-0.08900376752</v>
      </c>
      <c r="BM15" s="111">
        <f t="shared" si="8"/>
        <v>-0.08197976646</v>
      </c>
      <c r="BN15" s="111">
        <f t="shared" si="8"/>
        <v>-0.1067552446</v>
      </c>
      <c r="BO15" s="111">
        <f t="shared" si="8"/>
        <v>-0.09093675951</v>
      </c>
      <c r="BP15" s="111">
        <f t="shared" si="8"/>
        <v>-0.08900376752</v>
      </c>
      <c r="BQ15" s="111">
        <f t="shared" si="8"/>
        <v>-0.08197976646</v>
      </c>
      <c r="BR15" s="111">
        <f t="shared" si="8"/>
        <v>-0.1067552446</v>
      </c>
      <c r="BS15" s="111">
        <f t="shared" si="8"/>
        <v>-0.09093675951</v>
      </c>
      <c r="BT15" s="111">
        <f t="shared" si="8"/>
        <v>-0.08900376752</v>
      </c>
      <c r="BU15" s="111">
        <f t="shared" si="8"/>
        <v>-0.08197976646</v>
      </c>
      <c r="BV15" s="111">
        <f t="shared" si="8"/>
        <v>-0.1067552446</v>
      </c>
      <c r="BW15" s="111">
        <f t="shared" si="8"/>
        <v>-0.09093675951</v>
      </c>
      <c r="BX15" s="6" t="s">
        <v>35</v>
      </c>
      <c r="BY15" s="54"/>
      <c r="BZ15" s="54"/>
      <c r="CA15" s="54"/>
      <c r="CB15" s="54"/>
      <c r="CC15" s="54"/>
      <c r="CD15" s="54"/>
      <c r="CE15" s="19">
        <f t="shared" ref="CE15:CP15" si="9">CE14/CE11</f>
        <v>-0.07487837099</v>
      </c>
      <c r="CF15" s="19">
        <f t="shared" si="9"/>
        <v>-0.09369274383</v>
      </c>
      <c r="CG15" s="19">
        <f t="shared" si="9"/>
        <v>-0.09224584125</v>
      </c>
      <c r="CH15" s="19">
        <f t="shared" si="9"/>
        <v>-0.09237064899</v>
      </c>
      <c r="CI15" s="19">
        <f t="shared" si="9"/>
        <v>-0.09235176222</v>
      </c>
      <c r="CJ15" s="19">
        <f t="shared" si="9"/>
        <v>-0.09235176222</v>
      </c>
      <c r="CK15" s="19">
        <f t="shared" si="9"/>
        <v>-0.09235176222</v>
      </c>
      <c r="CL15" s="19">
        <f t="shared" si="9"/>
        <v>-0.09235176222</v>
      </c>
      <c r="CM15" s="19">
        <f t="shared" si="9"/>
        <v>-0.09235176222</v>
      </c>
      <c r="CN15" s="19">
        <f t="shared" si="9"/>
        <v>-0.09235176222</v>
      </c>
      <c r="CO15" s="19">
        <f t="shared" si="9"/>
        <v>-0.09235176222</v>
      </c>
      <c r="CP15" s="19">
        <f t="shared" si="9"/>
        <v>-0.09235176222</v>
      </c>
      <c r="CQ15" s="6"/>
    </row>
    <row r="16" ht="14.25" customHeight="1">
      <c r="B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BX16" s="6" t="s">
        <v>35</v>
      </c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6"/>
    </row>
    <row r="17" ht="14.25" customHeight="1">
      <c r="B17" s="53" t="s">
        <v>194</v>
      </c>
      <c r="D17" s="54">
        <v>-0.048</v>
      </c>
      <c r="E17" s="54">
        <v>-0.063</v>
      </c>
      <c r="F17" s="54">
        <v>-0.068</v>
      </c>
      <c r="G17" s="54">
        <v>-0.22899999999999998</v>
      </c>
      <c r="H17" s="54">
        <v>-0.748</v>
      </c>
      <c r="I17" s="54">
        <v>-0.74</v>
      </c>
      <c r="J17" s="54">
        <v>-0.798</v>
      </c>
      <c r="K17" s="54">
        <v>-1.5809999999999997</v>
      </c>
      <c r="L17" s="54">
        <v>-0.761</v>
      </c>
      <c r="M17" s="54">
        <v>-3.241</v>
      </c>
      <c r="N17" s="54">
        <v>-2.162</v>
      </c>
      <c r="O17" s="54">
        <v>-2.0690000000000004</v>
      </c>
      <c r="P17" s="54">
        <v>-0.077</v>
      </c>
      <c r="Q17" s="54">
        <v>-2.967</v>
      </c>
      <c r="R17" s="54">
        <v>-2.444</v>
      </c>
      <c r="S17" s="54">
        <v>-0.6090000000000009</v>
      </c>
      <c r="T17" s="54">
        <v>-0.684</v>
      </c>
      <c r="U17" s="54">
        <f>Inputs!W371/1000</f>
        <v>-0.812</v>
      </c>
      <c r="V17" s="54">
        <f>Inputs!X371/1000</f>
        <v>-1.456</v>
      </c>
      <c r="W17" s="54">
        <f>Inputs!Y371/1000</f>
        <v>-1.519</v>
      </c>
      <c r="X17" s="54">
        <f>Inputs!Z371/1000</f>
        <v>-1.783</v>
      </c>
      <c r="Y17" s="54">
        <f>Inputs!AA371/1000</f>
        <v>-1.365</v>
      </c>
      <c r="Z17" s="54">
        <f>Inputs!AB371/1000</f>
        <v>-1.45</v>
      </c>
      <c r="AA17" s="54">
        <f>Inputs!AC371/1000</f>
        <v>-2.213</v>
      </c>
      <c r="AB17" s="54">
        <f>Inputs!AD371/1000</f>
        <v>-1.394</v>
      </c>
      <c r="AC17" s="54">
        <f>Inputs!AE371/1000</f>
        <v>-0.808</v>
      </c>
      <c r="AD17" s="54">
        <f>Inputs!AF371/1000</f>
        <v>-2.182</v>
      </c>
      <c r="AE17" s="54">
        <f>Inputs!AG371/1000</f>
        <v>-3.481</v>
      </c>
      <c r="AF17" s="54">
        <f>Inputs!AH371/1000</f>
        <v>-1.249</v>
      </c>
      <c r="AG17" s="54">
        <f>Inputs!AI371/1000</f>
        <v>-3.215</v>
      </c>
      <c r="AH17" s="54">
        <f>Inputs!AJ371/1000</f>
        <v>-6.12</v>
      </c>
      <c r="AI17" s="54">
        <f>Inputs!AK371/1000</f>
        <v>-3.296</v>
      </c>
      <c r="AJ17" s="54">
        <f>Inputs!AL371/1000</f>
        <v>-1.529</v>
      </c>
      <c r="AK17" s="54">
        <f t="shared" ref="AK17:BW17" si="10">AK18*AK$11</f>
        <v>-5.553047556</v>
      </c>
      <c r="AL17" s="54">
        <f t="shared" si="10"/>
        <v>-5.778084866</v>
      </c>
      <c r="AM17" s="54">
        <f t="shared" si="10"/>
        <v>-3.266329089</v>
      </c>
      <c r="AN17" s="54">
        <f t="shared" si="10"/>
        <v>-1.609100063</v>
      </c>
      <c r="AO17" s="54">
        <f t="shared" si="10"/>
        <v>-6.034006925</v>
      </c>
      <c r="AP17" s="54">
        <f t="shared" si="10"/>
        <v>-6.469944346</v>
      </c>
      <c r="AQ17" s="54">
        <f t="shared" si="10"/>
        <v>-3.631068263</v>
      </c>
      <c r="AR17" s="54">
        <f t="shared" si="10"/>
        <v>-1.77997072</v>
      </c>
      <c r="AS17" s="54">
        <f t="shared" si="10"/>
        <v>-6.641878737</v>
      </c>
      <c r="AT17" s="54">
        <f t="shared" si="10"/>
        <v>-7.086650497</v>
      </c>
      <c r="AU17" s="54">
        <f t="shared" si="10"/>
        <v>-3.967429405</v>
      </c>
      <c r="AV17" s="54">
        <f t="shared" si="10"/>
        <v>-1.944856902</v>
      </c>
      <c r="AW17" s="54">
        <f t="shared" si="10"/>
        <v>-7.257143931</v>
      </c>
      <c r="AX17" s="54">
        <f t="shared" si="10"/>
        <v>-7.743116771</v>
      </c>
      <c r="AY17" s="54">
        <f t="shared" si="10"/>
        <v>-4.334949095</v>
      </c>
      <c r="AZ17" s="54">
        <f t="shared" si="10"/>
        <v>-2.125017186</v>
      </c>
      <c r="BA17" s="54">
        <f t="shared" si="10"/>
        <v>-7.929403729</v>
      </c>
      <c r="BB17" s="54">
        <f t="shared" si="10"/>
        <v>-8.46039428</v>
      </c>
      <c r="BC17" s="54">
        <f t="shared" si="10"/>
        <v>-4.736513682</v>
      </c>
      <c r="BD17" s="54">
        <f t="shared" si="10"/>
        <v>-2.321866475</v>
      </c>
      <c r="BE17" s="54">
        <f t="shared" si="10"/>
        <v>-8.663937783</v>
      </c>
      <c r="BF17" s="54">
        <f t="shared" si="10"/>
        <v>-9.244116225</v>
      </c>
      <c r="BG17" s="54">
        <f t="shared" si="10"/>
        <v>-5.175276888</v>
      </c>
      <c r="BH17" s="54">
        <f t="shared" si="10"/>
        <v>-2.536950743</v>
      </c>
      <c r="BI17" s="54">
        <f t="shared" si="10"/>
        <v>-9.46651482</v>
      </c>
      <c r="BJ17" s="54">
        <f t="shared" si="10"/>
        <v>-10.10043763</v>
      </c>
      <c r="BK17" s="54">
        <f t="shared" si="10"/>
        <v>-5.654684577</v>
      </c>
      <c r="BL17" s="54">
        <f t="shared" si="10"/>
        <v>-2.771959172</v>
      </c>
      <c r="BM17" s="54">
        <f t="shared" si="10"/>
        <v>-10.34343795</v>
      </c>
      <c r="BN17" s="54">
        <f t="shared" si="10"/>
        <v>-11.0360837</v>
      </c>
      <c r="BO17" s="54">
        <f t="shared" si="10"/>
        <v>-6.178501818</v>
      </c>
      <c r="BP17" s="54">
        <f t="shared" si="10"/>
        <v>-3.028737421</v>
      </c>
      <c r="BQ17" s="54">
        <f t="shared" si="10"/>
        <v>-11.30159415</v>
      </c>
      <c r="BR17" s="54">
        <f t="shared" si="10"/>
        <v>-12.0584026</v>
      </c>
      <c r="BS17" s="54">
        <f t="shared" si="10"/>
        <v>-6.750842456</v>
      </c>
      <c r="BT17" s="54">
        <f t="shared" si="10"/>
        <v>-3.309302121</v>
      </c>
      <c r="BU17" s="54">
        <f t="shared" si="10"/>
        <v>-12.34850841</v>
      </c>
      <c r="BV17" s="54">
        <f t="shared" si="10"/>
        <v>-13.1754232</v>
      </c>
      <c r="BW17" s="54">
        <f t="shared" si="10"/>
        <v>-7.376201417</v>
      </c>
      <c r="BX17" s="6" t="s">
        <v>35</v>
      </c>
      <c r="BY17" s="54">
        <f>SUM(D17:G17)</f>
        <v>-0.408</v>
      </c>
      <c r="BZ17" s="54">
        <f>SUM(H17:K17)</f>
        <v>-3.867</v>
      </c>
      <c r="CA17" s="54">
        <f>SUM(L17:O17)</f>
        <v>-8.233</v>
      </c>
      <c r="CB17" s="54">
        <f>SUM(P17:S17)</f>
        <v>-6.097</v>
      </c>
      <c r="CC17" s="54">
        <f>SUM(T17:W17)</f>
        <v>-4.471</v>
      </c>
      <c r="CD17" s="54">
        <f>SUM(X17:AA17)</f>
        <v>-6.811</v>
      </c>
      <c r="CE17" s="54">
        <f>SUM(AB17:AE17)</f>
        <v>-7.865</v>
      </c>
      <c r="CF17" s="54">
        <f>SUM(AF17:AI17)</f>
        <v>-13.88</v>
      </c>
      <c r="CG17" s="54">
        <f>SUM(AJ17:AM17)</f>
        <v>-16.12646151</v>
      </c>
      <c r="CH17" s="54">
        <f>SUM(AN17:AQ17)</f>
        <v>-17.7441196</v>
      </c>
      <c r="CI17" s="54">
        <f>SUM(AR17:AU17)</f>
        <v>-19.47592936</v>
      </c>
      <c r="CJ17" s="54">
        <f>SUM(AV17:AY17)</f>
        <v>-21.2800667</v>
      </c>
      <c r="CK17" s="54">
        <f>SUM(AZ17:BC17)</f>
        <v>-23.25132888</v>
      </c>
      <c r="CL17" s="54">
        <f>SUM(BD17:BG17)</f>
        <v>-25.40519737</v>
      </c>
      <c r="CM17" s="54">
        <f>SUM(BH17:BK17)</f>
        <v>-27.75858777</v>
      </c>
      <c r="CN17" s="54">
        <f>SUM(BL17:BO17)</f>
        <v>-30.32998263</v>
      </c>
      <c r="CO17" s="54">
        <f>SUM(BP17:BS17)</f>
        <v>-33.13957663</v>
      </c>
      <c r="CP17" s="54">
        <f>SUM(BT17:BW17)</f>
        <v>-36.20943515</v>
      </c>
      <c r="CQ17" s="6" t="s">
        <v>35</v>
      </c>
    </row>
    <row r="18" ht="14.25" customHeight="1">
      <c r="B18" s="10" t="s">
        <v>193</v>
      </c>
      <c r="D18" s="19">
        <f t="shared" ref="D18:AJ18" si="11">D17/D$11</f>
        <v>-0.0008202604327</v>
      </c>
      <c r="E18" s="19">
        <f t="shared" si="11"/>
        <v>-0.001053811284</v>
      </c>
      <c r="F18" s="19">
        <f t="shared" si="11"/>
        <v>-0.001010731591</v>
      </c>
      <c r="G18" s="19">
        <f t="shared" si="11"/>
        <v>-0.003047117214</v>
      </c>
      <c r="H18" s="19">
        <f t="shared" si="11"/>
        <v>-0.008934970615</v>
      </c>
      <c r="I18" s="19">
        <f t="shared" si="11"/>
        <v>-0.007997579111</v>
      </c>
      <c r="J18" s="19">
        <f t="shared" si="11"/>
        <v>-0.009103665423</v>
      </c>
      <c r="K18" s="19">
        <f t="shared" si="11"/>
        <v>-0.01637018783</v>
      </c>
      <c r="L18" s="19">
        <f t="shared" si="11"/>
        <v>-0.008353824537</v>
      </c>
      <c r="M18" s="19">
        <f t="shared" si="11"/>
        <v>-0.03127231324</v>
      </c>
      <c r="N18" s="19">
        <f t="shared" si="11"/>
        <v>-0.022730618</v>
      </c>
      <c r="O18" s="19">
        <f t="shared" si="11"/>
        <v>-0.02104674228</v>
      </c>
      <c r="P18" s="19">
        <f t="shared" si="11"/>
        <v>-0.0009956681968</v>
      </c>
      <c r="Q18" s="19">
        <f t="shared" si="11"/>
        <v>-0.05338251169</v>
      </c>
      <c r="R18" s="19">
        <f t="shared" si="11"/>
        <v>-0.0396663096</v>
      </c>
      <c r="S18" s="19">
        <f t="shared" si="11"/>
        <v>-0.008199369901</v>
      </c>
      <c r="T18" s="19">
        <f t="shared" si="11"/>
        <v>-0.008014059754</v>
      </c>
      <c r="U18" s="19">
        <f t="shared" si="11"/>
        <v>-0.0067011628</v>
      </c>
      <c r="V18" s="19">
        <f t="shared" si="11"/>
        <v>-0.01075022704</v>
      </c>
      <c r="W18" s="19">
        <f t="shared" si="11"/>
        <v>-0.01161110814</v>
      </c>
      <c r="X18" s="19">
        <f t="shared" si="11"/>
        <v>-0.01261943649</v>
      </c>
      <c r="Y18" s="19">
        <f t="shared" si="11"/>
        <v>-0.006799267173</v>
      </c>
      <c r="Z18" s="19">
        <f t="shared" si="11"/>
        <v>-0.005245575434</v>
      </c>
      <c r="AA18" s="19">
        <f t="shared" si="11"/>
        <v>-0.008299824687</v>
      </c>
      <c r="AB18" s="19">
        <f t="shared" si="11"/>
        <v>-0.005329906253</v>
      </c>
      <c r="AC18" s="19">
        <f t="shared" si="11"/>
        <v>-0.002942413417</v>
      </c>
      <c r="AD18" s="19">
        <f t="shared" si="11"/>
        <v>-0.007436426495</v>
      </c>
      <c r="AE18" s="19">
        <f t="shared" si="11"/>
        <v>-0.01122758175</v>
      </c>
      <c r="AF18" s="19">
        <f t="shared" si="11"/>
        <v>-0.005241862281</v>
      </c>
      <c r="AG18" s="19">
        <f t="shared" si="11"/>
        <v>-0.01415721916</v>
      </c>
      <c r="AH18" s="19">
        <f t="shared" si="11"/>
        <v>-0.01414194841</v>
      </c>
      <c r="AI18" s="19">
        <f t="shared" si="11"/>
        <v>-0.007195719323</v>
      </c>
      <c r="AJ18" s="19">
        <f t="shared" si="11"/>
        <v>-0.003792139893</v>
      </c>
      <c r="AK18" s="111">
        <f t="shared" ref="AK18:BW18" si="12">AG18</f>
        <v>-0.01415721916</v>
      </c>
      <c r="AL18" s="111">
        <f t="shared" si="12"/>
        <v>-0.01414194841</v>
      </c>
      <c r="AM18" s="111">
        <f t="shared" si="12"/>
        <v>-0.007195719323</v>
      </c>
      <c r="AN18" s="111">
        <f t="shared" si="12"/>
        <v>-0.003792139893</v>
      </c>
      <c r="AO18" s="111">
        <f t="shared" si="12"/>
        <v>-0.01415721916</v>
      </c>
      <c r="AP18" s="111">
        <f t="shared" si="12"/>
        <v>-0.01414194841</v>
      </c>
      <c r="AQ18" s="111">
        <f t="shared" si="12"/>
        <v>-0.007195719323</v>
      </c>
      <c r="AR18" s="111">
        <f t="shared" si="12"/>
        <v>-0.003792139893</v>
      </c>
      <c r="AS18" s="111">
        <f t="shared" si="12"/>
        <v>-0.01415721916</v>
      </c>
      <c r="AT18" s="111">
        <f t="shared" si="12"/>
        <v>-0.01414194841</v>
      </c>
      <c r="AU18" s="111">
        <f t="shared" si="12"/>
        <v>-0.007195719323</v>
      </c>
      <c r="AV18" s="111">
        <f t="shared" si="12"/>
        <v>-0.003792139893</v>
      </c>
      <c r="AW18" s="111">
        <f t="shared" si="12"/>
        <v>-0.01415721916</v>
      </c>
      <c r="AX18" s="111">
        <f t="shared" si="12"/>
        <v>-0.01414194841</v>
      </c>
      <c r="AY18" s="111">
        <f t="shared" si="12"/>
        <v>-0.007195719323</v>
      </c>
      <c r="AZ18" s="111">
        <f t="shared" si="12"/>
        <v>-0.003792139893</v>
      </c>
      <c r="BA18" s="111">
        <f t="shared" si="12"/>
        <v>-0.01415721916</v>
      </c>
      <c r="BB18" s="111">
        <f t="shared" si="12"/>
        <v>-0.01414194841</v>
      </c>
      <c r="BC18" s="111">
        <f t="shared" si="12"/>
        <v>-0.007195719323</v>
      </c>
      <c r="BD18" s="111">
        <f t="shared" si="12"/>
        <v>-0.003792139893</v>
      </c>
      <c r="BE18" s="111">
        <f t="shared" si="12"/>
        <v>-0.01415721916</v>
      </c>
      <c r="BF18" s="111">
        <f t="shared" si="12"/>
        <v>-0.01414194841</v>
      </c>
      <c r="BG18" s="111">
        <f t="shared" si="12"/>
        <v>-0.007195719323</v>
      </c>
      <c r="BH18" s="111">
        <f t="shared" si="12"/>
        <v>-0.003792139893</v>
      </c>
      <c r="BI18" s="111">
        <f t="shared" si="12"/>
        <v>-0.01415721916</v>
      </c>
      <c r="BJ18" s="111">
        <f t="shared" si="12"/>
        <v>-0.01414194841</v>
      </c>
      <c r="BK18" s="111">
        <f t="shared" si="12"/>
        <v>-0.007195719323</v>
      </c>
      <c r="BL18" s="111">
        <f t="shared" si="12"/>
        <v>-0.003792139893</v>
      </c>
      <c r="BM18" s="111">
        <f t="shared" si="12"/>
        <v>-0.01415721916</v>
      </c>
      <c r="BN18" s="111">
        <f t="shared" si="12"/>
        <v>-0.01414194841</v>
      </c>
      <c r="BO18" s="111">
        <f t="shared" si="12"/>
        <v>-0.007195719323</v>
      </c>
      <c r="BP18" s="111">
        <f t="shared" si="12"/>
        <v>-0.003792139893</v>
      </c>
      <c r="BQ18" s="111">
        <f t="shared" si="12"/>
        <v>-0.01415721916</v>
      </c>
      <c r="BR18" s="111">
        <f t="shared" si="12"/>
        <v>-0.01414194841</v>
      </c>
      <c r="BS18" s="111">
        <f t="shared" si="12"/>
        <v>-0.007195719323</v>
      </c>
      <c r="BT18" s="111">
        <f t="shared" si="12"/>
        <v>-0.003792139893</v>
      </c>
      <c r="BU18" s="111">
        <f t="shared" si="12"/>
        <v>-0.01415721916</v>
      </c>
      <c r="BV18" s="111">
        <f t="shared" si="12"/>
        <v>-0.01414194841</v>
      </c>
      <c r="BW18" s="111">
        <f t="shared" si="12"/>
        <v>-0.007195719323</v>
      </c>
      <c r="BX18" s="6" t="s">
        <v>35</v>
      </c>
      <c r="BY18" s="54"/>
      <c r="BZ18" s="54"/>
      <c r="CA18" s="54"/>
      <c r="CB18" s="54"/>
      <c r="CC18" s="54"/>
      <c r="CD18" s="54"/>
      <c r="CE18" s="19">
        <f t="shared" ref="CE18:CP18" si="13">CE17/CE11</f>
        <v>-0.006901495193</v>
      </c>
      <c r="CF18" s="19">
        <f t="shared" si="13"/>
        <v>-0.01023469073</v>
      </c>
      <c r="CG18" s="19">
        <f t="shared" si="13"/>
        <v>-0.009726758158</v>
      </c>
      <c r="CH18" s="19">
        <f t="shared" si="13"/>
        <v>-0.009789024802</v>
      </c>
      <c r="CI18" s="19">
        <f t="shared" si="13"/>
        <v>-0.009781965058</v>
      </c>
      <c r="CJ18" s="19">
        <f t="shared" si="13"/>
        <v>-0.009781965058</v>
      </c>
      <c r="CK18" s="19">
        <f t="shared" si="13"/>
        <v>-0.009781965058</v>
      </c>
      <c r="CL18" s="19">
        <f t="shared" si="13"/>
        <v>-0.009781965058</v>
      </c>
      <c r="CM18" s="19">
        <f t="shared" si="13"/>
        <v>-0.009781965058</v>
      </c>
      <c r="CN18" s="19">
        <f t="shared" si="13"/>
        <v>-0.009781965058</v>
      </c>
      <c r="CO18" s="19">
        <f t="shared" si="13"/>
        <v>-0.009781965058</v>
      </c>
      <c r="CP18" s="19">
        <f t="shared" si="13"/>
        <v>-0.009781965058</v>
      </c>
      <c r="CQ18" s="6"/>
    </row>
    <row r="19" ht="14.25" customHeight="1">
      <c r="BX19" s="6" t="s">
        <v>35</v>
      </c>
      <c r="CQ19" s="6" t="s">
        <v>35</v>
      </c>
    </row>
    <row r="20" ht="14.25" customHeight="1">
      <c r="B20" s="73" t="s">
        <v>38</v>
      </c>
      <c r="C20" s="74" t="s">
        <v>39</v>
      </c>
      <c r="D20" s="17">
        <f t="shared" ref="D20:AG20" si="14">D11+D14+D17</f>
        <v>52.292</v>
      </c>
      <c r="E20" s="17">
        <f t="shared" si="14"/>
        <v>54.026</v>
      </c>
      <c r="F20" s="17">
        <f t="shared" si="14"/>
        <v>61.399</v>
      </c>
      <c r="G20" s="17">
        <f t="shared" si="14"/>
        <v>68.785</v>
      </c>
      <c r="H20" s="17">
        <f t="shared" si="14"/>
        <v>76.096</v>
      </c>
      <c r="I20" s="17">
        <f t="shared" si="14"/>
        <v>84.326</v>
      </c>
      <c r="J20" s="17">
        <f t="shared" si="14"/>
        <v>79.884</v>
      </c>
      <c r="K20" s="17">
        <f t="shared" si="14"/>
        <v>86.931</v>
      </c>
      <c r="L20" s="17">
        <f t="shared" si="14"/>
        <v>82.88</v>
      </c>
      <c r="M20" s="17">
        <f t="shared" si="14"/>
        <v>92.456</v>
      </c>
      <c r="N20" s="17">
        <f t="shared" si="14"/>
        <v>85.388</v>
      </c>
      <c r="O20" s="17">
        <f t="shared" si="14"/>
        <v>87.888</v>
      </c>
      <c r="P20" s="17">
        <f t="shared" si="14"/>
        <v>71.122</v>
      </c>
      <c r="Q20" s="17">
        <f t="shared" si="14"/>
        <v>48.186</v>
      </c>
      <c r="R20" s="17">
        <f t="shared" si="14"/>
        <v>54.827</v>
      </c>
      <c r="S20" s="17">
        <f t="shared" si="14"/>
        <v>68.078</v>
      </c>
      <c r="T20" s="17">
        <f t="shared" si="14"/>
        <v>78.441</v>
      </c>
      <c r="U20" s="17">
        <f t="shared" si="14"/>
        <v>111.524</v>
      </c>
      <c r="V20" s="17">
        <f t="shared" si="14"/>
        <v>123.583</v>
      </c>
      <c r="W20" s="17">
        <f t="shared" si="14"/>
        <v>119.593</v>
      </c>
      <c r="X20" s="17">
        <f t="shared" si="14"/>
        <v>129.2879856</v>
      </c>
      <c r="Y20" s="17">
        <f t="shared" si="14"/>
        <v>183.9419294</v>
      </c>
      <c r="Z20" s="17">
        <f t="shared" si="14"/>
        <v>254.4394388</v>
      </c>
      <c r="AA20" s="17">
        <f t="shared" si="14"/>
        <v>245.8251378</v>
      </c>
      <c r="AB20" s="17">
        <f t="shared" si="14"/>
        <v>241.2620617</v>
      </c>
      <c r="AC20" s="17">
        <f t="shared" si="14"/>
        <v>253.9345119</v>
      </c>
      <c r="AD20" s="17">
        <f t="shared" si="14"/>
        <v>268.9565026</v>
      </c>
      <c r="AE20" s="17">
        <f t="shared" si="14"/>
        <v>282.2580492</v>
      </c>
      <c r="AF20" s="17">
        <f t="shared" si="14"/>
        <v>216.4310967</v>
      </c>
      <c r="AG20" s="17">
        <f t="shared" si="14"/>
        <v>205.2606206</v>
      </c>
      <c r="AH20" s="17">
        <f>Inputs!AJ314/1000</f>
        <v>392.6762047</v>
      </c>
      <c r="AI20" s="17">
        <f>Inputs!AK314/1000</f>
        <v>419.6925138</v>
      </c>
      <c r="AJ20" s="17">
        <f>Inputs!AL314/1000</f>
        <v>368.8448899</v>
      </c>
      <c r="AK20" s="17">
        <f t="shared" ref="AK20:BW20" si="15">AK44*AK47*3/1000</f>
        <v>354.5325</v>
      </c>
      <c r="AL20" s="17">
        <f t="shared" si="15"/>
        <v>359.18181</v>
      </c>
      <c r="AM20" s="17">
        <f t="shared" si="15"/>
        <v>409.381743</v>
      </c>
      <c r="AN20" s="17">
        <f t="shared" si="15"/>
        <v>384.949449</v>
      </c>
      <c r="AO20" s="17">
        <f t="shared" si="15"/>
        <v>385.2391931</v>
      </c>
      <c r="AP20" s="17">
        <f t="shared" si="15"/>
        <v>402.1897176</v>
      </c>
      <c r="AQ20" s="17">
        <f t="shared" si="15"/>
        <v>455.0959239</v>
      </c>
      <c r="AR20" s="17">
        <f t="shared" si="15"/>
        <v>425.8273079</v>
      </c>
      <c r="AS20" s="17">
        <f t="shared" si="15"/>
        <v>424.0485697</v>
      </c>
      <c r="AT20" s="17">
        <f t="shared" si="15"/>
        <v>440.5258855</v>
      </c>
      <c r="AU20" s="17">
        <f t="shared" si="15"/>
        <v>497.2533755</v>
      </c>
      <c r="AV20" s="17">
        <f t="shared" si="15"/>
        <v>465.2734843</v>
      </c>
      <c r="AW20" s="17">
        <f t="shared" si="15"/>
        <v>463.3299741</v>
      </c>
      <c r="AX20" s="17">
        <f t="shared" si="15"/>
        <v>481.3336531</v>
      </c>
      <c r="AY20" s="17">
        <f t="shared" si="15"/>
        <v>543.3160494</v>
      </c>
      <c r="AZ20" s="17">
        <f t="shared" si="15"/>
        <v>508.3737262</v>
      </c>
      <c r="BA20" s="17">
        <f t="shared" si="15"/>
        <v>506.2501805</v>
      </c>
      <c r="BB20" s="17">
        <f t="shared" si="15"/>
        <v>525.9216161</v>
      </c>
      <c r="BC20" s="17">
        <f t="shared" si="15"/>
        <v>593.6457027</v>
      </c>
      <c r="BD20" s="17">
        <f t="shared" si="15"/>
        <v>555.466525</v>
      </c>
      <c r="BE20" s="17">
        <f t="shared" si="15"/>
        <v>553.1462663</v>
      </c>
      <c r="BF20" s="17">
        <f t="shared" si="15"/>
        <v>574.6399498</v>
      </c>
      <c r="BG20" s="17">
        <f t="shared" si="15"/>
        <v>648.6376036</v>
      </c>
      <c r="BH20" s="17">
        <f t="shared" si="15"/>
        <v>606.921728</v>
      </c>
      <c r="BI20" s="17">
        <f t="shared" si="15"/>
        <v>604.386534</v>
      </c>
      <c r="BJ20" s="17">
        <f t="shared" si="15"/>
        <v>627.8712679</v>
      </c>
      <c r="BK20" s="17">
        <f t="shared" si="15"/>
        <v>708.723636</v>
      </c>
      <c r="BL20" s="17">
        <f t="shared" si="15"/>
        <v>663.1434431</v>
      </c>
      <c r="BM20" s="17">
        <f t="shared" si="15"/>
        <v>660.3734034</v>
      </c>
      <c r="BN20" s="17">
        <f t="shared" si="15"/>
        <v>686.033627</v>
      </c>
      <c r="BO20" s="17">
        <f t="shared" si="15"/>
        <v>774.3756904</v>
      </c>
      <c r="BP20" s="17">
        <f t="shared" si="15"/>
        <v>724.5732124</v>
      </c>
      <c r="BQ20" s="17">
        <f t="shared" si="15"/>
        <v>721.5465722</v>
      </c>
      <c r="BR20" s="17">
        <f t="shared" si="15"/>
        <v>749.5838105</v>
      </c>
      <c r="BS20" s="17">
        <f t="shared" si="15"/>
        <v>846.1093711</v>
      </c>
      <c r="BT20" s="17">
        <f t="shared" si="15"/>
        <v>791.6934799</v>
      </c>
      <c r="BU20" s="17">
        <f t="shared" si="15"/>
        <v>788.3864693</v>
      </c>
      <c r="BV20" s="17">
        <f t="shared" si="15"/>
        <v>819.020915</v>
      </c>
      <c r="BW20" s="17">
        <f t="shared" si="15"/>
        <v>924.4880447</v>
      </c>
      <c r="BX20" s="112" t="s">
        <v>35</v>
      </c>
      <c r="BY20" s="17">
        <f>SUM(D20:G20)</f>
        <v>236.502</v>
      </c>
      <c r="BZ20" s="17">
        <f>SUM(H20:K20)</f>
        <v>327.237</v>
      </c>
      <c r="CA20" s="17">
        <f>SUM(L20:O20)</f>
        <v>348.612</v>
      </c>
      <c r="CB20" s="17">
        <f>SUM(P20:S20)</f>
        <v>242.213</v>
      </c>
      <c r="CC20" s="17">
        <f>SUM(T20:W20)</f>
        <v>433.141</v>
      </c>
      <c r="CD20" s="17">
        <f>SUM(X20:AA20)</f>
        <v>813.4944916</v>
      </c>
      <c r="CE20" s="17">
        <f>SUM(AB20:AE20)</f>
        <v>1046.411125</v>
      </c>
      <c r="CF20" s="17">
        <f>SUM(AF20:AI20)</f>
        <v>1234.060436</v>
      </c>
      <c r="CG20" s="17">
        <f>SUM(AJ20:AM20)</f>
        <v>1491.940943</v>
      </c>
      <c r="CH20" s="17">
        <f>SUM(AN20:AQ20)</f>
        <v>1627.474284</v>
      </c>
      <c r="CI20" s="17">
        <f>SUM(AR20:AU20)</f>
        <v>1787.655139</v>
      </c>
      <c r="CJ20" s="17">
        <f>SUM(AV20:AY20)</f>
        <v>1953.253161</v>
      </c>
      <c r="CK20" s="17">
        <f>SUM(AZ20:BC20)</f>
        <v>2134.191225</v>
      </c>
      <c r="CL20" s="17">
        <f>SUM(BD20:BG20)</f>
        <v>2331.890345</v>
      </c>
      <c r="CM20" s="17">
        <f>SUM(BH20:BK20)</f>
        <v>2547.903166</v>
      </c>
      <c r="CN20" s="17">
        <f>SUM(BL20:BO20)</f>
        <v>2783.926164</v>
      </c>
      <c r="CO20" s="17">
        <f>SUM(BP20:BS20)</f>
        <v>3041.812966</v>
      </c>
      <c r="CP20" s="17">
        <f>SUM(BT20:BW20)</f>
        <v>3323.588909</v>
      </c>
      <c r="CQ20" s="6" t="s">
        <v>35</v>
      </c>
      <c r="CR20" s="19">
        <f>(CF20/BY20)^(1/7)-1</f>
        <v>0.2661939386</v>
      </c>
      <c r="CS20" s="19">
        <f>(CE20/CA20)^(1/4)-1</f>
        <v>0.3162549093</v>
      </c>
      <c r="CT20" s="19">
        <f>(CF20/CD20)^(1/2)-1</f>
        <v>0.2316601955</v>
      </c>
      <c r="CU20" s="19">
        <f>(CH20/CE20)^(1/3)-1</f>
        <v>0.1586099721</v>
      </c>
      <c r="CV20" s="19">
        <f>(CJ20/CF20)^(1/4)-1</f>
        <v>0.1216452634</v>
      </c>
      <c r="CW20" s="19">
        <f>(CJ20/CG20)^(1/3)-1</f>
        <v>0.09396216274</v>
      </c>
    </row>
    <row r="21" ht="14.25" customHeight="1">
      <c r="B21" s="10" t="s">
        <v>40</v>
      </c>
      <c r="C21" s="9" t="s">
        <v>42</v>
      </c>
      <c r="H21" s="19">
        <f t="shared" ref="H21:BW21" si="16">H20/D20-1</f>
        <v>0.4552130345</v>
      </c>
      <c r="I21" s="19">
        <f t="shared" si="16"/>
        <v>0.5608410765</v>
      </c>
      <c r="J21" s="19">
        <f t="shared" si="16"/>
        <v>0.3010635352</v>
      </c>
      <c r="K21" s="19">
        <f t="shared" si="16"/>
        <v>0.2638075162</v>
      </c>
      <c r="L21" s="19">
        <f t="shared" si="16"/>
        <v>0.08915054668</v>
      </c>
      <c r="M21" s="19">
        <f t="shared" si="16"/>
        <v>0.09641154567</v>
      </c>
      <c r="N21" s="19">
        <f t="shared" si="16"/>
        <v>0.06889990486</v>
      </c>
      <c r="O21" s="19">
        <f t="shared" si="16"/>
        <v>0.01100873106</v>
      </c>
      <c r="P21" s="19">
        <f t="shared" si="16"/>
        <v>-0.1418677606</v>
      </c>
      <c r="Q21" s="19">
        <f t="shared" si="16"/>
        <v>-0.4788223587</v>
      </c>
      <c r="R21" s="19">
        <f t="shared" si="16"/>
        <v>-0.3579074343</v>
      </c>
      <c r="S21" s="19">
        <f t="shared" si="16"/>
        <v>-0.2254005097</v>
      </c>
      <c r="T21" s="19">
        <f t="shared" si="16"/>
        <v>0.1029076798</v>
      </c>
      <c r="U21" s="19">
        <f t="shared" si="16"/>
        <v>1.31444818</v>
      </c>
      <c r="V21" s="19">
        <f t="shared" si="16"/>
        <v>1.25405366</v>
      </c>
      <c r="W21" s="19">
        <f t="shared" si="16"/>
        <v>0.7567055436</v>
      </c>
      <c r="X21" s="19">
        <f t="shared" si="16"/>
        <v>0.6482194968</v>
      </c>
      <c r="Y21" s="19">
        <f t="shared" si="16"/>
        <v>0.6493483861</v>
      </c>
      <c r="Z21" s="19">
        <f t="shared" si="16"/>
        <v>1.058854687</v>
      </c>
      <c r="AA21" s="19">
        <f t="shared" si="16"/>
        <v>1.055514435</v>
      </c>
      <c r="AB21" s="19">
        <f t="shared" si="16"/>
        <v>0.8660826114</v>
      </c>
      <c r="AC21" s="19">
        <f t="shared" si="16"/>
        <v>0.3805145606</v>
      </c>
      <c r="AD21" s="19">
        <f t="shared" si="16"/>
        <v>0.05705508499</v>
      </c>
      <c r="AE21" s="19">
        <f t="shared" si="16"/>
        <v>0.1482066144</v>
      </c>
      <c r="AF21" s="19">
        <f t="shared" si="16"/>
        <v>-0.1029211342</v>
      </c>
      <c r="AG21" s="19">
        <f t="shared" si="16"/>
        <v>-0.1916789133</v>
      </c>
      <c r="AH21" s="19">
        <f t="shared" si="16"/>
        <v>0.459998925</v>
      </c>
      <c r="AI21" s="19">
        <f t="shared" si="16"/>
        <v>0.4869107009</v>
      </c>
      <c r="AJ21" s="19">
        <f t="shared" si="16"/>
        <v>0.7042139304</v>
      </c>
      <c r="AK21" s="19">
        <f t="shared" si="16"/>
        <v>0.7272309661</v>
      </c>
      <c r="AL21" s="19">
        <f t="shared" si="16"/>
        <v>-0.08529774488</v>
      </c>
      <c r="AM21" s="19">
        <f t="shared" si="16"/>
        <v>-0.02456744044</v>
      </c>
      <c r="AN21" s="19">
        <f t="shared" si="16"/>
        <v>0.04366214496</v>
      </c>
      <c r="AO21" s="19">
        <f t="shared" si="16"/>
        <v>0.08661178636</v>
      </c>
      <c r="AP21" s="19">
        <f t="shared" si="16"/>
        <v>0.1197385459</v>
      </c>
      <c r="AQ21" s="19">
        <f t="shared" si="16"/>
        <v>0.1116663889</v>
      </c>
      <c r="AR21" s="19">
        <f t="shared" si="16"/>
        <v>0.1061901998</v>
      </c>
      <c r="AS21" s="19">
        <f t="shared" si="16"/>
        <v>0.100740987</v>
      </c>
      <c r="AT21" s="19">
        <f t="shared" si="16"/>
        <v>0.09531861757</v>
      </c>
      <c r="AU21" s="19">
        <f t="shared" si="16"/>
        <v>0.0926342105</v>
      </c>
      <c r="AV21" s="19">
        <f t="shared" si="16"/>
        <v>0.0926342105</v>
      </c>
      <c r="AW21" s="19">
        <f t="shared" si="16"/>
        <v>0.0926342105</v>
      </c>
      <c r="AX21" s="19">
        <f t="shared" si="16"/>
        <v>0.0926342105</v>
      </c>
      <c r="AY21" s="19">
        <f t="shared" si="16"/>
        <v>0.0926342105</v>
      </c>
      <c r="AZ21" s="19">
        <f t="shared" si="16"/>
        <v>0.0926342105</v>
      </c>
      <c r="BA21" s="19">
        <f t="shared" si="16"/>
        <v>0.0926342105</v>
      </c>
      <c r="BB21" s="19">
        <f t="shared" si="16"/>
        <v>0.0926342105</v>
      </c>
      <c r="BC21" s="19">
        <f t="shared" si="16"/>
        <v>0.0926342105</v>
      </c>
      <c r="BD21" s="19">
        <f t="shared" si="16"/>
        <v>0.0926342105</v>
      </c>
      <c r="BE21" s="19">
        <f t="shared" si="16"/>
        <v>0.0926342105</v>
      </c>
      <c r="BF21" s="19">
        <f t="shared" si="16"/>
        <v>0.0926342105</v>
      </c>
      <c r="BG21" s="19">
        <f t="shared" si="16"/>
        <v>0.0926342105</v>
      </c>
      <c r="BH21" s="19">
        <f t="shared" si="16"/>
        <v>0.0926342105</v>
      </c>
      <c r="BI21" s="19">
        <f t="shared" si="16"/>
        <v>0.0926342105</v>
      </c>
      <c r="BJ21" s="19">
        <f t="shared" si="16"/>
        <v>0.0926342105</v>
      </c>
      <c r="BK21" s="19">
        <f t="shared" si="16"/>
        <v>0.0926342105</v>
      </c>
      <c r="BL21" s="19">
        <f t="shared" si="16"/>
        <v>0.0926342105</v>
      </c>
      <c r="BM21" s="19">
        <f t="shared" si="16"/>
        <v>0.0926342105</v>
      </c>
      <c r="BN21" s="19">
        <f t="shared" si="16"/>
        <v>0.0926342105</v>
      </c>
      <c r="BO21" s="19">
        <f t="shared" si="16"/>
        <v>0.0926342105</v>
      </c>
      <c r="BP21" s="19">
        <f t="shared" si="16"/>
        <v>0.0926342105</v>
      </c>
      <c r="BQ21" s="19">
        <f t="shared" si="16"/>
        <v>0.0926342105</v>
      </c>
      <c r="BR21" s="19">
        <f t="shared" si="16"/>
        <v>0.0926342105</v>
      </c>
      <c r="BS21" s="19">
        <f t="shared" si="16"/>
        <v>0.0926342105</v>
      </c>
      <c r="BT21" s="19">
        <f t="shared" si="16"/>
        <v>0.0926342105</v>
      </c>
      <c r="BU21" s="19">
        <f t="shared" si="16"/>
        <v>0.0926342105</v>
      </c>
      <c r="BV21" s="19">
        <f t="shared" si="16"/>
        <v>0.0926342105</v>
      </c>
      <c r="BW21" s="19">
        <f t="shared" si="16"/>
        <v>0.0926342105</v>
      </c>
      <c r="BX21" s="6" t="s">
        <v>35</v>
      </c>
      <c r="BY21" s="19"/>
      <c r="BZ21" s="19">
        <f t="shared" ref="BZ21:CP21" si="17">BZ20/BY20-1</f>
        <v>0.3836542609</v>
      </c>
      <c r="CA21" s="19">
        <f t="shared" si="17"/>
        <v>0.06531963073</v>
      </c>
      <c r="CB21" s="19">
        <f t="shared" si="17"/>
        <v>-0.3052075086</v>
      </c>
      <c r="CC21" s="19">
        <f t="shared" si="17"/>
        <v>0.7882648743</v>
      </c>
      <c r="CD21" s="19">
        <f t="shared" si="17"/>
        <v>0.8781285808</v>
      </c>
      <c r="CE21" s="19">
        <f t="shared" si="17"/>
        <v>0.2863161782</v>
      </c>
      <c r="CF21" s="19">
        <f t="shared" si="17"/>
        <v>0.1793265628</v>
      </c>
      <c r="CG21" s="19">
        <f t="shared" si="17"/>
        <v>0.2089691069</v>
      </c>
      <c r="CH21" s="19">
        <f t="shared" si="17"/>
        <v>0.09084363654</v>
      </c>
      <c r="CI21" s="19">
        <f t="shared" si="17"/>
        <v>0.09842297143</v>
      </c>
      <c r="CJ21" s="19">
        <f t="shared" si="17"/>
        <v>0.0926342105</v>
      </c>
      <c r="CK21" s="19">
        <f t="shared" si="17"/>
        <v>0.0926342105</v>
      </c>
      <c r="CL21" s="19">
        <f t="shared" si="17"/>
        <v>0.0926342105</v>
      </c>
      <c r="CM21" s="19">
        <f t="shared" si="17"/>
        <v>0.0926342105</v>
      </c>
      <c r="CN21" s="19">
        <f t="shared" si="17"/>
        <v>0.0926342105</v>
      </c>
      <c r="CO21" s="19">
        <f t="shared" si="17"/>
        <v>0.0926342105</v>
      </c>
      <c r="CP21" s="19">
        <f t="shared" si="17"/>
        <v>0.0926342105</v>
      </c>
      <c r="CQ21" s="6" t="s">
        <v>35</v>
      </c>
    </row>
    <row r="22" ht="14.25" customHeight="1"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6" t="s">
        <v>35</v>
      </c>
      <c r="CQ22" s="6" t="s">
        <v>35</v>
      </c>
    </row>
    <row r="23" ht="14.25" customHeight="1">
      <c r="B23" s="83" t="str">
        <f>Inputs!B315</f>
        <v>Serviços Industriais</v>
      </c>
      <c r="C23" s="78" t="s">
        <v>39</v>
      </c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>
        <f>Inputs!Z315/1000</f>
        <v>122.989377</v>
      </c>
      <c r="Y23" s="114">
        <f>Inputs!AA315/1000</f>
        <v>153.373009</v>
      </c>
      <c r="Z23" s="114">
        <f>Inputs!AB315/1000</f>
        <v>168.143</v>
      </c>
      <c r="AA23" s="114">
        <f>Inputs!AC315/1000</f>
        <v>175.152827</v>
      </c>
      <c r="AB23" s="114">
        <f>Inputs!AD315/1000</f>
        <v>190.062</v>
      </c>
      <c r="AC23" s="114">
        <f>Inputs!AE315/1000</f>
        <v>198.197598</v>
      </c>
      <c r="AD23" s="114">
        <f>Inputs!AF315/1000</f>
        <v>214.613024</v>
      </c>
      <c r="AE23" s="114">
        <f>Inputs!AG315/1000</f>
        <v>212.8525265</v>
      </c>
      <c r="AF23" s="114">
        <f>Inputs!AH315/1000</f>
        <v>162.4831003</v>
      </c>
      <c r="AG23" s="114">
        <f>Inputs!AI315/1000</f>
        <v>142.8359061</v>
      </c>
      <c r="AH23" s="114">
        <f>Inputs!AJ315/1000</f>
        <v>179.0917826</v>
      </c>
      <c r="AI23" s="114">
        <f>Inputs!AK315/1000</f>
        <v>202.0302158</v>
      </c>
      <c r="AJ23" s="114">
        <f>Inputs!AL315/1000</f>
        <v>197.1195501</v>
      </c>
      <c r="AK23" s="115">
        <f t="shared" ref="AK23:BW23" si="18">AK$20*AK25</f>
        <v>191.2715547</v>
      </c>
      <c r="AL23" s="115">
        <f t="shared" si="18"/>
        <v>193.7798741</v>
      </c>
      <c r="AM23" s="115">
        <f t="shared" si="18"/>
        <v>220.8629179</v>
      </c>
      <c r="AN23" s="115">
        <f t="shared" si="18"/>
        <v>207.6816077</v>
      </c>
      <c r="AO23" s="115">
        <f t="shared" si="18"/>
        <v>207.8379257</v>
      </c>
      <c r="AP23" s="115">
        <f t="shared" si="18"/>
        <v>216.9827945</v>
      </c>
      <c r="AQ23" s="115">
        <f t="shared" si="18"/>
        <v>245.5258824</v>
      </c>
      <c r="AR23" s="115">
        <f t="shared" si="18"/>
        <v>229.7353591</v>
      </c>
      <c r="AS23" s="115">
        <f t="shared" si="18"/>
        <v>228.7757235</v>
      </c>
      <c r="AT23" s="115">
        <f t="shared" si="18"/>
        <v>237.6652945</v>
      </c>
      <c r="AU23" s="115">
        <f t="shared" si="18"/>
        <v>268.2699787</v>
      </c>
      <c r="AV23" s="115">
        <f t="shared" si="18"/>
        <v>251.0167127</v>
      </c>
      <c r="AW23" s="115">
        <f t="shared" si="18"/>
        <v>249.968182</v>
      </c>
      <c r="AX23" s="115">
        <f t="shared" si="18"/>
        <v>259.6812314</v>
      </c>
      <c r="AY23" s="115">
        <f t="shared" si="18"/>
        <v>293.1209563</v>
      </c>
      <c r="AZ23" s="115">
        <f t="shared" si="18"/>
        <v>274.2694477</v>
      </c>
      <c r="BA23" s="115">
        <f t="shared" si="18"/>
        <v>273.1237872</v>
      </c>
      <c r="BB23" s="115">
        <f t="shared" si="18"/>
        <v>283.7365972</v>
      </c>
      <c r="BC23" s="115">
        <f t="shared" si="18"/>
        <v>320.2739847</v>
      </c>
      <c r="BD23" s="115">
        <f t="shared" si="18"/>
        <v>299.6761815</v>
      </c>
      <c r="BE23" s="115">
        <f t="shared" si="18"/>
        <v>298.4243936</v>
      </c>
      <c r="BF23" s="115">
        <f t="shared" si="18"/>
        <v>310.0203129</v>
      </c>
      <c r="BG23" s="115">
        <f t="shared" si="18"/>
        <v>349.9423124</v>
      </c>
      <c r="BH23" s="115">
        <f t="shared" si="18"/>
        <v>327.436448</v>
      </c>
      <c r="BI23" s="115">
        <f t="shared" si="18"/>
        <v>326.0687017</v>
      </c>
      <c r="BJ23" s="115">
        <f t="shared" si="18"/>
        <v>338.7387998</v>
      </c>
      <c r="BK23" s="115">
        <f t="shared" si="18"/>
        <v>382.3589423</v>
      </c>
      <c r="BL23" s="115">
        <f t="shared" si="18"/>
        <v>357.7682648</v>
      </c>
      <c r="BM23" s="115">
        <f t="shared" si="18"/>
        <v>356.2738185</v>
      </c>
      <c r="BN23" s="115">
        <f t="shared" si="18"/>
        <v>370.1176011</v>
      </c>
      <c r="BO23" s="115">
        <f t="shared" si="18"/>
        <v>417.778461</v>
      </c>
      <c r="BP23" s="115">
        <f t="shared" si="18"/>
        <v>390.9098456</v>
      </c>
      <c r="BQ23" s="115">
        <f t="shared" si="18"/>
        <v>389.2769624</v>
      </c>
      <c r="BR23" s="115">
        <f t="shared" si="18"/>
        <v>404.4031529</v>
      </c>
      <c r="BS23" s="115">
        <f t="shared" si="18"/>
        <v>456.4790389</v>
      </c>
      <c r="BT23" s="115">
        <f t="shared" si="18"/>
        <v>427.1214705</v>
      </c>
      <c r="BU23" s="115">
        <f t="shared" si="18"/>
        <v>425.3373264</v>
      </c>
      <c r="BV23" s="115">
        <f t="shared" si="18"/>
        <v>441.8647197</v>
      </c>
      <c r="BW23" s="115">
        <f t="shared" si="18"/>
        <v>498.7646143</v>
      </c>
      <c r="BX23" s="6" t="s">
        <v>35</v>
      </c>
      <c r="BY23" s="17">
        <f>SUM(D23:G23)</f>
        <v>0</v>
      </c>
      <c r="BZ23" s="17">
        <f>SUM(H23:K23)</f>
        <v>0</v>
      </c>
      <c r="CA23" s="17">
        <f>SUM(L23:O23)</f>
        <v>0</v>
      </c>
      <c r="CB23" s="17">
        <f>SUM(P23:S23)</f>
        <v>0</v>
      </c>
      <c r="CC23" s="17">
        <f>SUM(T23:W23)</f>
        <v>0</v>
      </c>
      <c r="CD23" s="17">
        <f>SUM(X23:AA23)</f>
        <v>619.658213</v>
      </c>
      <c r="CE23" s="17">
        <f>SUM(AB23:AE23)</f>
        <v>815.7251485</v>
      </c>
      <c r="CF23" s="17">
        <f>SUM(AF23:AI23)</f>
        <v>686.4410048</v>
      </c>
      <c r="CG23" s="17">
        <f>SUM(AJ23:AM23)</f>
        <v>803.0338968</v>
      </c>
      <c r="CH23" s="17">
        <f>SUM(AN23:AQ23)</f>
        <v>878.0282103</v>
      </c>
      <c r="CI23" s="17">
        <f>SUM(AR23:AU23)</f>
        <v>964.4463557</v>
      </c>
      <c r="CJ23" s="17">
        <f>SUM(AV23:AY23)</f>
        <v>1053.787082</v>
      </c>
      <c r="CK23" s="17">
        <f>SUM(AZ23:BC23)</f>
        <v>1151.403817</v>
      </c>
      <c r="CL23" s="17">
        <f>SUM(BD23:BG23)</f>
        <v>1258.0632</v>
      </c>
      <c r="CM23" s="17">
        <f>SUM(BH23:BK23)</f>
        <v>1374.602892</v>
      </c>
      <c r="CN23" s="17">
        <f>SUM(BL23:BO23)</f>
        <v>1501.938145</v>
      </c>
      <c r="CO23" s="17">
        <f>SUM(BP23:BS23)</f>
        <v>1641.069</v>
      </c>
      <c r="CP23" s="17">
        <f>SUM(BT23:BW23)</f>
        <v>1793.088131</v>
      </c>
      <c r="CQ23" s="6" t="s">
        <v>35</v>
      </c>
      <c r="CR23" s="19"/>
      <c r="CS23" s="19"/>
      <c r="CT23" s="19">
        <f>(CF23/CD23)^(1/2)-1</f>
        <v>0.05250823873</v>
      </c>
      <c r="CU23" s="19">
        <f>(CH23/CE23)^(1/3)-1</f>
        <v>0.02483717975</v>
      </c>
      <c r="CV23" s="19">
        <f>(CJ23/CF23)^(1/4)-1</f>
        <v>0.1131082794</v>
      </c>
      <c r="CW23" s="19">
        <f>(CJ23/CG23)^(1/3)-1</f>
        <v>0.09481229077</v>
      </c>
    </row>
    <row r="24" ht="14.25" customHeight="1">
      <c r="B24" s="10" t="s">
        <v>40</v>
      </c>
      <c r="C24" s="9" t="s">
        <v>42</v>
      </c>
      <c r="AB24" s="19">
        <f t="shared" ref="AB24:BW24" si="19">AB23/X23-1</f>
        <v>0.5453529779</v>
      </c>
      <c r="AC24" s="19">
        <f t="shared" si="19"/>
        <v>0.2922586529</v>
      </c>
      <c r="AD24" s="19">
        <f t="shared" si="19"/>
        <v>0.2763720405</v>
      </c>
      <c r="AE24" s="19">
        <f t="shared" si="19"/>
        <v>0.215238887</v>
      </c>
      <c r="AF24" s="19">
        <f t="shared" si="19"/>
        <v>-0.1451047535</v>
      </c>
      <c r="AG24" s="19">
        <f t="shared" si="19"/>
        <v>-0.2793257461</v>
      </c>
      <c r="AH24" s="19">
        <f t="shared" si="19"/>
        <v>-0.1655129811</v>
      </c>
      <c r="AI24" s="19">
        <f t="shared" si="19"/>
        <v>-0.05084417336</v>
      </c>
      <c r="AJ24" s="19">
        <f t="shared" si="19"/>
        <v>0.2131695524</v>
      </c>
      <c r="AK24" s="19">
        <f t="shared" si="19"/>
        <v>0.3390999501</v>
      </c>
      <c r="AL24" s="19">
        <f t="shared" si="19"/>
        <v>0.08201432408</v>
      </c>
      <c r="AM24" s="19">
        <f t="shared" si="19"/>
        <v>0.09321725502</v>
      </c>
      <c r="AN24" s="19">
        <f t="shared" si="19"/>
        <v>0.0535819891</v>
      </c>
      <c r="AO24" s="19">
        <f t="shared" si="19"/>
        <v>0.08661178636</v>
      </c>
      <c r="AP24" s="19">
        <f t="shared" si="19"/>
        <v>0.1197385459</v>
      </c>
      <c r="AQ24" s="19">
        <f t="shared" si="19"/>
        <v>0.1116663889</v>
      </c>
      <c r="AR24" s="19">
        <f t="shared" si="19"/>
        <v>0.1061901998</v>
      </c>
      <c r="AS24" s="19">
        <f t="shared" si="19"/>
        <v>0.100740987</v>
      </c>
      <c r="AT24" s="19">
        <f t="shared" si="19"/>
        <v>0.09531861757</v>
      </c>
      <c r="AU24" s="19">
        <f t="shared" si="19"/>
        <v>0.0926342105</v>
      </c>
      <c r="AV24" s="19">
        <f t="shared" si="19"/>
        <v>0.0926342105</v>
      </c>
      <c r="AW24" s="19">
        <f t="shared" si="19"/>
        <v>0.0926342105</v>
      </c>
      <c r="AX24" s="19">
        <f t="shared" si="19"/>
        <v>0.0926342105</v>
      </c>
      <c r="AY24" s="19">
        <f t="shared" si="19"/>
        <v>0.0926342105</v>
      </c>
      <c r="AZ24" s="19">
        <f t="shared" si="19"/>
        <v>0.0926342105</v>
      </c>
      <c r="BA24" s="19">
        <f t="shared" si="19"/>
        <v>0.0926342105</v>
      </c>
      <c r="BB24" s="19">
        <f t="shared" si="19"/>
        <v>0.0926342105</v>
      </c>
      <c r="BC24" s="19">
        <f t="shared" si="19"/>
        <v>0.0926342105</v>
      </c>
      <c r="BD24" s="19">
        <f t="shared" si="19"/>
        <v>0.0926342105</v>
      </c>
      <c r="BE24" s="19">
        <f t="shared" si="19"/>
        <v>0.0926342105</v>
      </c>
      <c r="BF24" s="19">
        <f t="shared" si="19"/>
        <v>0.0926342105</v>
      </c>
      <c r="BG24" s="19">
        <f t="shared" si="19"/>
        <v>0.0926342105</v>
      </c>
      <c r="BH24" s="19">
        <f t="shared" si="19"/>
        <v>0.0926342105</v>
      </c>
      <c r="BI24" s="19">
        <f t="shared" si="19"/>
        <v>0.0926342105</v>
      </c>
      <c r="BJ24" s="19">
        <f t="shared" si="19"/>
        <v>0.0926342105</v>
      </c>
      <c r="BK24" s="19">
        <f t="shared" si="19"/>
        <v>0.0926342105</v>
      </c>
      <c r="BL24" s="19">
        <f t="shared" si="19"/>
        <v>0.0926342105</v>
      </c>
      <c r="BM24" s="19">
        <f t="shared" si="19"/>
        <v>0.0926342105</v>
      </c>
      <c r="BN24" s="19">
        <f t="shared" si="19"/>
        <v>0.0926342105</v>
      </c>
      <c r="BO24" s="19">
        <f t="shared" si="19"/>
        <v>0.0926342105</v>
      </c>
      <c r="BP24" s="19">
        <f t="shared" si="19"/>
        <v>0.0926342105</v>
      </c>
      <c r="BQ24" s="19">
        <f t="shared" si="19"/>
        <v>0.0926342105</v>
      </c>
      <c r="BR24" s="19">
        <f t="shared" si="19"/>
        <v>0.0926342105</v>
      </c>
      <c r="BS24" s="19">
        <f t="shared" si="19"/>
        <v>0.0926342105</v>
      </c>
      <c r="BT24" s="19">
        <f t="shared" si="19"/>
        <v>0.0926342105</v>
      </c>
      <c r="BU24" s="19">
        <f t="shared" si="19"/>
        <v>0.0926342105</v>
      </c>
      <c r="BV24" s="19">
        <f t="shared" si="19"/>
        <v>0.0926342105</v>
      </c>
      <c r="BW24" s="19">
        <f t="shared" si="19"/>
        <v>0.0926342105</v>
      </c>
      <c r="BX24" s="6" t="s">
        <v>35</v>
      </c>
      <c r="BY24" s="19"/>
      <c r="BZ24" s="19"/>
      <c r="CA24" s="19"/>
      <c r="CB24" s="19"/>
      <c r="CC24" s="19"/>
      <c r="CD24" s="19"/>
      <c r="CE24" s="19">
        <f t="shared" ref="CE24:CP24" si="20">CE23/CD23-1</f>
        <v>0.3164114207</v>
      </c>
      <c r="CF24" s="19">
        <f t="shared" si="20"/>
        <v>-0.1584898344</v>
      </c>
      <c r="CG24" s="19">
        <f t="shared" si="20"/>
        <v>0.1698512927</v>
      </c>
      <c r="CH24" s="19">
        <f t="shared" si="20"/>
        <v>0.09338872711</v>
      </c>
      <c r="CI24" s="19">
        <f t="shared" si="20"/>
        <v>0.09842297143</v>
      </c>
      <c r="CJ24" s="19">
        <f t="shared" si="20"/>
        <v>0.0926342105</v>
      </c>
      <c r="CK24" s="19">
        <f t="shared" si="20"/>
        <v>0.0926342105</v>
      </c>
      <c r="CL24" s="19">
        <f t="shared" si="20"/>
        <v>0.0926342105</v>
      </c>
      <c r="CM24" s="19">
        <f t="shared" si="20"/>
        <v>0.0926342105</v>
      </c>
      <c r="CN24" s="19">
        <f t="shared" si="20"/>
        <v>0.0926342105</v>
      </c>
      <c r="CO24" s="19">
        <f t="shared" si="20"/>
        <v>0.0926342105</v>
      </c>
      <c r="CP24" s="19">
        <f t="shared" si="20"/>
        <v>0.0926342105</v>
      </c>
      <c r="CQ24" s="6" t="s">
        <v>35</v>
      </c>
    </row>
    <row r="25" ht="14.25" customHeight="1">
      <c r="B25" s="10" t="s">
        <v>195</v>
      </c>
      <c r="C25" s="9" t="s">
        <v>42</v>
      </c>
      <c r="AB25" s="19">
        <f t="shared" ref="AB25:AJ25" si="21">AB23/AB$20</f>
        <v>0.7877823752</v>
      </c>
      <c r="AC25" s="19">
        <f t="shared" si="21"/>
        <v>0.7805067399</v>
      </c>
      <c r="AD25" s="19">
        <f t="shared" si="21"/>
        <v>0.7979469613</v>
      </c>
      <c r="AE25" s="19">
        <f t="shared" si="21"/>
        <v>0.7541061348</v>
      </c>
      <c r="AF25" s="19">
        <f t="shared" si="21"/>
        <v>0.7507382388</v>
      </c>
      <c r="AG25" s="19">
        <f t="shared" si="21"/>
        <v>0.6958758366</v>
      </c>
      <c r="AH25" s="18">
        <f t="shared" si="21"/>
        <v>0.4560800488</v>
      </c>
      <c r="AI25" s="18">
        <f t="shared" si="21"/>
        <v>0.481376744</v>
      </c>
      <c r="AJ25" s="18">
        <f t="shared" si="21"/>
        <v>0.5344239693</v>
      </c>
      <c r="AK25" s="18">
        <f t="shared" ref="AK25:BW25" si="22">1-AK29-AK33-AK37</f>
        <v>0.5395035849</v>
      </c>
      <c r="AL25" s="18">
        <f t="shared" si="22"/>
        <v>0.5395035849</v>
      </c>
      <c r="AM25" s="18">
        <f t="shared" si="22"/>
        <v>0.5395035849</v>
      </c>
      <c r="AN25" s="18">
        <f t="shared" si="22"/>
        <v>0.5395035849</v>
      </c>
      <c r="AO25" s="18">
        <f t="shared" si="22"/>
        <v>0.5395035849</v>
      </c>
      <c r="AP25" s="18">
        <f t="shared" si="22"/>
        <v>0.5395035849</v>
      </c>
      <c r="AQ25" s="18">
        <f t="shared" si="22"/>
        <v>0.5395035849</v>
      </c>
      <c r="AR25" s="18">
        <f t="shared" si="22"/>
        <v>0.5395035849</v>
      </c>
      <c r="AS25" s="18">
        <f t="shared" si="22"/>
        <v>0.5395035849</v>
      </c>
      <c r="AT25" s="18">
        <f t="shared" si="22"/>
        <v>0.5395035849</v>
      </c>
      <c r="AU25" s="18">
        <f t="shared" si="22"/>
        <v>0.5395035849</v>
      </c>
      <c r="AV25" s="18">
        <f t="shared" si="22"/>
        <v>0.5395035849</v>
      </c>
      <c r="AW25" s="18">
        <f t="shared" si="22"/>
        <v>0.5395035849</v>
      </c>
      <c r="AX25" s="18">
        <f t="shared" si="22"/>
        <v>0.5395035849</v>
      </c>
      <c r="AY25" s="18">
        <f t="shared" si="22"/>
        <v>0.5395035849</v>
      </c>
      <c r="AZ25" s="18">
        <f t="shared" si="22"/>
        <v>0.5395035849</v>
      </c>
      <c r="BA25" s="18">
        <f t="shared" si="22"/>
        <v>0.5395035849</v>
      </c>
      <c r="BB25" s="18">
        <f t="shared" si="22"/>
        <v>0.5395035849</v>
      </c>
      <c r="BC25" s="18">
        <f t="shared" si="22"/>
        <v>0.5395035849</v>
      </c>
      <c r="BD25" s="18">
        <f t="shared" si="22"/>
        <v>0.5395035849</v>
      </c>
      <c r="BE25" s="18">
        <f t="shared" si="22"/>
        <v>0.5395035849</v>
      </c>
      <c r="BF25" s="18">
        <f t="shared" si="22"/>
        <v>0.5395035849</v>
      </c>
      <c r="BG25" s="18">
        <f t="shared" si="22"/>
        <v>0.5395035849</v>
      </c>
      <c r="BH25" s="18">
        <f t="shared" si="22"/>
        <v>0.5395035849</v>
      </c>
      <c r="BI25" s="18">
        <f t="shared" si="22"/>
        <v>0.5395035849</v>
      </c>
      <c r="BJ25" s="18">
        <f t="shared" si="22"/>
        <v>0.5395035849</v>
      </c>
      <c r="BK25" s="18">
        <f t="shared" si="22"/>
        <v>0.5395035849</v>
      </c>
      <c r="BL25" s="18">
        <f t="shared" si="22"/>
        <v>0.5395035849</v>
      </c>
      <c r="BM25" s="18">
        <f t="shared" si="22"/>
        <v>0.5395035849</v>
      </c>
      <c r="BN25" s="18">
        <f t="shared" si="22"/>
        <v>0.5395035849</v>
      </c>
      <c r="BO25" s="18">
        <f t="shared" si="22"/>
        <v>0.5395035849</v>
      </c>
      <c r="BP25" s="18">
        <f t="shared" si="22"/>
        <v>0.5395035849</v>
      </c>
      <c r="BQ25" s="18">
        <f t="shared" si="22"/>
        <v>0.5395035849</v>
      </c>
      <c r="BR25" s="18">
        <f t="shared" si="22"/>
        <v>0.5395035849</v>
      </c>
      <c r="BS25" s="18">
        <f t="shared" si="22"/>
        <v>0.5395035849</v>
      </c>
      <c r="BT25" s="18">
        <f t="shared" si="22"/>
        <v>0.5395035849</v>
      </c>
      <c r="BU25" s="18">
        <f t="shared" si="22"/>
        <v>0.5395035849</v>
      </c>
      <c r="BV25" s="18">
        <f t="shared" si="22"/>
        <v>0.5395035849</v>
      </c>
      <c r="BW25" s="18">
        <f t="shared" si="22"/>
        <v>0.5395035849</v>
      </c>
      <c r="BX25" s="6" t="s">
        <v>35</v>
      </c>
      <c r="CE25" s="19">
        <f t="shared" ref="CE25:CP25" si="23">CE23/CE$20</f>
        <v>0.7795455617</v>
      </c>
      <c r="CF25" s="19">
        <f t="shared" si="23"/>
        <v>0.5562458571</v>
      </c>
      <c r="CG25" s="19">
        <f t="shared" si="23"/>
        <v>0.5382477776</v>
      </c>
      <c r="CH25" s="19">
        <f t="shared" si="23"/>
        <v>0.5395035849</v>
      </c>
      <c r="CI25" s="19">
        <f t="shared" si="23"/>
        <v>0.5395035849</v>
      </c>
      <c r="CJ25" s="19">
        <f t="shared" si="23"/>
        <v>0.5395035849</v>
      </c>
      <c r="CK25" s="19">
        <f t="shared" si="23"/>
        <v>0.5395035849</v>
      </c>
      <c r="CL25" s="19">
        <f t="shared" si="23"/>
        <v>0.5395035849</v>
      </c>
      <c r="CM25" s="19">
        <f t="shared" si="23"/>
        <v>0.5395035849</v>
      </c>
      <c r="CN25" s="19">
        <f t="shared" si="23"/>
        <v>0.5395035849</v>
      </c>
      <c r="CO25" s="19">
        <f t="shared" si="23"/>
        <v>0.5395035849</v>
      </c>
      <c r="CP25" s="19">
        <f t="shared" si="23"/>
        <v>0.5395035849</v>
      </c>
      <c r="CQ25" s="6" t="s">
        <v>35</v>
      </c>
    </row>
    <row r="26" ht="14.25" customHeight="1">
      <c r="B26" s="10"/>
      <c r="C26" s="60"/>
      <c r="BX26" s="6" t="s">
        <v>35</v>
      </c>
      <c r="CQ26" s="6" t="s">
        <v>35</v>
      </c>
    </row>
    <row r="27" ht="14.25" customHeight="1">
      <c r="B27" s="83" t="str">
        <f>Inputs!B316</f>
        <v>Infraestrutura</v>
      </c>
      <c r="C27" s="78" t="s">
        <v>39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23">
        <f>Inputs!Z316/1000</f>
        <v>0.095427</v>
      </c>
      <c r="Y27" s="23">
        <f>Inputs!AA316/1000</f>
        <v>18.902717</v>
      </c>
      <c r="Z27" s="23">
        <f>Inputs!AB316/1000</f>
        <v>73.998</v>
      </c>
      <c r="AA27" s="23">
        <f>Inputs!AC316/1000</f>
        <v>50.129099</v>
      </c>
      <c r="AB27" s="23">
        <f>Inputs!AD316/1000</f>
        <v>33.594</v>
      </c>
      <c r="AC27" s="23">
        <f>Inputs!AE316/1000</f>
        <v>36.303978</v>
      </c>
      <c r="AD27" s="23">
        <f>Inputs!AF316/1000</f>
        <v>34.569031</v>
      </c>
      <c r="AE27" s="23">
        <f>Inputs!AG316/1000</f>
        <v>43.60420308</v>
      </c>
      <c r="AF27" s="23">
        <f>Inputs!AH316/1000</f>
        <v>30.43905355</v>
      </c>
      <c r="AG27" s="23">
        <f>Inputs!AI316/1000</f>
        <v>33.08319452</v>
      </c>
      <c r="AH27" s="23">
        <f>Inputs!AJ316/1000</f>
        <v>38.65454836</v>
      </c>
      <c r="AI27" s="23">
        <f>Inputs!AK316/1000</f>
        <v>55.62709222</v>
      </c>
      <c r="AJ27" s="23">
        <f>Inputs!AL316/1000</f>
        <v>30.47715456</v>
      </c>
      <c r="AK27" s="115">
        <f t="shared" ref="AK27:BW27" si="24">AK$20*AK29</f>
        <v>35.45325</v>
      </c>
      <c r="AL27" s="115">
        <f t="shared" si="24"/>
        <v>35.918181</v>
      </c>
      <c r="AM27" s="115">
        <f t="shared" si="24"/>
        <v>40.9381743</v>
      </c>
      <c r="AN27" s="115">
        <f t="shared" si="24"/>
        <v>38.4949449</v>
      </c>
      <c r="AO27" s="115">
        <f t="shared" si="24"/>
        <v>38.52391931</v>
      </c>
      <c r="AP27" s="115">
        <f t="shared" si="24"/>
        <v>40.21897176</v>
      </c>
      <c r="AQ27" s="115">
        <f t="shared" si="24"/>
        <v>45.50959239</v>
      </c>
      <c r="AR27" s="115">
        <f t="shared" si="24"/>
        <v>42.58273079</v>
      </c>
      <c r="AS27" s="115">
        <f t="shared" si="24"/>
        <v>42.40485697</v>
      </c>
      <c r="AT27" s="115">
        <f t="shared" si="24"/>
        <v>44.05258855</v>
      </c>
      <c r="AU27" s="115">
        <f t="shared" si="24"/>
        <v>49.72533755</v>
      </c>
      <c r="AV27" s="115">
        <f t="shared" si="24"/>
        <v>46.52734843</v>
      </c>
      <c r="AW27" s="115">
        <f t="shared" si="24"/>
        <v>46.33299741</v>
      </c>
      <c r="AX27" s="115">
        <f t="shared" si="24"/>
        <v>48.13336531</v>
      </c>
      <c r="AY27" s="115">
        <f t="shared" si="24"/>
        <v>54.33160494</v>
      </c>
      <c r="AZ27" s="115">
        <f t="shared" si="24"/>
        <v>50.83737262</v>
      </c>
      <c r="BA27" s="115">
        <f t="shared" si="24"/>
        <v>50.62501805</v>
      </c>
      <c r="BB27" s="115">
        <f t="shared" si="24"/>
        <v>52.59216161</v>
      </c>
      <c r="BC27" s="115">
        <f t="shared" si="24"/>
        <v>59.36457027</v>
      </c>
      <c r="BD27" s="115">
        <f t="shared" si="24"/>
        <v>55.5466525</v>
      </c>
      <c r="BE27" s="115">
        <f t="shared" si="24"/>
        <v>55.31462663</v>
      </c>
      <c r="BF27" s="115">
        <f t="shared" si="24"/>
        <v>57.46399498</v>
      </c>
      <c r="BG27" s="115">
        <f t="shared" si="24"/>
        <v>64.86376036</v>
      </c>
      <c r="BH27" s="115">
        <f t="shared" si="24"/>
        <v>60.6921728</v>
      </c>
      <c r="BI27" s="115">
        <f t="shared" si="24"/>
        <v>60.4386534</v>
      </c>
      <c r="BJ27" s="115">
        <f t="shared" si="24"/>
        <v>62.78712679</v>
      </c>
      <c r="BK27" s="115">
        <f t="shared" si="24"/>
        <v>70.8723636</v>
      </c>
      <c r="BL27" s="115">
        <f t="shared" si="24"/>
        <v>66.31434431</v>
      </c>
      <c r="BM27" s="115">
        <f t="shared" si="24"/>
        <v>66.03734034</v>
      </c>
      <c r="BN27" s="115">
        <f t="shared" si="24"/>
        <v>68.6033627</v>
      </c>
      <c r="BO27" s="115">
        <f t="shared" si="24"/>
        <v>77.43756904</v>
      </c>
      <c r="BP27" s="115">
        <f t="shared" si="24"/>
        <v>72.45732124</v>
      </c>
      <c r="BQ27" s="115">
        <f t="shared" si="24"/>
        <v>72.15465722</v>
      </c>
      <c r="BR27" s="115">
        <f t="shared" si="24"/>
        <v>74.95838105</v>
      </c>
      <c r="BS27" s="115">
        <f t="shared" si="24"/>
        <v>84.61093711</v>
      </c>
      <c r="BT27" s="115">
        <f t="shared" si="24"/>
        <v>79.16934799</v>
      </c>
      <c r="BU27" s="115">
        <f t="shared" si="24"/>
        <v>78.83864693</v>
      </c>
      <c r="BV27" s="115">
        <f t="shared" si="24"/>
        <v>81.9020915</v>
      </c>
      <c r="BW27" s="115">
        <f t="shared" si="24"/>
        <v>92.44880447</v>
      </c>
      <c r="BX27" s="6" t="s">
        <v>35</v>
      </c>
      <c r="BY27" s="17">
        <f>SUM(D27:G27)</f>
        <v>0</v>
      </c>
      <c r="BZ27" s="17">
        <f>SUM(H27:K27)</f>
        <v>0</v>
      </c>
      <c r="CA27" s="17">
        <f>SUM(L27:O27)</f>
        <v>0</v>
      </c>
      <c r="CB27" s="17">
        <f>SUM(P27:S27)</f>
        <v>0</v>
      </c>
      <c r="CC27" s="17">
        <f>SUM(T27:W27)</f>
        <v>0</v>
      </c>
      <c r="CD27" s="17">
        <f>SUM(X27:AA27)</f>
        <v>143.125243</v>
      </c>
      <c r="CE27" s="17">
        <f>SUM(AB27:AE27)</f>
        <v>148.0712121</v>
      </c>
      <c r="CF27" s="17">
        <f>SUM(AF27:AI27)</f>
        <v>157.8038887</v>
      </c>
      <c r="CG27" s="17">
        <f>SUM(AJ27:AM27)</f>
        <v>142.7867599</v>
      </c>
      <c r="CH27" s="17">
        <f>SUM(AN27:AQ27)</f>
        <v>162.7474284</v>
      </c>
      <c r="CI27" s="17">
        <f>SUM(AR27:AU27)</f>
        <v>178.7655139</v>
      </c>
      <c r="CJ27" s="17">
        <f>SUM(AV27:AY27)</f>
        <v>195.3253161</v>
      </c>
      <c r="CK27" s="17">
        <f>SUM(AZ27:BC27)</f>
        <v>213.4191225</v>
      </c>
      <c r="CL27" s="17">
        <f>SUM(BD27:BG27)</f>
        <v>233.1890345</v>
      </c>
      <c r="CM27" s="17">
        <f>SUM(BH27:BK27)</f>
        <v>254.7903166</v>
      </c>
      <c r="CN27" s="17">
        <f>SUM(BL27:BO27)</f>
        <v>278.3926164</v>
      </c>
      <c r="CO27" s="17">
        <f>SUM(BP27:BS27)</f>
        <v>304.1812966</v>
      </c>
      <c r="CP27" s="17">
        <f>SUM(BT27:BW27)</f>
        <v>332.3588909</v>
      </c>
      <c r="CQ27" s="6" t="s">
        <v>35</v>
      </c>
      <c r="CT27" s="19">
        <f>(CF27/CD27)^(1/2)-1</f>
        <v>0.0500276419</v>
      </c>
      <c r="CU27" s="19">
        <f>(CH27/CE27)^(1/3)-1</f>
        <v>0.03200349433</v>
      </c>
      <c r="CV27" s="19">
        <f>(CJ27/CF27)^(1/4)-1</f>
        <v>0.05477592531</v>
      </c>
      <c r="CW27" s="19">
        <f>(CJ27/CG27)^(1/3)-1</f>
        <v>0.110086614</v>
      </c>
    </row>
    <row r="28" ht="14.25" customHeight="1">
      <c r="B28" s="10" t="s">
        <v>40</v>
      </c>
      <c r="C28" s="9" t="s">
        <v>42</v>
      </c>
      <c r="AB28" s="19">
        <f t="shared" ref="AB28:BW28" si="25">AB27/X27-1</f>
        <v>351.0387312</v>
      </c>
      <c r="AC28" s="19">
        <f t="shared" si="25"/>
        <v>0.9205693023</v>
      </c>
      <c r="AD28" s="19">
        <f t="shared" si="25"/>
        <v>-0.5328383064</v>
      </c>
      <c r="AE28" s="19">
        <f t="shared" si="25"/>
        <v>-0.1301618431</v>
      </c>
      <c r="AF28" s="19">
        <f t="shared" si="25"/>
        <v>-0.09391398613</v>
      </c>
      <c r="AG28" s="19">
        <f t="shared" si="25"/>
        <v>-0.08871709541</v>
      </c>
      <c r="AH28" s="19">
        <f t="shared" si="25"/>
        <v>0.1181843182</v>
      </c>
      <c r="AI28" s="19">
        <f t="shared" si="25"/>
        <v>0.2757277577</v>
      </c>
      <c r="AJ28" s="19">
        <f t="shared" si="25"/>
        <v>0.001251714674</v>
      </c>
      <c r="AK28" s="19">
        <f t="shared" si="25"/>
        <v>0.07163925716</v>
      </c>
      <c r="AL28" s="19">
        <f t="shared" si="25"/>
        <v>-0.07079030738</v>
      </c>
      <c r="AM28" s="19">
        <f t="shared" si="25"/>
        <v>-0.2640605024</v>
      </c>
      <c r="AN28" s="19">
        <f t="shared" si="25"/>
        <v>0.2630754233</v>
      </c>
      <c r="AO28" s="19">
        <f t="shared" si="25"/>
        <v>0.08661178636</v>
      </c>
      <c r="AP28" s="19">
        <f t="shared" si="25"/>
        <v>0.1197385459</v>
      </c>
      <c r="AQ28" s="19">
        <f t="shared" si="25"/>
        <v>0.1116663889</v>
      </c>
      <c r="AR28" s="19">
        <f t="shared" si="25"/>
        <v>0.1061901998</v>
      </c>
      <c r="AS28" s="19">
        <f t="shared" si="25"/>
        <v>0.100740987</v>
      </c>
      <c r="AT28" s="19">
        <f t="shared" si="25"/>
        <v>0.09531861757</v>
      </c>
      <c r="AU28" s="19">
        <f t="shared" si="25"/>
        <v>0.0926342105</v>
      </c>
      <c r="AV28" s="19">
        <f t="shared" si="25"/>
        <v>0.0926342105</v>
      </c>
      <c r="AW28" s="19">
        <f t="shared" si="25"/>
        <v>0.0926342105</v>
      </c>
      <c r="AX28" s="19">
        <f t="shared" si="25"/>
        <v>0.0926342105</v>
      </c>
      <c r="AY28" s="19">
        <f t="shared" si="25"/>
        <v>0.0926342105</v>
      </c>
      <c r="AZ28" s="19">
        <f t="shared" si="25"/>
        <v>0.0926342105</v>
      </c>
      <c r="BA28" s="19">
        <f t="shared" si="25"/>
        <v>0.0926342105</v>
      </c>
      <c r="BB28" s="19">
        <f t="shared" si="25"/>
        <v>0.0926342105</v>
      </c>
      <c r="BC28" s="19">
        <f t="shared" si="25"/>
        <v>0.0926342105</v>
      </c>
      <c r="BD28" s="19">
        <f t="shared" si="25"/>
        <v>0.0926342105</v>
      </c>
      <c r="BE28" s="19">
        <f t="shared" si="25"/>
        <v>0.0926342105</v>
      </c>
      <c r="BF28" s="19">
        <f t="shared" si="25"/>
        <v>0.0926342105</v>
      </c>
      <c r="BG28" s="19">
        <f t="shared" si="25"/>
        <v>0.0926342105</v>
      </c>
      <c r="BH28" s="19">
        <f t="shared" si="25"/>
        <v>0.0926342105</v>
      </c>
      <c r="BI28" s="19">
        <f t="shared" si="25"/>
        <v>0.0926342105</v>
      </c>
      <c r="BJ28" s="19">
        <f t="shared" si="25"/>
        <v>0.0926342105</v>
      </c>
      <c r="BK28" s="19">
        <f t="shared" si="25"/>
        <v>0.0926342105</v>
      </c>
      <c r="BL28" s="19">
        <f t="shared" si="25"/>
        <v>0.0926342105</v>
      </c>
      <c r="BM28" s="19">
        <f t="shared" si="25"/>
        <v>0.0926342105</v>
      </c>
      <c r="BN28" s="19">
        <f t="shared" si="25"/>
        <v>0.0926342105</v>
      </c>
      <c r="BO28" s="19">
        <f t="shared" si="25"/>
        <v>0.0926342105</v>
      </c>
      <c r="BP28" s="19">
        <f t="shared" si="25"/>
        <v>0.0926342105</v>
      </c>
      <c r="BQ28" s="19">
        <f t="shared" si="25"/>
        <v>0.0926342105</v>
      </c>
      <c r="BR28" s="19">
        <f t="shared" si="25"/>
        <v>0.0926342105</v>
      </c>
      <c r="BS28" s="19">
        <f t="shared" si="25"/>
        <v>0.0926342105</v>
      </c>
      <c r="BT28" s="19">
        <f t="shared" si="25"/>
        <v>0.0926342105</v>
      </c>
      <c r="BU28" s="19">
        <f t="shared" si="25"/>
        <v>0.0926342105</v>
      </c>
      <c r="BV28" s="19">
        <f t="shared" si="25"/>
        <v>0.0926342105</v>
      </c>
      <c r="BW28" s="19">
        <f t="shared" si="25"/>
        <v>0.0926342105</v>
      </c>
      <c r="BX28" s="6" t="s">
        <v>35</v>
      </c>
      <c r="BY28" s="19"/>
      <c r="BZ28" s="19"/>
      <c r="CA28" s="19"/>
      <c r="CB28" s="19"/>
      <c r="CC28" s="19"/>
      <c r="CD28" s="19"/>
      <c r="CE28" s="19">
        <f t="shared" ref="CE28:CP28" si="26">CE27/CD27-1</f>
        <v>0.03455693053</v>
      </c>
      <c r="CF28" s="19">
        <f t="shared" si="26"/>
        <v>0.06572970149</v>
      </c>
      <c r="CG28" s="19">
        <f t="shared" si="26"/>
        <v>-0.0951632366</v>
      </c>
      <c r="CH28" s="19">
        <f t="shared" si="26"/>
        <v>0.1397935532</v>
      </c>
      <c r="CI28" s="19">
        <f t="shared" si="26"/>
        <v>0.09842297143</v>
      </c>
      <c r="CJ28" s="19">
        <f t="shared" si="26"/>
        <v>0.0926342105</v>
      </c>
      <c r="CK28" s="19">
        <f t="shared" si="26"/>
        <v>0.0926342105</v>
      </c>
      <c r="CL28" s="19">
        <f t="shared" si="26"/>
        <v>0.0926342105</v>
      </c>
      <c r="CM28" s="19">
        <f t="shared" si="26"/>
        <v>0.0926342105</v>
      </c>
      <c r="CN28" s="19">
        <f t="shared" si="26"/>
        <v>0.0926342105</v>
      </c>
      <c r="CO28" s="19">
        <f t="shared" si="26"/>
        <v>0.0926342105</v>
      </c>
      <c r="CP28" s="19">
        <f t="shared" si="26"/>
        <v>0.0926342105</v>
      </c>
      <c r="CQ28" s="6" t="s">
        <v>35</v>
      </c>
    </row>
    <row r="29" ht="14.25" customHeight="1">
      <c r="B29" s="10" t="s">
        <v>195</v>
      </c>
      <c r="C29" s="9" t="s">
        <v>42</v>
      </c>
      <c r="AB29" s="19">
        <f t="shared" ref="AB29:AJ29" si="27">AB27/AB$20</f>
        <v>0.1392427793</v>
      </c>
      <c r="AC29" s="19">
        <f t="shared" si="27"/>
        <v>0.1429659078</v>
      </c>
      <c r="AD29" s="19">
        <f t="shared" si="27"/>
        <v>0.1285301923</v>
      </c>
      <c r="AE29" s="19">
        <f t="shared" si="27"/>
        <v>0.1544834707</v>
      </c>
      <c r="AF29" s="19">
        <f t="shared" si="27"/>
        <v>0.1406408507</v>
      </c>
      <c r="AG29" s="19">
        <f t="shared" si="27"/>
        <v>0.1611765297</v>
      </c>
      <c r="AH29" s="19">
        <f t="shared" si="27"/>
        <v>0.09843873373</v>
      </c>
      <c r="AI29" s="19">
        <f t="shared" si="27"/>
        <v>0.1325424933</v>
      </c>
      <c r="AJ29" s="19">
        <f t="shared" si="27"/>
        <v>0.08262864796</v>
      </c>
      <c r="AK29" s="19">
        <v>0.1</v>
      </c>
      <c r="AL29" s="19">
        <v>0.1</v>
      </c>
      <c r="AM29" s="19">
        <v>0.1</v>
      </c>
      <c r="AN29" s="19">
        <v>0.1</v>
      </c>
      <c r="AO29" s="19">
        <v>0.1</v>
      </c>
      <c r="AP29" s="19">
        <v>0.1</v>
      </c>
      <c r="AQ29" s="19">
        <v>0.1</v>
      </c>
      <c r="AR29" s="19">
        <v>0.1</v>
      </c>
      <c r="AS29" s="19">
        <v>0.1</v>
      </c>
      <c r="AT29" s="19">
        <v>0.1</v>
      </c>
      <c r="AU29" s="19">
        <v>0.1</v>
      </c>
      <c r="AV29" s="19">
        <v>0.1</v>
      </c>
      <c r="AW29" s="19">
        <v>0.1</v>
      </c>
      <c r="AX29" s="19">
        <v>0.1</v>
      </c>
      <c r="AY29" s="19">
        <v>0.1</v>
      </c>
      <c r="AZ29" s="19">
        <v>0.1</v>
      </c>
      <c r="BA29" s="19">
        <v>0.1</v>
      </c>
      <c r="BB29" s="19">
        <v>0.1</v>
      </c>
      <c r="BC29" s="19">
        <v>0.1</v>
      </c>
      <c r="BD29" s="19">
        <v>0.1</v>
      </c>
      <c r="BE29" s="19">
        <v>0.1</v>
      </c>
      <c r="BF29" s="19">
        <v>0.1</v>
      </c>
      <c r="BG29" s="19">
        <v>0.1</v>
      </c>
      <c r="BH29" s="19">
        <v>0.1</v>
      </c>
      <c r="BI29" s="19">
        <v>0.1</v>
      </c>
      <c r="BJ29" s="19">
        <v>0.1</v>
      </c>
      <c r="BK29" s="19">
        <v>0.1</v>
      </c>
      <c r="BL29" s="19">
        <v>0.1</v>
      </c>
      <c r="BM29" s="19">
        <v>0.1</v>
      </c>
      <c r="BN29" s="19">
        <v>0.1</v>
      </c>
      <c r="BO29" s="19">
        <v>0.1</v>
      </c>
      <c r="BP29" s="19">
        <v>0.1</v>
      </c>
      <c r="BQ29" s="19">
        <v>0.1</v>
      </c>
      <c r="BR29" s="19">
        <v>0.1</v>
      </c>
      <c r="BS29" s="19">
        <v>0.1</v>
      </c>
      <c r="BT29" s="19">
        <v>0.1</v>
      </c>
      <c r="BU29" s="19">
        <v>0.1</v>
      </c>
      <c r="BV29" s="19">
        <v>0.1</v>
      </c>
      <c r="BW29" s="19">
        <v>0.1</v>
      </c>
      <c r="BX29" s="6" t="s">
        <v>35</v>
      </c>
      <c r="CE29" s="19">
        <f t="shared" ref="CE29:CP29" si="28">CE27/CE$20</f>
        <v>0.1415038587</v>
      </c>
      <c r="CF29" s="19">
        <f t="shared" si="28"/>
        <v>0.1278737119</v>
      </c>
      <c r="CG29" s="19">
        <f t="shared" si="28"/>
        <v>0.09570536993</v>
      </c>
      <c r="CH29" s="19">
        <f t="shared" si="28"/>
        <v>0.1</v>
      </c>
      <c r="CI29" s="19">
        <f t="shared" si="28"/>
        <v>0.1</v>
      </c>
      <c r="CJ29" s="19">
        <f t="shared" si="28"/>
        <v>0.1</v>
      </c>
      <c r="CK29" s="19">
        <f t="shared" si="28"/>
        <v>0.1</v>
      </c>
      <c r="CL29" s="19">
        <f t="shared" si="28"/>
        <v>0.1</v>
      </c>
      <c r="CM29" s="19">
        <f t="shared" si="28"/>
        <v>0.1</v>
      </c>
      <c r="CN29" s="19">
        <f t="shared" si="28"/>
        <v>0.1</v>
      </c>
      <c r="CO29" s="19">
        <f t="shared" si="28"/>
        <v>0.1</v>
      </c>
      <c r="CP29" s="19">
        <f t="shared" si="28"/>
        <v>0.1</v>
      </c>
      <c r="CQ29" s="6" t="s">
        <v>35</v>
      </c>
    </row>
    <row r="30" ht="14.25" customHeight="1">
      <c r="B30" s="10"/>
      <c r="C30" s="9"/>
      <c r="BX30" s="6" t="s">
        <v>35</v>
      </c>
      <c r="CQ30" s="6" t="s">
        <v>35</v>
      </c>
    </row>
    <row r="31" ht="14.25" customHeight="1">
      <c r="B31" s="83" t="str">
        <f>Inputs!B317</f>
        <v>Engenharia de Integridade e Inspeção</v>
      </c>
      <c r="C31" s="78" t="s">
        <v>39</v>
      </c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23">
        <f>Inputs!Z317/1000</f>
        <v>6.203014</v>
      </c>
      <c r="Y31" s="23">
        <f>Inputs!AA317/1000</f>
        <v>11.666569</v>
      </c>
      <c r="Z31" s="23">
        <f>Inputs!AB317/1000</f>
        <v>12.298</v>
      </c>
      <c r="AA31" s="23">
        <f>Inputs!AC317/1000</f>
        <v>20.543072</v>
      </c>
      <c r="AB31" s="23">
        <f>Inputs!AD317/1000</f>
        <v>17.606</v>
      </c>
      <c r="AC31" s="23">
        <f>Inputs!AE317/1000</f>
        <v>19.432719</v>
      </c>
      <c r="AD31" s="23">
        <f>Inputs!AF317/1000</f>
        <v>19.774975</v>
      </c>
      <c r="AE31" s="23">
        <f>Inputs!AG317/1000</f>
        <v>25.80037383</v>
      </c>
      <c r="AF31" s="23">
        <f>Inputs!AH317/1000</f>
        <v>23.50847828</v>
      </c>
      <c r="AG31" s="23">
        <f>Inputs!AI317/1000</f>
        <v>29.34133288</v>
      </c>
      <c r="AH31" s="23">
        <f>Inputs!AJ317/1000</f>
        <v>41.4526537</v>
      </c>
      <c r="AI31" s="23">
        <f>Inputs!AK317/1000</f>
        <v>36.84426707</v>
      </c>
      <c r="AJ31" s="23">
        <f>Inputs!AL317/1000</f>
        <v>43.32118922</v>
      </c>
      <c r="AK31" s="115">
        <f t="shared" ref="AK31:BW31" si="29">AK$20*AK33</f>
        <v>33.6805875</v>
      </c>
      <c r="AL31" s="115">
        <f t="shared" si="29"/>
        <v>34.12227195</v>
      </c>
      <c r="AM31" s="115">
        <f t="shared" si="29"/>
        <v>38.89126558</v>
      </c>
      <c r="AN31" s="115">
        <f t="shared" si="29"/>
        <v>36.57019765</v>
      </c>
      <c r="AO31" s="115">
        <f t="shared" si="29"/>
        <v>36.59772335</v>
      </c>
      <c r="AP31" s="115">
        <f t="shared" si="29"/>
        <v>38.20802318</v>
      </c>
      <c r="AQ31" s="115">
        <f t="shared" si="29"/>
        <v>43.23411277</v>
      </c>
      <c r="AR31" s="115">
        <f t="shared" si="29"/>
        <v>40.45359425</v>
      </c>
      <c r="AS31" s="115">
        <f t="shared" si="29"/>
        <v>40.28461412</v>
      </c>
      <c r="AT31" s="115">
        <f t="shared" si="29"/>
        <v>41.84995913</v>
      </c>
      <c r="AU31" s="115">
        <f t="shared" si="29"/>
        <v>47.23907067</v>
      </c>
      <c r="AV31" s="115">
        <f t="shared" si="29"/>
        <v>44.20098101</v>
      </c>
      <c r="AW31" s="115">
        <f t="shared" si="29"/>
        <v>44.01634754</v>
      </c>
      <c r="AX31" s="115">
        <f t="shared" si="29"/>
        <v>45.72669705</v>
      </c>
      <c r="AY31" s="115">
        <f t="shared" si="29"/>
        <v>51.61502469</v>
      </c>
      <c r="AZ31" s="115">
        <f t="shared" si="29"/>
        <v>48.29550399</v>
      </c>
      <c r="BA31" s="115">
        <f t="shared" si="29"/>
        <v>48.09376715</v>
      </c>
      <c r="BB31" s="115">
        <f t="shared" si="29"/>
        <v>49.96255353</v>
      </c>
      <c r="BC31" s="115">
        <f t="shared" si="29"/>
        <v>56.39634175</v>
      </c>
      <c r="BD31" s="115">
        <f t="shared" si="29"/>
        <v>52.76931987</v>
      </c>
      <c r="BE31" s="115">
        <f t="shared" si="29"/>
        <v>52.5488953</v>
      </c>
      <c r="BF31" s="115">
        <f t="shared" si="29"/>
        <v>54.59079523</v>
      </c>
      <c r="BG31" s="115">
        <f t="shared" si="29"/>
        <v>61.62057235</v>
      </c>
      <c r="BH31" s="115">
        <f t="shared" si="29"/>
        <v>57.65756416</v>
      </c>
      <c r="BI31" s="115">
        <f t="shared" si="29"/>
        <v>57.41672073</v>
      </c>
      <c r="BJ31" s="115">
        <f t="shared" si="29"/>
        <v>59.64777045</v>
      </c>
      <c r="BK31" s="115">
        <f t="shared" si="29"/>
        <v>67.32874542</v>
      </c>
      <c r="BL31" s="115">
        <f t="shared" si="29"/>
        <v>62.99862709</v>
      </c>
      <c r="BM31" s="115">
        <f t="shared" si="29"/>
        <v>62.73547332</v>
      </c>
      <c r="BN31" s="115">
        <f t="shared" si="29"/>
        <v>65.17319457</v>
      </c>
      <c r="BO31" s="115">
        <f t="shared" si="29"/>
        <v>73.56569059</v>
      </c>
      <c r="BP31" s="115">
        <f t="shared" si="29"/>
        <v>68.83445518</v>
      </c>
      <c r="BQ31" s="115">
        <f t="shared" si="29"/>
        <v>68.54692436</v>
      </c>
      <c r="BR31" s="115">
        <f t="shared" si="29"/>
        <v>71.21046199</v>
      </c>
      <c r="BS31" s="115">
        <f t="shared" si="29"/>
        <v>80.38039026</v>
      </c>
      <c r="BT31" s="115">
        <f t="shared" si="29"/>
        <v>75.21088059</v>
      </c>
      <c r="BU31" s="115">
        <f t="shared" si="29"/>
        <v>74.89671458</v>
      </c>
      <c r="BV31" s="115">
        <f t="shared" si="29"/>
        <v>77.80698692</v>
      </c>
      <c r="BW31" s="115">
        <f t="shared" si="29"/>
        <v>87.82636425</v>
      </c>
      <c r="BX31" s="6" t="s">
        <v>35</v>
      </c>
      <c r="BY31" s="17">
        <f>SUM(D31:G31)</f>
        <v>0</v>
      </c>
      <c r="BZ31" s="17">
        <f>SUM(H31:K31)</f>
        <v>0</v>
      </c>
      <c r="CA31" s="17">
        <f>SUM(L31:O31)</f>
        <v>0</v>
      </c>
      <c r="CB31" s="17">
        <f>SUM(P31:S31)</f>
        <v>0</v>
      </c>
      <c r="CC31" s="17">
        <f>SUM(T31:W31)</f>
        <v>0</v>
      </c>
      <c r="CD31" s="17">
        <f>SUM(X31:AA31)</f>
        <v>50.710655</v>
      </c>
      <c r="CE31" s="17">
        <f>SUM(AB31:AE31)</f>
        <v>82.61406783</v>
      </c>
      <c r="CF31" s="17">
        <f>SUM(AF31:AI31)</f>
        <v>131.1467319</v>
      </c>
      <c r="CG31" s="17">
        <f>SUM(AJ31:AM31)</f>
        <v>150.0153143</v>
      </c>
      <c r="CH31" s="17">
        <f>SUM(AN31:AQ31)</f>
        <v>154.6100569</v>
      </c>
      <c r="CI31" s="17">
        <f>SUM(AR31:AU31)</f>
        <v>169.8272382</v>
      </c>
      <c r="CJ31" s="17">
        <f>SUM(AV31:AY31)</f>
        <v>185.5590503</v>
      </c>
      <c r="CK31" s="17">
        <f>SUM(AZ31:BC31)</f>
        <v>202.7481664</v>
      </c>
      <c r="CL31" s="17">
        <f>SUM(BD31:BG31)</f>
        <v>221.5295827</v>
      </c>
      <c r="CM31" s="17">
        <f>SUM(BH31:BK31)</f>
        <v>242.0508007</v>
      </c>
      <c r="CN31" s="17">
        <f>SUM(BL31:BO31)</f>
        <v>264.4729856</v>
      </c>
      <c r="CO31" s="17">
        <f>SUM(BP31:BS31)</f>
        <v>288.9722318</v>
      </c>
      <c r="CP31" s="17">
        <f>SUM(BT31:BW31)</f>
        <v>315.7409463</v>
      </c>
      <c r="CQ31" s="6" t="s">
        <v>35</v>
      </c>
      <c r="CT31" s="19">
        <f>(CF31/CD31)^(1/2)-1</f>
        <v>0.6081595212</v>
      </c>
      <c r="CU31" s="19">
        <f>(CH31/CE31)^(1/3)-1</f>
        <v>0.2323325253</v>
      </c>
      <c r="CV31" s="19">
        <f>(CJ31/CF31)^(1/4)-1</f>
        <v>0.09063936057</v>
      </c>
      <c r="CW31" s="19">
        <f>(CJ31/CG31)^(1/3)-1</f>
        <v>0.07345089311</v>
      </c>
    </row>
    <row r="32" ht="14.25" customHeight="1">
      <c r="B32" s="10" t="s">
        <v>40</v>
      </c>
      <c r="C32" s="9" t="s">
        <v>42</v>
      </c>
      <c r="AB32" s="19">
        <f t="shared" ref="AB32:BW32" si="30">AB31/X31-1</f>
        <v>1.83829764</v>
      </c>
      <c r="AC32" s="19">
        <f t="shared" si="30"/>
        <v>0.6656755727</v>
      </c>
      <c r="AD32" s="19">
        <f t="shared" si="30"/>
        <v>0.6079830054</v>
      </c>
      <c r="AE32" s="19">
        <f t="shared" si="30"/>
        <v>0.2559160494</v>
      </c>
      <c r="AF32" s="19">
        <f t="shared" si="30"/>
        <v>0.3352537928</v>
      </c>
      <c r="AG32" s="19">
        <f t="shared" si="30"/>
        <v>0.509893334</v>
      </c>
      <c r="AH32" s="19">
        <f t="shared" si="30"/>
        <v>1.096217755</v>
      </c>
      <c r="AI32" s="19">
        <f t="shared" si="30"/>
        <v>0.4280516753</v>
      </c>
      <c r="AJ32" s="19">
        <f t="shared" si="30"/>
        <v>0.8427900228</v>
      </c>
      <c r="AK32" s="19">
        <f t="shared" si="30"/>
        <v>0.1478888037</v>
      </c>
      <c r="AL32" s="19">
        <f t="shared" si="30"/>
        <v>-0.1768374542</v>
      </c>
      <c r="AM32" s="19">
        <f t="shared" si="30"/>
        <v>0.05555812821</v>
      </c>
      <c r="AN32" s="19">
        <f t="shared" si="30"/>
        <v>-0.1558357859</v>
      </c>
      <c r="AO32" s="19">
        <f t="shared" si="30"/>
        <v>0.08661178636</v>
      </c>
      <c r="AP32" s="19">
        <f t="shared" si="30"/>
        <v>0.1197385459</v>
      </c>
      <c r="AQ32" s="19">
        <f t="shared" si="30"/>
        <v>0.1116663889</v>
      </c>
      <c r="AR32" s="19">
        <f t="shared" si="30"/>
        <v>0.1061901998</v>
      </c>
      <c r="AS32" s="19">
        <f t="shared" si="30"/>
        <v>0.100740987</v>
      </c>
      <c r="AT32" s="19">
        <f t="shared" si="30"/>
        <v>0.09531861757</v>
      </c>
      <c r="AU32" s="19">
        <f t="shared" si="30"/>
        <v>0.0926342105</v>
      </c>
      <c r="AV32" s="19">
        <f t="shared" si="30"/>
        <v>0.0926342105</v>
      </c>
      <c r="AW32" s="19">
        <f t="shared" si="30"/>
        <v>0.0926342105</v>
      </c>
      <c r="AX32" s="19">
        <f t="shared" si="30"/>
        <v>0.0926342105</v>
      </c>
      <c r="AY32" s="19">
        <f t="shared" si="30"/>
        <v>0.0926342105</v>
      </c>
      <c r="AZ32" s="19">
        <f t="shared" si="30"/>
        <v>0.0926342105</v>
      </c>
      <c r="BA32" s="19">
        <f t="shared" si="30"/>
        <v>0.0926342105</v>
      </c>
      <c r="BB32" s="19">
        <f t="shared" si="30"/>
        <v>0.0926342105</v>
      </c>
      <c r="BC32" s="19">
        <f t="shared" si="30"/>
        <v>0.0926342105</v>
      </c>
      <c r="BD32" s="19">
        <f t="shared" si="30"/>
        <v>0.0926342105</v>
      </c>
      <c r="BE32" s="19">
        <f t="shared" si="30"/>
        <v>0.0926342105</v>
      </c>
      <c r="BF32" s="19">
        <f t="shared" si="30"/>
        <v>0.0926342105</v>
      </c>
      <c r="BG32" s="19">
        <f t="shared" si="30"/>
        <v>0.0926342105</v>
      </c>
      <c r="BH32" s="19">
        <f t="shared" si="30"/>
        <v>0.0926342105</v>
      </c>
      <c r="BI32" s="19">
        <f t="shared" si="30"/>
        <v>0.0926342105</v>
      </c>
      <c r="BJ32" s="19">
        <f t="shared" si="30"/>
        <v>0.0926342105</v>
      </c>
      <c r="BK32" s="19">
        <f t="shared" si="30"/>
        <v>0.0926342105</v>
      </c>
      <c r="BL32" s="19">
        <f t="shared" si="30"/>
        <v>0.0926342105</v>
      </c>
      <c r="BM32" s="19">
        <f t="shared" si="30"/>
        <v>0.0926342105</v>
      </c>
      <c r="BN32" s="19">
        <f t="shared" si="30"/>
        <v>0.0926342105</v>
      </c>
      <c r="BO32" s="19">
        <f t="shared" si="30"/>
        <v>0.0926342105</v>
      </c>
      <c r="BP32" s="19">
        <f t="shared" si="30"/>
        <v>0.0926342105</v>
      </c>
      <c r="BQ32" s="19">
        <f t="shared" si="30"/>
        <v>0.0926342105</v>
      </c>
      <c r="BR32" s="19">
        <f t="shared" si="30"/>
        <v>0.0926342105</v>
      </c>
      <c r="BS32" s="19">
        <f t="shared" si="30"/>
        <v>0.0926342105</v>
      </c>
      <c r="BT32" s="19">
        <f t="shared" si="30"/>
        <v>0.0926342105</v>
      </c>
      <c r="BU32" s="19">
        <f t="shared" si="30"/>
        <v>0.0926342105</v>
      </c>
      <c r="BV32" s="19">
        <f t="shared" si="30"/>
        <v>0.0926342105</v>
      </c>
      <c r="BW32" s="19">
        <f t="shared" si="30"/>
        <v>0.0926342105</v>
      </c>
      <c r="BX32" s="6" t="s">
        <v>35</v>
      </c>
      <c r="BY32" s="19"/>
      <c r="BZ32" s="19"/>
      <c r="CA32" s="19"/>
      <c r="CB32" s="19"/>
      <c r="CC32" s="19"/>
      <c r="CD32" s="19"/>
      <c r="CE32" s="19">
        <f t="shared" ref="CE32:CP32" si="31">CE31/CD31-1</f>
        <v>0.6291264198</v>
      </c>
      <c r="CF32" s="19">
        <f t="shared" si="31"/>
        <v>0.587462467</v>
      </c>
      <c r="CG32" s="19">
        <f t="shared" si="31"/>
        <v>0.1438738278</v>
      </c>
      <c r="CH32" s="19">
        <f t="shared" si="31"/>
        <v>0.03062849095</v>
      </c>
      <c r="CI32" s="19">
        <f t="shared" si="31"/>
        <v>0.09842297143</v>
      </c>
      <c r="CJ32" s="19">
        <f t="shared" si="31"/>
        <v>0.0926342105</v>
      </c>
      <c r="CK32" s="19">
        <f t="shared" si="31"/>
        <v>0.0926342105</v>
      </c>
      <c r="CL32" s="19">
        <f t="shared" si="31"/>
        <v>0.0926342105</v>
      </c>
      <c r="CM32" s="19">
        <f t="shared" si="31"/>
        <v>0.0926342105</v>
      </c>
      <c r="CN32" s="19">
        <f t="shared" si="31"/>
        <v>0.0926342105</v>
      </c>
      <c r="CO32" s="19">
        <f t="shared" si="31"/>
        <v>0.0926342105</v>
      </c>
      <c r="CP32" s="19">
        <f t="shared" si="31"/>
        <v>0.0926342105</v>
      </c>
      <c r="CQ32" s="6" t="s">
        <v>35</v>
      </c>
    </row>
    <row r="33" ht="14.25" customHeight="1">
      <c r="B33" s="10" t="s">
        <v>195</v>
      </c>
      <c r="C33" s="9" t="s">
        <v>42</v>
      </c>
      <c r="AB33" s="19">
        <f t="shared" ref="AB33:AJ33" si="32">AB31/AB$20</f>
        <v>0.07297458985</v>
      </c>
      <c r="AC33" s="19">
        <f t="shared" si="32"/>
        <v>0.07652649834</v>
      </c>
      <c r="AD33" s="19">
        <f t="shared" si="32"/>
        <v>0.07352480719</v>
      </c>
      <c r="AE33" s="19">
        <f t="shared" si="32"/>
        <v>0.09140704365</v>
      </c>
      <c r="AF33" s="19">
        <f t="shared" si="32"/>
        <v>0.1086187643</v>
      </c>
      <c r="AG33" s="19">
        <f t="shared" si="32"/>
        <v>0.1429467221</v>
      </c>
      <c r="AH33" s="19">
        <f t="shared" si="32"/>
        <v>0.1055644656</v>
      </c>
      <c r="AI33" s="19">
        <f t="shared" si="32"/>
        <v>0.0877887164</v>
      </c>
      <c r="AJ33" s="19">
        <f t="shared" si="32"/>
        <v>0.1174509676</v>
      </c>
      <c r="AK33" s="19">
        <v>0.095</v>
      </c>
      <c r="AL33" s="19">
        <v>0.095</v>
      </c>
      <c r="AM33" s="19">
        <v>0.095</v>
      </c>
      <c r="AN33" s="19">
        <v>0.095</v>
      </c>
      <c r="AO33" s="19">
        <v>0.095</v>
      </c>
      <c r="AP33" s="19">
        <v>0.095</v>
      </c>
      <c r="AQ33" s="19">
        <v>0.095</v>
      </c>
      <c r="AR33" s="19">
        <v>0.095</v>
      </c>
      <c r="AS33" s="19">
        <v>0.095</v>
      </c>
      <c r="AT33" s="19">
        <v>0.095</v>
      </c>
      <c r="AU33" s="19">
        <v>0.095</v>
      </c>
      <c r="AV33" s="19">
        <v>0.095</v>
      </c>
      <c r="AW33" s="19">
        <v>0.095</v>
      </c>
      <c r="AX33" s="19">
        <v>0.095</v>
      </c>
      <c r="AY33" s="19">
        <v>0.095</v>
      </c>
      <c r="AZ33" s="19">
        <v>0.095</v>
      </c>
      <c r="BA33" s="19">
        <v>0.095</v>
      </c>
      <c r="BB33" s="19">
        <v>0.095</v>
      </c>
      <c r="BC33" s="19">
        <v>0.095</v>
      </c>
      <c r="BD33" s="19">
        <v>0.095</v>
      </c>
      <c r="BE33" s="19">
        <v>0.095</v>
      </c>
      <c r="BF33" s="19">
        <v>0.095</v>
      </c>
      <c r="BG33" s="19">
        <v>0.095</v>
      </c>
      <c r="BH33" s="19">
        <v>0.095</v>
      </c>
      <c r="BI33" s="19">
        <v>0.095</v>
      </c>
      <c r="BJ33" s="19">
        <v>0.095</v>
      </c>
      <c r="BK33" s="19">
        <v>0.095</v>
      </c>
      <c r="BL33" s="19">
        <v>0.095</v>
      </c>
      <c r="BM33" s="19">
        <v>0.095</v>
      </c>
      <c r="BN33" s="19">
        <v>0.095</v>
      </c>
      <c r="BO33" s="19">
        <v>0.095</v>
      </c>
      <c r="BP33" s="19">
        <v>0.095</v>
      </c>
      <c r="BQ33" s="19">
        <v>0.095</v>
      </c>
      <c r="BR33" s="19">
        <v>0.095</v>
      </c>
      <c r="BS33" s="19">
        <v>0.095</v>
      </c>
      <c r="BT33" s="19">
        <v>0.095</v>
      </c>
      <c r="BU33" s="19">
        <v>0.095</v>
      </c>
      <c r="BV33" s="19">
        <v>0.095</v>
      </c>
      <c r="BW33" s="19">
        <v>0.095</v>
      </c>
      <c r="BX33" s="6" t="s">
        <v>35</v>
      </c>
      <c r="CE33" s="19">
        <f t="shared" ref="CE33:CP33" si="33">CE31/CE$20</f>
        <v>0.07894991349</v>
      </c>
      <c r="CF33" s="19">
        <f t="shared" si="33"/>
        <v>0.1062725359</v>
      </c>
      <c r="CG33" s="19">
        <f t="shared" si="33"/>
        <v>0.1005504373</v>
      </c>
      <c r="CH33" s="19">
        <f t="shared" si="33"/>
        <v>0.095</v>
      </c>
      <c r="CI33" s="19">
        <f t="shared" si="33"/>
        <v>0.095</v>
      </c>
      <c r="CJ33" s="19">
        <f t="shared" si="33"/>
        <v>0.095</v>
      </c>
      <c r="CK33" s="19">
        <f t="shared" si="33"/>
        <v>0.095</v>
      </c>
      <c r="CL33" s="19">
        <f t="shared" si="33"/>
        <v>0.095</v>
      </c>
      <c r="CM33" s="19">
        <f t="shared" si="33"/>
        <v>0.095</v>
      </c>
      <c r="CN33" s="19">
        <f t="shared" si="33"/>
        <v>0.095</v>
      </c>
      <c r="CO33" s="19">
        <f t="shared" si="33"/>
        <v>0.095</v>
      </c>
      <c r="CP33" s="19">
        <f t="shared" si="33"/>
        <v>0.095</v>
      </c>
      <c r="CQ33" s="6" t="s">
        <v>35</v>
      </c>
    </row>
    <row r="34" ht="14.25" customHeight="1">
      <c r="BX34" s="6" t="s">
        <v>35</v>
      </c>
      <c r="CQ34" s="6" t="s">
        <v>35</v>
      </c>
    </row>
    <row r="35" ht="14.25" customHeight="1">
      <c r="B35" s="83" t="s">
        <v>196</v>
      </c>
      <c r="C35" s="78" t="s">
        <v>39</v>
      </c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>
        <f>Inputs!AJ318/1000</f>
        <v>133.4772201</v>
      </c>
      <c r="AI35" s="114">
        <f>Inputs!AK318/1000</f>
        <v>125.1909388</v>
      </c>
      <c r="AJ35" s="114">
        <f>Inputs!AL318/1000</f>
        <v>97.92699602</v>
      </c>
      <c r="AK35" s="115">
        <f t="shared" ref="AK35:BW35" si="34">AK$20*AK37</f>
        <v>94.1271078</v>
      </c>
      <c r="AL35" s="115">
        <f t="shared" si="34"/>
        <v>95.36148294</v>
      </c>
      <c r="AM35" s="115">
        <f t="shared" si="34"/>
        <v>108.6893852</v>
      </c>
      <c r="AN35" s="115">
        <f t="shared" si="34"/>
        <v>102.2026987</v>
      </c>
      <c r="AO35" s="115">
        <f t="shared" si="34"/>
        <v>102.2796248</v>
      </c>
      <c r="AP35" s="115">
        <f t="shared" si="34"/>
        <v>106.7799282</v>
      </c>
      <c r="AQ35" s="115">
        <f t="shared" si="34"/>
        <v>120.8263363</v>
      </c>
      <c r="AR35" s="115">
        <f t="shared" si="34"/>
        <v>113.0556237</v>
      </c>
      <c r="AS35" s="115">
        <f t="shared" si="34"/>
        <v>112.5833751</v>
      </c>
      <c r="AT35" s="115">
        <f t="shared" si="34"/>
        <v>116.9580434</v>
      </c>
      <c r="AU35" s="115">
        <f t="shared" si="34"/>
        <v>132.0189886</v>
      </c>
      <c r="AV35" s="115">
        <f t="shared" si="34"/>
        <v>123.5284422</v>
      </c>
      <c r="AW35" s="115">
        <f t="shared" si="34"/>
        <v>123.0124472</v>
      </c>
      <c r="AX35" s="115">
        <f t="shared" si="34"/>
        <v>127.7923594</v>
      </c>
      <c r="AY35" s="115">
        <f t="shared" si="34"/>
        <v>144.2484634</v>
      </c>
      <c r="AZ35" s="115">
        <f t="shared" si="34"/>
        <v>134.9714019</v>
      </c>
      <c r="BA35" s="115">
        <f t="shared" si="34"/>
        <v>134.4076081</v>
      </c>
      <c r="BB35" s="115">
        <f t="shared" si="34"/>
        <v>139.6303037</v>
      </c>
      <c r="BC35" s="115">
        <f t="shared" si="34"/>
        <v>157.6108059</v>
      </c>
      <c r="BD35" s="115">
        <f t="shared" si="34"/>
        <v>147.4743711</v>
      </c>
      <c r="BE35" s="115">
        <f t="shared" si="34"/>
        <v>146.8583508</v>
      </c>
      <c r="BF35" s="115">
        <f t="shared" si="34"/>
        <v>152.5648467</v>
      </c>
      <c r="BG35" s="115">
        <f t="shared" si="34"/>
        <v>172.2109585</v>
      </c>
      <c r="BH35" s="115">
        <f t="shared" si="34"/>
        <v>161.1355431</v>
      </c>
      <c r="BI35" s="115">
        <f t="shared" si="34"/>
        <v>160.4624581</v>
      </c>
      <c r="BJ35" s="115">
        <f t="shared" si="34"/>
        <v>166.6975708</v>
      </c>
      <c r="BK35" s="115">
        <f t="shared" si="34"/>
        <v>188.1635847</v>
      </c>
      <c r="BL35" s="115">
        <f t="shared" si="34"/>
        <v>176.0622069</v>
      </c>
      <c r="BM35" s="115">
        <f t="shared" si="34"/>
        <v>175.3267713</v>
      </c>
      <c r="BN35" s="115">
        <f t="shared" si="34"/>
        <v>182.1394687</v>
      </c>
      <c r="BO35" s="115">
        <f t="shared" si="34"/>
        <v>205.5939698</v>
      </c>
      <c r="BP35" s="115">
        <f t="shared" si="34"/>
        <v>192.3715904</v>
      </c>
      <c r="BQ35" s="115">
        <f t="shared" si="34"/>
        <v>191.5680283</v>
      </c>
      <c r="BR35" s="115">
        <f t="shared" si="34"/>
        <v>199.0118145</v>
      </c>
      <c r="BS35" s="115">
        <f t="shared" si="34"/>
        <v>224.6390049</v>
      </c>
      <c r="BT35" s="115">
        <f t="shared" si="34"/>
        <v>210.1917808</v>
      </c>
      <c r="BU35" s="115">
        <f t="shared" si="34"/>
        <v>209.3137813</v>
      </c>
      <c r="BV35" s="115">
        <f t="shared" si="34"/>
        <v>217.4471169</v>
      </c>
      <c r="BW35" s="115">
        <f t="shared" si="34"/>
        <v>245.4482617</v>
      </c>
      <c r="BX35" s="6" t="s">
        <v>35</v>
      </c>
      <c r="BY35" s="17">
        <f>SUM(D35:G35)</f>
        <v>0</v>
      </c>
      <c r="BZ35" s="17">
        <f>SUM(H35:K35)</f>
        <v>0</v>
      </c>
      <c r="CA35" s="17">
        <f>SUM(L35:O35)</f>
        <v>0</v>
      </c>
      <c r="CB35" s="17">
        <f>SUM(P35:S35)</f>
        <v>0</v>
      </c>
      <c r="CC35" s="17">
        <f>SUM(T35:W35)</f>
        <v>0</v>
      </c>
      <c r="CD35" s="17">
        <f>SUM(X35:AA35)</f>
        <v>0</v>
      </c>
      <c r="CE35" s="17">
        <f>SUM(AB35:AE35)</f>
        <v>0</v>
      </c>
      <c r="CF35" s="17">
        <f>SUM(AF35:AI35)</f>
        <v>258.6681588</v>
      </c>
      <c r="CG35" s="17">
        <f>SUM(AJ35:AM35)</f>
        <v>396.104972</v>
      </c>
      <c r="CH35" s="17">
        <f>SUM(AN35:AQ35)</f>
        <v>432.0885881</v>
      </c>
      <c r="CI35" s="17">
        <f>SUM(AR35:AU35)</f>
        <v>474.6160308</v>
      </c>
      <c r="CJ35" s="17">
        <f>SUM(AV35:AY35)</f>
        <v>518.5817121</v>
      </c>
      <c r="CK35" s="17">
        <f>SUM(AZ35:BC35)</f>
        <v>566.6201196</v>
      </c>
      <c r="CL35" s="17">
        <f>SUM(BD35:BG35)</f>
        <v>619.108527</v>
      </c>
      <c r="CM35" s="17">
        <f>SUM(BH35:BK35)</f>
        <v>676.4591567</v>
      </c>
      <c r="CN35" s="17">
        <f>SUM(BL35:BO35)</f>
        <v>739.1224166</v>
      </c>
      <c r="CO35" s="17">
        <f>SUM(BP35:BS35)</f>
        <v>807.5904381</v>
      </c>
      <c r="CP35" s="17">
        <f>SUM(BT35:BW35)</f>
        <v>882.4009407</v>
      </c>
      <c r="CQ35" s="6" t="s">
        <v>35</v>
      </c>
      <c r="CT35" s="19"/>
      <c r="CU35" s="19"/>
      <c r="CV35" s="19">
        <f>(CJ35/CF35)^(1/4)-1</f>
        <v>0.1899221706</v>
      </c>
      <c r="CW35" s="19">
        <f>(CJ35/CG35)^(1/3)-1</f>
        <v>0.09396216274</v>
      </c>
    </row>
    <row r="36" ht="14.25" customHeight="1">
      <c r="B36" s="10" t="s">
        <v>40</v>
      </c>
      <c r="C36" s="9" t="s">
        <v>42</v>
      </c>
      <c r="BX36" s="6" t="s">
        <v>35</v>
      </c>
      <c r="BY36" s="19"/>
      <c r="BZ36" s="19"/>
      <c r="CA36" s="19"/>
      <c r="CB36" s="19"/>
      <c r="CC36" s="19"/>
      <c r="CD36" s="19"/>
      <c r="CE36" s="19"/>
      <c r="CF36" s="19"/>
      <c r="CG36" s="19">
        <f t="shared" ref="CG36:CP36" si="35">CG35/CF35-1</f>
        <v>0.5313248208</v>
      </c>
      <c r="CH36" s="19">
        <f t="shared" si="35"/>
        <v>0.09084363654</v>
      </c>
      <c r="CI36" s="19">
        <f t="shared" si="35"/>
        <v>0.09842297143</v>
      </c>
      <c r="CJ36" s="19">
        <f t="shared" si="35"/>
        <v>0.0926342105</v>
      </c>
      <c r="CK36" s="19">
        <f t="shared" si="35"/>
        <v>0.0926342105</v>
      </c>
      <c r="CL36" s="19">
        <f t="shared" si="35"/>
        <v>0.0926342105</v>
      </c>
      <c r="CM36" s="19">
        <f t="shared" si="35"/>
        <v>0.0926342105</v>
      </c>
      <c r="CN36" s="19">
        <f t="shared" si="35"/>
        <v>0.0926342105</v>
      </c>
      <c r="CO36" s="19">
        <f t="shared" si="35"/>
        <v>0.0926342105</v>
      </c>
      <c r="CP36" s="19">
        <f t="shared" si="35"/>
        <v>0.0926342105</v>
      </c>
      <c r="CQ36" s="6" t="s">
        <v>35</v>
      </c>
    </row>
    <row r="37" ht="14.25" customHeight="1">
      <c r="B37" s="10" t="s">
        <v>195</v>
      </c>
      <c r="C37" s="9" t="s">
        <v>42</v>
      </c>
      <c r="AH37" s="19">
        <f t="shared" ref="AH37:AJ37" si="36">AH35/AH$20</f>
        <v>0.3399167519</v>
      </c>
      <c r="AI37" s="19">
        <f t="shared" si="36"/>
        <v>0.2982920463</v>
      </c>
      <c r="AJ37" s="19">
        <f t="shared" si="36"/>
        <v>0.2654964151</v>
      </c>
      <c r="AK37" s="111">
        <f t="shared" ref="AK37:BW37" si="37">AJ37</f>
        <v>0.2654964151</v>
      </c>
      <c r="AL37" s="111">
        <f t="shared" si="37"/>
        <v>0.2654964151</v>
      </c>
      <c r="AM37" s="111">
        <f t="shared" si="37"/>
        <v>0.2654964151</v>
      </c>
      <c r="AN37" s="111">
        <f t="shared" si="37"/>
        <v>0.2654964151</v>
      </c>
      <c r="AO37" s="111">
        <f t="shared" si="37"/>
        <v>0.2654964151</v>
      </c>
      <c r="AP37" s="111">
        <f t="shared" si="37"/>
        <v>0.2654964151</v>
      </c>
      <c r="AQ37" s="111">
        <f t="shared" si="37"/>
        <v>0.2654964151</v>
      </c>
      <c r="AR37" s="111">
        <f t="shared" si="37"/>
        <v>0.2654964151</v>
      </c>
      <c r="AS37" s="111">
        <f t="shared" si="37"/>
        <v>0.2654964151</v>
      </c>
      <c r="AT37" s="111">
        <f t="shared" si="37"/>
        <v>0.2654964151</v>
      </c>
      <c r="AU37" s="111">
        <f t="shared" si="37"/>
        <v>0.2654964151</v>
      </c>
      <c r="AV37" s="111">
        <f t="shared" si="37"/>
        <v>0.2654964151</v>
      </c>
      <c r="AW37" s="111">
        <f t="shared" si="37"/>
        <v>0.2654964151</v>
      </c>
      <c r="AX37" s="111">
        <f t="shared" si="37"/>
        <v>0.2654964151</v>
      </c>
      <c r="AY37" s="111">
        <f t="shared" si="37"/>
        <v>0.2654964151</v>
      </c>
      <c r="AZ37" s="111">
        <f t="shared" si="37"/>
        <v>0.2654964151</v>
      </c>
      <c r="BA37" s="111">
        <f t="shared" si="37"/>
        <v>0.2654964151</v>
      </c>
      <c r="BB37" s="111">
        <f t="shared" si="37"/>
        <v>0.2654964151</v>
      </c>
      <c r="BC37" s="111">
        <f t="shared" si="37"/>
        <v>0.2654964151</v>
      </c>
      <c r="BD37" s="111">
        <f t="shared" si="37"/>
        <v>0.2654964151</v>
      </c>
      <c r="BE37" s="111">
        <f t="shared" si="37"/>
        <v>0.2654964151</v>
      </c>
      <c r="BF37" s="111">
        <f t="shared" si="37"/>
        <v>0.2654964151</v>
      </c>
      <c r="BG37" s="111">
        <f t="shared" si="37"/>
        <v>0.2654964151</v>
      </c>
      <c r="BH37" s="111">
        <f t="shared" si="37"/>
        <v>0.2654964151</v>
      </c>
      <c r="BI37" s="111">
        <f t="shared" si="37"/>
        <v>0.2654964151</v>
      </c>
      <c r="BJ37" s="111">
        <f t="shared" si="37"/>
        <v>0.2654964151</v>
      </c>
      <c r="BK37" s="111">
        <f t="shared" si="37"/>
        <v>0.2654964151</v>
      </c>
      <c r="BL37" s="111">
        <f t="shared" si="37"/>
        <v>0.2654964151</v>
      </c>
      <c r="BM37" s="111">
        <f t="shared" si="37"/>
        <v>0.2654964151</v>
      </c>
      <c r="BN37" s="111">
        <f t="shared" si="37"/>
        <v>0.2654964151</v>
      </c>
      <c r="BO37" s="111">
        <f t="shared" si="37"/>
        <v>0.2654964151</v>
      </c>
      <c r="BP37" s="111">
        <f t="shared" si="37"/>
        <v>0.2654964151</v>
      </c>
      <c r="BQ37" s="111">
        <f t="shared" si="37"/>
        <v>0.2654964151</v>
      </c>
      <c r="BR37" s="111">
        <f t="shared" si="37"/>
        <v>0.2654964151</v>
      </c>
      <c r="BS37" s="111">
        <f t="shared" si="37"/>
        <v>0.2654964151</v>
      </c>
      <c r="BT37" s="111">
        <f t="shared" si="37"/>
        <v>0.2654964151</v>
      </c>
      <c r="BU37" s="111">
        <f t="shared" si="37"/>
        <v>0.2654964151</v>
      </c>
      <c r="BV37" s="111">
        <f t="shared" si="37"/>
        <v>0.2654964151</v>
      </c>
      <c r="BW37" s="111">
        <f t="shared" si="37"/>
        <v>0.2654964151</v>
      </c>
      <c r="BX37" s="6" t="s">
        <v>35</v>
      </c>
      <c r="CE37" s="19">
        <f t="shared" ref="CE37:CP37" si="38">CE35/CE$20</f>
        <v>0</v>
      </c>
      <c r="CF37" s="19">
        <f t="shared" si="38"/>
        <v>0.2096073671</v>
      </c>
      <c r="CG37" s="19">
        <f t="shared" si="38"/>
        <v>0.2654964151</v>
      </c>
      <c r="CH37" s="19">
        <f t="shared" si="38"/>
        <v>0.2654964151</v>
      </c>
      <c r="CI37" s="19">
        <f t="shared" si="38"/>
        <v>0.2654964151</v>
      </c>
      <c r="CJ37" s="19">
        <f t="shared" si="38"/>
        <v>0.2654964151</v>
      </c>
      <c r="CK37" s="19">
        <f t="shared" si="38"/>
        <v>0.2654964151</v>
      </c>
      <c r="CL37" s="19">
        <f t="shared" si="38"/>
        <v>0.2654964151</v>
      </c>
      <c r="CM37" s="19">
        <f t="shared" si="38"/>
        <v>0.2654964151</v>
      </c>
      <c r="CN37" s="19">
        <f t="shared" si="38"/>
        <v>0.2654964151</v>
      </c>
      <c r="CO37" s="19">
        <f t="shared" si="38"/>
        <v>0.2654964151</v>
      </c>
      <c r="CP37" s="19">
        <f t="shared" si="38"/>
        <v>0.2654964151</v>
      </c>
      <c r="CQ37" s="6" t="s">
        <v>35</v>
      </c>
    </row>
    <row r="38" ht="14.25" customHeight="1">
      <c r="AD38" s="48"/>
      <c r="BX38" s="6" t="s">
        <v>35</v>
      </c>
      <c r="CQ38" s="6" t="s">
        <v>35</v>
      </c>
    </row>
    <row r="39" ht="14.25" customHeight="1">
      <c r="A39" s="11" t="s">
        <v>36</v>
      </c>
      <c r="B39" s="2" t="s">
        <v>197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6" t="s">
        <v>35</v>
      </c>
      <c r="BY39" s="2"/>
      <c r="BZ39" s="2"/>
      <c r="CA39" s="2"/>
      <c r="CB39" s="2"/>
      <c r="CC39" s="2"/>
      <c r="CD39" s="2"/>
      <c r="CE39" s="2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6" t="s">
        <v>35</v>
      </c>
    </row>
    <row r="40" ht="14.25" customHeight="1">
      <c r="BX40" s="6" t="s">
        <v>35</v>
      </c>
      <c r="CQ40" s="6" t="s">
        <v>35</v>
      </c>
    </row>
    <row r="41" ht="14.25" customHeight="1">
      <c r="B41" s="53" t="str">
        <f>Inputs!B278</f>
        <v>Quantidade total de colaboradores (final de trimestre)</v>
      </c>
      <c r="D41" s="116">
        <f>Inputs!F278</f>
        <v>2023</v>
      </c>
      <c r="E41" s="116">
        <f>Inputs!G278</f>
        <v>2046</v>
      </c>
      <c r="F41" s="116">
        <f>Inputs!H278</f>
        <v>2758</v>
      </c>
      <c r="G41" s="116">
        <f>Inputs!I278</f>
        <v>2598</v>
      </c>
      <c r="H41" s="116">
        <f>Inputs!J278</f>
        <v>3202</v>
      </c>
      <c r="I41" s="116">
        <f>Inputs!K278</f>
        <v>3316</v>
      </c>
      <c r="J41" s="116">
        <f>Inputs!L278</f>
        <v>3177</v>
      </c>
      <c r="K41" s="116">
        <f>Inputs!M278</f>
        <v>3111</v>
      </c>
      <c r="L41" s="116">
        <f>Inputs!N278</f>
        <v>3408</v>
      </c>
      <c r="M41" s="116">
        <f>Inputs!O278</f>
        <v>2975</v>
      </c>
      <c r="N41" s="116">
        <f>Inputs!P278</f>
        <v>2907</v>
      </c>
      <c r="O41" s="116">
        <f>Inputs!Q278</f>
        <v>2676</v>
      </c>
      <c r="P41" s="116">
        <f>Inputs!R278</f>
        <v>2645</v>
      </c>
      <c r="Q41" s="116">
        <f>Inputs!S278</f>
        <v>1676</v>
      </c>
      <c r="R41" s="116">
        <f>Inputs!T278</f>
        <v>1931</v>
      </c>
      <c r="S41" s="116">
        <f>Inputs!U278</f>
        <v>2199</v>
      </c>
      <c r="T41" s="116">
        <f>Inputs!V278</f>
        <v>2508</v>
      </c>
      <c r="U41" s="116">
        <f>Inputs!W278</f>
        <v>3069</v>
      </c>
      <c r="V41" s="116">
        <f>Inputs!X278</f>
        <v>3275</v>
      </c>
      <c r="W41" s="116">
        <f>Inputs!Y278</f>
        <v>3200</v>
      </c>
      <c r="X41" s="116">
        <f>Inputs!Z278</f>
        <v>3958</v>
      </c>
      <c r="Y41" s="116">
        <f>Inputs!AA278</f>
        <v>4415</v>
      </c>
      <c r="Z41" s="116">
        <f>Inputs!AB278</f>
        <v>5063</v>
      </c>
      <c r="AA41" s="116">
        <f>Inputs!AC278</f>
        <v>5256</v>
      </c>
      <c r="AB41" s="116">
        <f>Inputs!AD278</f>
        <v>5938</v>
      </c>
      <c r="AC41" s="116">
        <f>Inputs!AE278</f>
        <v>5791</v>
      </c>
      <c r="AD41" s="116">
        <f>Inputs!AF278</f>
        <v>5759</v>
      </c>
      <c r="AE41" s="116">
        <f>Inputs!AG278</f>
        <v>5350</v>
      </c>
      <c r="AF41" s="116">
        <f>Inputs!AH278</f>
        <v>4414</v>
      </c>
      <c r="AG41" s="116">
        <f>Inputs!AI278</f>
        <v>4796</v>
      </c>
      <c r="AH41" s="116">
        <f>Inputs!AJ278</f>
        <v>7672</v>
      </c>
      <c r="AI41" s="116">
        <f>Inputs!AK278</f>
        <v>6994</v>
      </c>
      <c r="AJ41" s="117">
        <f>Inputs!AL278</f>
        <v>6967</v>
      </c>
      <c r="AK41" s="62">
        <f>6602</f>
        <v>6602</v>
      </c>
      <c r="AL41" s="62">
        <f t="shared" ref="AL41:BW41" si="39">AK41*(1+AL42)</f>
        <v>6701.03</v>
      </c>
      <c r="AM41" s="62">
        <f t="shared" si="39"/>
        <v>6801.54545</v>
      </c>
      <c r="AN41" s="62">
        <f t="shared" si="39"/>
        <v>6903.568632</v>
      </c>
      <c r="AO41" s="62">
        <f t="shared" si="39"/>
        <v>7007.122161</v>
      </c>
      <c r="AP41" s="62">
        <f t="shared" si="39"/>
        <v>7112.228994</v>
      </c>
      <c r="AQ41" s="62">
        <f t="shared" si="39"/>
        <v>7183.351284</v>
      </c>
      <c r="AR41" s="62">
        <f t="shared" si="39"/>
        <v>7255.184796</v>
      </c>
      <c r="AS41" s="62">
        <f t="shared" si="39"/>
        <v>7327.736644</v>
      </c>
      <c r="AT41" s="62">
        <f t="shared" si="39"/>
        <v>7401.014011</v>
      </c>
      <c r="AU41" s="62">
        <f t="shared" si="39"/>
        <v>7475.024151</v>
      </c>
      <c r="AV41" s="62">
        <f t="shared" si="39"/>
        <v>7549.774392</v>
      </c>
      <c r="AW41" s="62">
        <f t="shared" si="39"/>
        <v>7625.272136</v>
      </c>
      <c r="AX41" s="62">
        <f t="shared" si="39"/>
        <v>7701.524858</v>
      </c>
      <c r="AY41" s="62">
        <f t="shared" si="39"/>
        <v>7778.540106</v>
      </c>
      <c r="AZ41" s="62">
        <f t="shared" si="39"/>
        <v>7856.325507</v>
      </c>
      <c r="BA41" s="62">
        <f t="shared" si="39"/>
        <v>7934.888762</v>
      </c>
      <c r="BB41" s="62">
        <f t="shared" si="39"/>
        <v>8014.23765</v>
      </c>
      <c r="BC41" s="62">
        <f t="shared" si="39"/>
        <v>8094.380027</v>
      </c>
      <c r="BD41" s="62">
        <f t="shared" si="39"/>
        <v>8175.323827</v>
      </c>
      <c r="BE41" s="62">
        <f t="shared" si="39"/>
        <v>8257.077065</v>
      </c>
      <c r="BF41" s="62">
        <f t="shared" si="39"/>
        <v>8339.647836</v>
      </c>
      <c r="BG41" s="62">
        <f t="shared" si="39"/>
        <v>8423.044314</v>
      </c>
      <c r="BH41" s="62">
        <f t="shared" si="39"/>
        <v>8507.274757</v>
      </c>
      <c r="BI41" s="62">
        <f t="shared" si="39"/>
        <v>8592.347505</v>
      </c>
      <c r="BJ41" s="62">
        <f t="shared" si="39"/>
        <v>8678.27098</v>
      </c>
      <c r="BK41" s="62">
        <f t="shared" si="39"/>
        <v>8765.05369</v>
      </c>
      <c r="BL41" s="62">
        <f t="shared" si="39"/>
        <v>8852.704227</v>
      </c>
      <c r="BM41" s="62">
        <f t="shared" si="39"/>
        <v>8941.231269</v>
      </c>
      <c r="BN41" s="62">
        <f t="shared" si="39"/>
        <v>9030.643582</v>
      </c>
      <c r="BO41" s="62">
        <f t="shared" si="39"/>
        <v>9120.950017</v>
      </c>
      <c r="BP41" s="62">
        <f t="shared" si="39"/>
        <v>9212.159518</v>
      </c>
      <c r="BQ41" s="62">
        <f t="shared" si="39"/>
        <v>9304.281113</v>
      </c>
      <c r="BR41" s="62">
        <f t="shared" si="39"/>
        <v>9397.323924</v>
      </c>
      <c r="BS41" s="62">
        <f t="shared" si="39"/>
        <v>9491.297163</v>
      </c>
      <c r="BT41" s="62">
        <f t="shared" si="39"/>
        <v>9586.210135</v>
      </c>
      <c r="BU41" s="62">
        <f t="shared" si="39"/>
        <v>9682.072236</v>
      </c>
      <c r="BV41" s="62">
        <f t="shared" si="39"/>
        <v>9778.892958</v>
      </c>
      <c r="BW41" s="62">
        <f t="shared" si="39"/>
        <v>9876.681888</v>
      </c>
      <c r="BX41" s="6" t="s">
        <v>35</v>
      </c>
      <c r="BY41" s="116">
        <f>G41</f>
        <v>2598</v>
      </c>
      <c r="BZ41" s="116">
        <f>K41</f>
        <v>3111</v>
      </c>
      <c r="CA41" s="116">
        <f>O41</f>
        <v>2676</v>
      </c>
      <c r="CB41" s="116">
        <f>S41</f>
        <v>2199</v>
      </c>
      <c r="CC41" s="116">
        <f>W41</f>
        <v>3200</v>
      </c>
      <c r="CD41" s="116">
        <f>AA41</f>
        <v>5256</v>
      </c>
      <c r="CE41" s="116">
        <f>AE41</f>
        <v>5350</v>
      </c>
      <c r="CF41" s="62">
        <f>AI41</f>
        <v>6994</v>
      </c>
      <c r="CG41" s="62">
        <f>AM41</f>
        <v>6801.54545</v>
      </c>
      <c r="CH41" s="62">
        <f>AQ41</f>
        <v>7183.351284</v>
      </c>
      <c r="CI41" s="62">
        <f>AU41</f>
        <v>7475.024151</v>
      </c>
      <c r="CJ41" s="62">
        <f>AY41</f>
        <v>7778.540106</v>
      </c>
      <c r="CK41" s="62">
        <f>BC41</f>
        <v>8094.380027</v>
      </c>
      <c r="CL41" s="62">
        <f>BG41</f>
        <v>8423.044314</v>
      </c>
      <c r="CM41" s="62">
        <f>BK41</f>
        <v>8765.05369</v>
      </c>
      <c r="CN41" s="62">
        <f>BO41</f>
        <v>9120.950017</v>
      </c>
      <c r="CO41" s="62">
        <f>BS41</f>
        <v>9491.297163</v>
      </c>
      <c r="CP41" s="62">
        <f>BW41</f>
        <v>9876.681888</v>
      </c>
      <c r="CQ41" s="6" t="s">
        <v>35</v>
      </c>
    </row>
    <row r="42" ht="14.25" customHeight="1">
      <c r="B42" s="10" t="s">
        <v>40</v>
      </c>
      <c r="D42" s="117"/>
      <c r="E42" s="117"/>
      <c r="F42" s="117"/>
      <c r="G42" s="117"/>
      <c r="H42" s="18">
        <f t="shared" ref="H42:AJ42" si="40">H41/D41-1</f>
        <v>0.582797825</v>
      </c>
      <c r="I42" s="18">
        <f t="shared" si="40"/>
        <v>0.6207233627</v>
      </c>
      <c r="J42" s="18">
        <f t="shared" si="40"/>
        <v>0.1519216824</v>
      </c>
      <c r="K42" s="18">
        <f t="shared" si="40"/>
        <v>0.1974595843</v>
      </c>
      <c r="L42" s="18">
        <f t="shared" si="40"/>
        <v>0.06433479076</v>
      </c>
      <c r="M42" s="18">
        <f t="shared" si="40"/>
        <v>-0.1028347407</v>
      </c>
      <c r="N42" s="18">
        <f t="shared" si="40"/>
        <v>-0.08498583569</v>
      </c>
      <c r="O42" s="18">
        <f t="shared" si="40"/>
        <v>-0.1398264224</v>
      </c>
      <c r="P42" s="18">
        <f t="shared" si="40"/>
        <v>-0.2238849765</v>
      </c>
      <c r="Q42" s="18">
        <f t="shared" si="40"/>
        <v>-0.4366386555</v>
      </c>
      <c r="R42" s="18">
        <f t="shared" si="40"/>
        <v>-0.3357413141</v>
      </c>
      <c r="S42" s="18">
        <f t="shared" si="40"/>
        <v>-0.1782511211</v>
      </c>
      <c r="T42" s="18">
        <f t="shared" si="40"/>
        <v>-0.05179584121</v>
      </c>
      <c r="U42" s="18">
        <f t="shared" si="40"/>
        <v>0.8311455847</v>
      </c>
      <c r="V42" s="18">
        <f t="shared" si="40"/>
        <v>0.6960124288</v>
      </c>
      <c r="W42" s="18">
        <f t="shared" si="40"/>
        <v>0.4552069122</v>
      </c>
      <c r="X42" s="18">
        <f t="shared" si="40"/>
        <v>0.5781499203</v>
      </c>
      <c r="Y42" s="18">
        <f t="shared" si="40"/>
        <v>0.4385793418</v>
      </c>
      <c r="Z42" s="18">
        <f t="shared" si="40"/>
        <v>0.5459541985</v>
      </c>
      <c r="AA42" s="18">
        <f t="shared" si="40"/>
        <v>0.6425</v>
      </c>
      <c r="AB42" s="18">
        <f t="shared" si="40"/>
        <v>0.5002526529</v>
      </c>
      <c r="AC42" s="18">
        <f t="shared" si="40"/>
        <v>0.3116647792</v>
      </c>
      <c r="AD42" s="18">
        <f t="shared" si="40"/>
        <v>0.1374679044</v>
      </c>
      <c r="AE42" s="18">
        <f t="shared" si="40"/>
        <v>0.01788432268</v>
      </c>
      <c r="AF42" s="18">
        <f t="shared" si="40"/>
        <v>-0.2566520714</v>
      </c>
      <c r="AG42" s="18">
        <f t="shared" si="40"/>
        <v>-0.1718183388</v>
      </c>
      <c r="AH42" s="18">
        <f t="shared" si="40"/>
        <v>0.332175725</v>
      </c>
      <c r="AI42" s="18">
        <f t="shared" si="40"/>
        <v>0.3072897196</v>
      </c>
      <c r="AJ42" s="18">
        <f t="shared" si="40"/>
        <v>0.5783869506</v>
      </c>
      <c r="AK42" s="18">
        <v>0.01</v>
      </c>
      <c r="AL42" s="18">
        <v>0.015</v>
      </c>
      <c r="AM42" s="18">
        <v>0.015</v>
      </c>
      <c r="AN42" s="18">
        <v>0.015</v>
      </c>
      <c r="AO42" s="18">
        <v>0.015</v>
      </c>
      <c r="AP42" s="18">
        <v>0.015</v>
      </c>
      <c r="AQ42" s="18">
        <v>0.01</v>
      </c>
      <c r="AR42" s="18">
        <v>0.01</v>
      </c>
      <c r="AS42" s="18">
        <v>0.01</v>
      </c>
      <c r="AT42" s="18">
        <v>0.01</v>
      </c>
      <c r="AU42" s="18">
        <v>0.01</v>
      </c>
      <c r="AV42" s="18">
        <v>0.01</v>
      </c>
      <c r="AW42" s="18">
        <v>0.01</v>
      </c>
      <c r="AX42" s="18">
        <v>0.01</v>
      </c>
      <c r="AY42" s="18">
        <v>0.01</v>
      </c>
      <c r="AZ42" s="18">
        <v>0.01</v>
      </c>
      <c r="BA42" s="18">
        <v>0.01</v>
      </c>
      <c r="BB42" s="18">
        <v>0.01</v>
      </c>
      <c r="BC42" s="18">
        <v>0.01</v>
      </c>
      <c r="BD42" s="18">
        <v>0.01</v>
      </c>
      <c r="BE42" s="18">
        <v>0.01</v>
      </c>
      <c r="BF42" s="18">
        <v>0.01</v>
      </c>
      <c r="BG42" s="18">
        <v>0.01</v>
      </c>
      <c r="BH42" s="18">
        <v>0.01</v>
      </c>
      <c r="BI42" s="18">
        <v>0.01</v>
      </c>
      <c r="BJ42" s="18">
        <v>0.01</v>
      </c>
      <c r="BK42" s="18">
        <v>0.01</v>
      </c>
      <c r="BL42" s="18">
        <v>0.01</v>
      </c>
      <c r="BM42" s="18">
        <v>0.01</v>
      </c>
      <c r="BN42" s="18">
        <v>0.01</v>
      </c>
      <c r="BO42" s="18">
        <v>0.01</v>
      </c>
      <c r="BP42" s="18">
        <v>0.01</v>
      </c>
      <c r="BQ42" s="18">
        <v>0.01</v>
      </c>
      <c r="BR42" s="18">
        <v>0.01</v>
      </c>
      <c r="BS42" s="18">
        <v>0.01</v>
      </c>
      <c r="BT42" s="18">
        <v>0.01</v>
      </c>
      <c r="BU42" s="18">
        <v>0.01</v>
      </c>
      <c r="BV42" s="18">
        <v>0.01</v>
      </c>
      <c r="BW42" s="18">
        <v>0.01</v>
      </c>
      <c r="BX42" s="6" t="s">
        <v>35</v>
      </c>
      <c r="BZ42" s="18">
        <f t="shared" ref="BZ42:CP42" si="41">BZ41/BY41-1</f>
        <v>0.1974595843</v>
      </c>
      <c r="CA42" s="18">
        <f t="shared" si="41"/>
        <v>-0.1398264224</v>
      </c>
      <c r="CB42" s="18">
        <f t="shared" si="41"/>
        <v>-0.1782511211</v>
      </c>
      <c r="CC42" s="18">
        <f t="shared" si="41"/>
        <v>0.4552069122</v>
      </c>
      <c r="CD42" s="18">
        <f t="shared" si="41"/>
        <v>0.6425</v>
      </c>
      <c r="CE42" s="18">
        <f t="shared" si="41"/>
        <v>0.01788432268</v>
      </c>
      <c r="CF42" s="18">
        <f t="shared" si="41"/>
        <v>0.3072897196</v>
      </c>
      <c r="CG42" s="18">
        <f t="shared" si="41"/>
        <v>-0.02751709322</v>
      </c>
      <c r="CH42" s="18">
        <f t="shared" si="41"/>
        <v>0.05613515875</v>
      </c>
      <c r="CI42" s="18">
        <f t="shared" si="41"/>
        <v>0.04060401</v>
      </c>
      <c r="CJ42" s="18">
        <f t="shared" si="41"/>
        <v>0.04060401</v>
      </c>
      <c r="CK42" s="18">
        <f t="shared" si="41"/>
        <v>0.04060401</v>
      </c>
      <c r="CL42" s="18">
        <f t="shared" si="41"/>
        <v>0.04060401</v>
      </c>
      <c r="CM42" s="18">
        <f t="shared" si="41"/>
        <v>0.04060401</v>
      </c>
      <c r="CN42" s="18">
        <f t="shared" si="41"/>
        <v>0.04060401</v>
      </c>
      <c r="CO42" s="18">
        <f t="shared" si="41"/>
        <v>0.04060401</v>
      </c>
      <c r="CP42" s="18">
        <f t="shared" si="41"/>
        <v>0.04060401</v>
      </c>
      <c r="CQ42" s="6" t="s">
        <v>35</v>
      </c>
    </row>
    <row r="43" ht="14.25" customHeight="1"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BX43" s="6" t="s">
        <v>35</v>
      </c>
      <c r="CQ43" s="6" t="s">
        <v>35</v>
      </c>
    </row>
    <row r="44" ht="14.25" customHeight="1">
      <c r="B44" s="53" t="str">
        <f>Inputs!B279</f>
        <v>Quantidade total de colaboradores (média mensal do trimestre)</v>
      </c>
      <c r="D44" s="62">
        <f>Inputs!F279</f>
        <v>2023</v>
      </c>
      <c r="E44" s="62">
        <f>Inputs!G279</f>
        <v>2034.5</v>
      </c>
      <c r="F44" s="62">
        <f>Inputs!H279</f>
        <v>2402</v>
      </c>
      <c r="G44" s="62">
        <f>Inputs!I279</f>
        <v>2678</v>
      </c>
      <c r="H44" s="62">
        <f>Inputs!J279</f>
        <v>2900</v>
      </c>
      <c r="I44" s="62">
        <f>Inputs!K279</f>
        <v>3259</v>
      </c>
      <c r="J44" s="62">
        <f>Inputs!L279</f>
        <v>3246.5</v>
      </c>
      <c r="K44" s="62">
        <f>Inputs!M279</f>
        <v>3144</v>
      </c>
      <c r="L44" s="62">
        <f>Inputs!N279</f>
        <v>3259.5</v>
      </c>
      <c r="M44" s="62">
        <f>Inputs!O279</f>
        <v>3191.5</v>
      </c>
      <c r="N44" s="62">
        <f>Inputs!P279</f>
        <v>2941</v>
      </c>
      <c r="O44" s="62">
        <f>Inputs!Q279</f>
        <v>2791.5</v>
      </c>
      <c r="P44" s="62">
        <f>Inputs!R279</f>
        <v>2607.666667</v>
      </c>
      <c r="Q44" s="62">
        <f>Inputs!S279</f>
        <v>1710</v>
      </c>
      <c r="R44" s="62">
        <f>Inputs!T279</f>
        <v>1723.666667</v>
      </c>
      <c r="S44" s="62">
        <f>Inputs!U279</f>
        <v>2135</v>
      </c>
      <c r="T44" s="62">
        <f>Inputs!V279</f>
        <v>2490</v>
      </c>
      <c r="U44" s="62">
        <f>Inputs!W279</f>
        <v>2968.666667</v>
      </c>
      <c r="V44" s="62">
        <f>Inputs!X279</f>
        <v>3186</v>
      </c>
      <c r="W44" s="62">
        <f>Inputs!Y279</f>
        <v>3204</v>
      </c>
      <c r="X44" s="62">
        <f>Inputs!Z279</f>
        <v>3558.333333</v>
      </c>
      <c r="Y44" s="118">
        <f>Inputs!AA280</f>
        <v>3995.5</v>
      </c>
      <c r="Z44" s="118">
        <f>Inputs!AB280</f>
        <v>4345.5</v>
      </c>
      <c r="AA44" s="118">
        <f>Inputs!AC280</f>
        <v>4907</v>
      </c>
      <c r="AB44" s="62">
        <f>Inputs!AD279</f>
        <v>5745.666667</v>
      </c>
      <c r="AC44" s="62">
        <f>Inputs!AE279</f>
        <v>5776.666667</v>
      </c>
      <c r="AD44" s="62">
        <f>Inputs!AF279</f>
        <v>5832.333333</v>
      </c>
      <c r="AE44" s="62">
        <f>Inputs!AG279</f>
        <v>5567.333333</v>
      </c>
      <c r="AF44" s="62">
        <f>Inputs!AH279</f>
        <v>4281.333333</v>
      </c>
      <c r="AG44" s="62">
        <f>Inputs!AI279</f>
        <v>4632.666667</v>
      </c>
      <c r="AH44" s="62">
        <f>Inputs!AJ279</f>
        <v>7276</v>
      </c>
      <c r="AI44" s="62">
        <f>Inputs!AK279</f>
        <v>7302</v>
      </c>
      <c r="AJ44" s="62">
        <f>Inputs!AL279</f>
        <v>6927</v>
      </c>
      <c r="AK44" s="62">
        <f>6753</f>
        <v>6753</v>
      </c>
      <c r="AL44" s="62">
        <f t="shared" ref="AL44:BW44" si="42">(AL41+AK41)/2</f>
        <v>6651.515</v>
      </c>
      <c r="AM44" s="62">
        <f t="shared" si="42"/>
        <v>6751.287725</v>
      </c>
      <c r="AN44" s="62">
        <f t="shared" si="42"/>
        <v>6852.557041</v>
      </c>
      <c r="AO44" s="62">
        <f t="shared" si="42"/>
        <v>6955.345396</v>
      </c>
      <c r="AP44" s="62">
        <f t="shared" si="42"/>
        <v>7059.675577</v>
      </c>
      <c r="AQ44" s="62">
        <f t="shared" si="42"/>
        <v>7147.790139</v>
      </c>
      <c r="AR44" s="62">
        <f t="shared" si="42"/>
        <v>7219.26804</v>
      </c>
      <c r="AS44" s="62">
        <f t="shared" si="42"/>
        <v>7291.46072</v>
      </c>
      <c r="AT44" s="62">
        <f t="shared" si="42"/>
        <v>7364.375328</v>
      </c>
      <c r="AU44" s="62">
        <f t="shared" si="42"/>
        <v>7438.019081</v>
      </c>
      <c r="AV44" s="62">
        <f t="shared" si="42"/>
        <v>7512.399272</v>
      </c>
      <c r="AW44" s="62">
        <f t="shared" si="42"/>
        <v>7587.523264</v>
      </c>
      <c r="AX44" s="62">
        <f t="shared" si="42"/>
        <v>7663.398497</v>
      </c>
      <c r="AY44" s="62">
        <f t="shared" si="42"/>
        <v>7740.032482</v>
      </c>
      <c r="AZ44" s="62">
        <f t="shared" si="42"/>
        <v>7817.432807</v>
      </c>
      <c r="BA44" s="62">
        <f t="shared" si="42"/>
        <v>7895.607135</v>
      </c>
      <c r="BB44" s="62">
        <f t="shared" si="42"/>
        <v>7974.563206</v>
      </c>
      <c r="BC44" s="62">
        <f t="shared" si="42"/>
        <v>8054.308838</v>
      </c>
      <c r="BD44" s="62">
        <f t="shared" si="42"/>
        <v>8134.851927</v>
      </c>
      <c r="BE44" s="62">
        <f t="shared" si="42"/>
        <v>8216.200446</v>
      </c>
      <c r="BF44" s="62">
        <f t="shared" si="42"/>
        <v>8298.36245</v>
      </c>
      <c r="BG44" s="62">
        <f t="shared" si="42"/>
        <v>8381.346075</v>
      </c>
      <c r="BH44" s="62">
        <f t="shared" si="42"/>
        <v>8465.159536</v>
      </c>
      <c r="BI44" s="62">
        <f t="shared" si="42"/>
        <v>8549.811131</v>
      </c>
      <c r="BJ44" s="62">
        <f t="shared" si="42"/>
        <v>8635.309242</v>
      </c>
      <c r="BK44" s="62">
        <f t="shared" si="42"/>
        <v>8721.662335</v>
      </c>
      <c r="BL44" s="62">
        <f t="shared" si="42"/>
        <v>8808.878958</v>
      </c>
      <c r="BM44" s="62">
        <f t="shared" si="42"/>
        <v>8896.967748</v>
      </c>
      <c r="BN44" s="62">
        <f t="shared" si="42"/>
        <v>8985.937425</v>
      </c>
      <c r="BO44" s="62">
        <f t="shared" si="42"/>
        <v>9075.796799</v>
      </c>
      <c r="BP44" s="62">
        <f t="shared" si="42"/>
        <v>9166.554767</v>
      </c>
      <c r="BQ44" s="62">
        <f t="shared" si="42"/>
        <v>9258.220315</v>
      </c>
      <c r="BR44" s="62">
        <f t="shared" si="42"/>
        <v>9350.802518</v>
      </c>
      <c r="BS44" s="62">
        <f t="shared" si="42"/>
        <v>9444.310543</v>
      </c>
      <c r="BT44" s="62">
        <f t="shared" si="42"/>
        <v>9538.753649</v>
      </c>
      <c r="BU44" s="62">
        <f t="shared" si="42"/>
        <v>9634.141185</v>
      </c>
      <c r="BV44" s="62">
        <f t="shared" si="42"/>
        <v>9730.482597</v>
      </c>
      <c r="BW44" s="62">
        <f t="shared" si="42"/>
        <v>9827.787423</v>
      </c>
      <c r="BX44" s="6" t="s">
        <v>35</v>
      </c>
      <c r="BY44" s="62">
        <f>AVERAGE(G44,D44)</f>
        <v>2350.5</v>
      </c>
      <c r="BZ44" s="62">
        <f>AVERAGE(H44:K44)</f>
        <v>3137.375</v>
      </c>
      <c r="CA44" s="62">
        <f>AVERAGE(L44:O44)</f>
        <v>3045.875</v>
      </c>
      <c r="CB44" s="62">
        <f>AVERAGE(P44:S44)</f>
        <v>2044.083333</v>
      </c>
      <c r="CC44" s="62">
        <f>AVERAGE(T44:W44)</f>
        <v>2962.166667</v>
      </c>
      <c r="CD44" s="62">
        <f>AVERAGE(X44:AA44)</f>
        <v>4201.583333</v>
      </c>
      <c r="CE44" s="62">
        <f>AVERAGE(AB44:AE44)</f>
        <v>5730.5</v>
      </c>
      <c r="CF44" s="62">
        <f>AI44</f>
        <v>7302</v>
      </c>
      <c r="CG44" s="62">
        <f>AM44</f>
        <v>6751.287725</v>
      </c>
      <c r="CH44" s="62">
        <f>AQ44</f>
        <v>7147.790139</v>
      </c>
      <c r="CI44" s="62">
        <f>AU44</f>
        <v>7438.019081</v>
      </c>
      <c r="CJ44" s="62">
        <f>AY44</f>
        <v>7740.032482</v>
      </c>
      <c r="CK44" s="62">
        <f>BC44</f>
        <v>8054.308838</v>
      </c>
      <c r="CL44" s="62">
        <f>BG44</f>
        <v>8381.346075</v>
      </c>
      <c r="CM44" s="62">
        <f>BK44</f>
        <v>8721.662335</v>
      </c>
      <c r="CN44" s="62">
        <f>BO44</f>
        <v>9075.796799</v>
      </c>
      <c r="CO44" s="62">
        <f>BS44</f>
        <v>9444.310543</v>
      </c>
      <c r="CP44" s="62">
        <f>BW44</f>
        <v>9827.787423</v>
      </c>
      <c r="CQ44" s="6" t="s">
        <v>35</v>
      </c>
    </row>
    <row r="45" ht="14.25" customHeight="1">
      <c r="B45" s="10" t="s">
        <v>40</v>
      </c>
      <c r="D45" s="117"/>
      <c r="E45" s="117"/>
      <c r="F45" s="117"/>
      <c r="G45" s="117"/>
      <c r="H45" s="18">
        <f t="shared" ref="H45:BW45" si="43">H44/D44-1</f>
        <v>0.4335145823</v>
      </c>
      <c r="I45" s="18">
        <f t="shared" si="43"/>
        <v>0.6018677808</v>
      </c>
      <c r="J45" s="18">
        <f t="shared" si="43"/>
        <v>0.351582015</v>
      </c>
      <c r="K45" s="18">
        <f t="shared" si="43"/>
        <v>0.1740104556</v>
      </c>
      <c r="L45" s="18">
        <f t="shared" si="43"/>
        <v>0.1239655172</v>
      </c>
      <c r="M45" s="18">
        <f t="shared" si="43"/>
        <v>-0.02071187481</v>
      </c>
      <c r="N45" s="18">
        <f t="shared" si="43"/>
        <v>-0.0941013399</v>
      </c>
      <c r="O45" s="18">
        <f t="shared" si="43"/>
        <v>-0.1121183206</v>
      </c>
      <c r="P45" s="18">
        <f t="shared" si="43"/>
        <v>-0.199979547</v>
      </c>
      <c r="Q45" s="18">
        <f t="shared" si="43"/>
        <v>-0.464201786</v>
      </c>
      <c r="R45" s="18">
        <f t="shared" si="43"/>
        <v>-0.4139181684</v>
      </c>
      <c r="S45" s="18">
        <f t="shared" si="43"/>
        <v>-0.2351782196</v>
      </c>
      <c r="T45" s="18">
        <f t="shared" si="43"/>
        <v>-0.04512335421</v>
      </c>
      <c r="U45" s="18">
        <f t="shared" si="43"/>
        <v>0.7360623782</v>
      </c>
      <c r="V45" s="18">
        <f t="shared" si="43"/>
        <v>0.8483852253</v>
      </c>
      <c r="W45" s="18">
        <f t="shared" si="43"/>
        <v>0.5007025761</v>
      </c>
      <c r="X45" s="18">
        <f t="shared" si="43"/>
        <v>0.4290495315</v>
      </c>
      <c r="Y45" s="18">
        <f t="shared" si="43"/>
        <v>0.345890411</v>
      </c>
      <c r="Z45" s="18">
        <f t="shared" si="43"/>
        <v>0.3639359699</v>
      </c>
      <c r="AA45" s="18">
        <f t="shared" si="43"/>
        <v>0.5315230961</v>
      </c>
      <c r="AB45" s="18">
        <f t="shared" si="43"/>
        <v>0.61470726</v>
      </c>
      <c r="AC45" s="18">
        <f t="shared" si="43"/>
        <v>0.445793184</v>
      </c>
      <c r="AD45" s="18">
        <f t="shared" si="43"/>
        <v>0.3421547194</v>
      </c>
      <c r="AE45" s="18">
        <f t="shared" si="43"/>
        <v>0.1345696624</v>
      </c>
      <c r="AF45" s="18">
        <f t="shared" si="43"/>
        <v>-0.2548587341</v>
      </c>
      <c r="AG45" s="18">
        <f t="shared" si="43"/>
        <v>-0.1980380842</v>
      </c>
      <c r="AH45" s="18">
        <f t="shared" si="43"/>
        <v>0.2475281477</v>
      </c>
      <c r="AI45" s="18">
        <f t="shared" si="43"/>
        <v>0.3115794516</v>
      </c>
      <c r="AJ45" s="18">
        <f t="shared" si="43"/>
        <v>0.6179539084</v>
      </c>
      <c r="AK45" s="18">
        <f t="shared" si="43"/>
        <v>0.4576917542</v>
      </c>
      <c r="AL45" s="18">
        <f t="shared" si="43"/>
        <v>-0.08582806487</v>
      </c>
      <c r="AM45" s="18">
        <f t="shared" si="43"/>
        <v>-0.07541937483</v>
      </c>
      <c r="AN45" s="18">
        <f t="shared" si="43"/>
        <v>-0.01074678203</v>
      </c>
      <c r="AO45" s="18">
        <f t="shared" si="43"/>
        <v>0.02996377854</v>
      </c>
      <c r="AP45" s="18">
        <f t="shared" si="43"/>
        <v>0.06136355062</v>
      </c>
      <c r="AQ45" s="18">
        <f t="shared" si="43"/>
        <v>0.05872989417</v>
      </c>
      <c r="AR45" s="18">
        <f t="shared" si="43"/>
        <v>0.05351447597</v>
      </c>
      <c r="AS45" s="18">
        <f t="shared" si="43"/>
        <v>0.04832474949</v>
      </c>
      <c r="AT45" s="18">
        <f t="shared" si="43"/>
        <v>0.04316058816</v>
      </c>
      <c r="AU45" s="18">
        <f t="shared" si="43"/>
        <v>0.04060401</v>
      </c>
      <c r="AV45" s="18">
        <f t="shared" si="43"/>
        <v>0.04060401</v>
      </c>
      <c r="AW45" s="18">
        <f t="shared" si="43"/>
        <v>0.04060401</v>
      </c>
      <c r="AX45" s="18">
        <f t="shared" si="43"/>
        <v>0.04060401</v>
      </c>
      <c r="AY45" s="18">
        <f t="shared" si="43"/>
        <v>0.04060401</v>
      </c>
      <c r="AZ45" s="18">
        <f t="shared" si="43"/>
        <v>0.04060401</v>
      </c>
      <c r="BA45" s="18">
        <f t="shared" si="43"/>
        <v>0.04060401</v>
      </c>
      <c r="BB45" s="18">
        <f t="shared" si="43"/>
        <v>0.04060401</v>
      </c>
      <c r="BC45" s="18">
        <f t="shared" si="43"/>
        <v>0.04060401</v>
      </c>
      <c r="BD45" s="18">
        <f t="shared" si="43"/>
        <v>0.04060401</v>
      </c>
      <c r="BE45" s="18">
        <f t="shared" si="43"/>
        <v>0.04060401</v>
      </c>
      <c r="BF45" s="18">
        <f t="shared" si="43"/>
        <v>0.04060401</v>
      </c>
      <c r="BG45" s="18">
        <f t="shared" si="43"/>
        <v>0.04060401</v>
      </c>
      <c r="BH45" s="18">
        <f t="shared" si="43"/>
        <v>0.04060401</v>
      </c>
      <c r="BI45" s="18">
        <f t="shared" si="43"/>
        <v>0.04060401</v>
      </c>
      <c r="BJ45" s="18">
        <f t="shared" si="43"/>
        <v>0.04060401</v>
      </c>
      <c r="BK45" s="18">
        <f t="shared" si="43"/>
        <v>0.04060401</v>
      </c>
      <c r="BL45" s="18">
        <f t="shared" si="43"/>
        <v>0.04060401</v>
      </c>
      <c r="BM45" s="18">
        <f t="shared" si="43"/>
        <v>0.04060401</v>
      </c>
      <c r="BN45" s="18">
        <f t="shared" si="43"/>
        <v>0.04060401</v>
      </c>
      <c r="BO45" s="18">
        <f t="shared" si="43"/>
        <v>0.04060401</v>
      </c>
      <c r="BP45" s="18">
        <f t="shared" si="43"/>
        <v>0.04060401</v>
      </c>
      <c r="BQ45" s="18">
        <f t="shared" si="43"/>
        <v>0.04060401</v>
      </c>
      <c r="BR45" s="18">
        <f t="shared" si="43"/>
        <v>0.04060401</v>
      </c>
      <c r="BS45" s="18">
        <f t="shared" si="43"/>
        <v>0.04060401</v>
      </c>
      <c r="BT45" s="18">
        <f t="shared" si="43"/>
        <v>0.04060401</v>
      </c>
      <c r="BU45" s="18">
        <f t="shared" si="43"/>
        <v>0.04060401</v>
      </c>
      <c r="BV45" s="18">
        <f t="shared" si="43"/>
        <v>0.04060401</v>
      </c>
      <c r="BW45" s="18">
        <f t="shared" si="43"/>
        <v>0.04060401</v>
      </c>
      <c r="BX45" s="6" t="s">
        <v>35</v>
      </c>
      <c r="BZ45" s="18">
        <f t="shared" ref="BZ45:CP45" si="44">BZ44/BY44-1</f>
        <v>0.334769198</v>
      </c>
      <c r="CA45" s="18">
        <f t="shared" si="44"/>
        <v>-0.02916450855</v>
      </c>
      <c r="CB45" s="18">
        <f t="shared" si="44"/>
        <v>-0.3289011094</v>
      </c>
      <c r="CC45" s="18">
        <f t="shared" si="44"/>
        <v>0.4491418321</v>
      </c>
      <c r="CD45" s="18">
        <f t="shared" si="44"/>
        <v>0.4184155742</v>
      </c>
      <c r="CE45" s="18">
        <f t="shared" si="44"/>
        <v>0.3638905968</v>
      </c>
      <c r="CF45" s="18">
        <f t="shared" si="44"/>
        <v>0.27423436</v>
      </c>
      <c r="CG45" s="18">
        <f t="shared" si="44"/>
        <v>-0.07541937483</v>
      </c>
      <c r="CH45" s="18">
        <f t="shared" si="44"/>
        <v>0.05872989417</v>
      </c>
      <c r="CI45" s="18">
        <f t="shared" si="44"/>
        <v>0.04060401</v>
      </c>
      <c r="CJ45" s="18">
        <f t="shared" si="44"/>
        <v>0.04060401</v>
      </c>
      <c r="CK45" s="18">
        <f t="shared" si="44"/>
        <v>0.04060401</v>
      </c>
      <c r="CL45" s="18">
        <f t="shared" si="44"/>
        <v>0.04060401</v>
      </c>
      <c r="CM45" s="18">
        <f t="shared" si="44"/>
        <v>0.04060401</v>
      </c>
      <c r="CN45" s="18">
        <f t="shared" si="44"/>
        <v>0.04060401</v>
      </c>
      <c r="CO45" s="18">
        <f t="shared" si="44"/>
        <v>0.04060401</v>
      </c>
      <c r="CP45" s="18">
        <f t="shared" si="44"/>
        <v>0.04060401</v>
      </c>
      <c r="CQ45" s="6" t="s">
        <v>35</v>
      </c>
    </row>
    <row r="46" ht="14.25" customHeight="1">
      <c r="BX46" s="6" t="s">
        <v>35</v>
      </c>
      <c r="CQ46" s="6" t="s">
        <v>35</v>
      </c>
    </row>
    <row r="47" ht="14.25" customHeight="1">
      <c r="B47" s="53" t="str">
        <f>Inputs!B281</f>
        <v>Receita Líquida per capita (R$ mil mensal per capita)</v>
      </c>
      <c r="D47" s="54">
        <f t="shared" ref="D47:X47" si="45">(D20/D44)*1000/3</f>
        <v>8.616246499</v>
      </c>
      <c r="E47" s="54">
        <f t="shared" si="45"/>
        <v>8.8516425</v>
      </c>
      <c r="F47" s="54">
        <f t="shared" si="45"/>
        <v>8.52053844</v>
      </c>
      <c r="G47" s="54">
        <f t="shared" si="45"/>
        <v>8.561737615</v>
      </c>
      <c r="H47" s="54">
        <f t="shared" si="45"/>
        <v>8.746666667</v>
      </c>
      <c r="I47" s="54">
        <f t="shared" si="45"/>
        <v>8.624936074</v>
      </c>
      <c r="J47" s="54">
        <f t="shared" si="45"/>
        <v>8.202063761</v>
      </c>
      <c r="K47" s="54">
        <f t="shared" si="45"/>
        <v>9.216603053</v>
      </c>
      <c r="L47" s="54">
        <f t="shared" si="45"/>
        <v>8.475737588</v>
      </c>
      <c r="M47" s="54">
        <f t="shared" si="45"/>
        <v>9.656483367</v>
      </c>
      <c r="N47" s="54">
        <f t="shared" si="45"/>
        <v>9.67788734</v>
      </c>
      <c r="O47" s="54">
        <f t="shared" si="45"/>
        <v>10.4947161</v>
      </c>
      <c r="P47" s="54">
        <f t="shared" si="45"/>
        <v>9.091397162</v>
      </c>
      <c r="Q47" s="54">
        <f t="shared" si="45"/>
        <v>9.392982456</v>
      </c>
      <c r="R47" s="54">
        <f t="shared" si="45"/>
        <v>10.60278476</v>
      </c>
      <c r="S47" s="54">
        <f t="shared" si="45"/>
        <v>10.62888368</v>
      </c>
      <c r="T47" s="54">
        <f t="shared" si="45"/>
        <v>10.50080321</v>
      </c>
      <c r="U47" s="54">
        <f t="shared" si="45"/>
        <v>12.52234449</v>
      </c>
      <c r="V47" s="54">
        <f t="shared" si="45"/>
        <v>12.92979703</v>
      </c>
      <c r="W47" s="54">
        <f t="shared" si="45"/>
        <v>12.4420516</v>
      </c>
      <c r="X47" s="54">
        <f t="shared" si="45"/>
        <v>12.1112867</v>
      </c>
      <c r="Y47" s="119">
        <f>Inputs!AA282/1000</f>
        <v>14.22736026</v>
      </c>
      <c r="Z47" s="119">
        <f>Inputs!AB282/1000</f>
        <v>14.67251047</v>
      </c>
      <c r="AA47" s="119">
        <f>Inputs!AC282/1000</f>
        <v>14.92296622</v>
      </c>
      <c r="AB47" s="54">
        <f t="shared" ref="AB47:AJ47" si="46">(AB20/AB44)*1000/3</f>
        <v>13.99675475</v>
      </c>
      <c r="AC47" s="120">
        <f t="shared" si="46"/>
        <v>14.65288585</v>
      </c>
      <c r="AD47" s="120">
        <f t="shared" si="46"/>
        <v>15.37157814</v>
      </c>
      <c r="AE47" s="120">
        <f t="shared" si="46"/>
        <v>16.89965568</v>
      </c>
      <c r="AF47" s="120">
        <f t="shared" si="46"/>
        <v>16.85075496</v>
      </c>
      <c r="AG47" s="120">
        <f t="shared" si="46"/>
        <v>14.76907617</v>
      </c>
      <c r="AH47" s="120">
        <f t="shared" si="46"/>
        <v>17.98956408</v>
      </c>
      <c r="AI47" s="120">
        <f t="shared" si="46"/>
        <v>19.15879274</v>
      </c>
      <c r="AJ47" s="120">
        <f t="shared" si="46"/>
        <v>17.74914056</v>
      </c>
      <c r="AK47" s="54">
        <v>17.5</v>
      </c>
      <c r="AL47" s="54">
        <v>18.0</v>
      </c>
      <c r="AM47" s="54">
        <f t="shared" ref="AM47:BW47" si="47">AI47*(1+AM48)</f>
        <v>20.21252634</v>
      </c>
      <c r="AN47" s="54">
        <f t="shared" si="47"/>
        <v>18.72534329</v>
      </c>
      <c r="AO47" s="54">
        <f t="shared" si="47"/>
        <v>18.4625</v>
      </c>
      <c r="AP47" s="54">
        <f t="shared" si="47"/>
        <v>18.99</v>
      </c>
      <c r="AQ47" s="54">
        <f t="shared" si="47"/>
        <v>21.22315266</v>
      </c>
      <c r="AR47" s="54">
        <f t="shared" si="47"/>
        <v>19.66161045</v>
      </c>
      <c r="AS47" s="54">
        <f t="shared" si="47"/>
        <v>19.385625</v>
      </c>
      <c r="AT47" s="54">
        <f t="shared" si="47"/>
        <v>19.9395</v>
      </c>
      <c r="AU47" s="54">
        <f t="shared" si="47"/>
        <v>22.28431029</v>
      </c>
      <c r="AV47" s="54">
        <f t="shared" si="47"/>
        <v>20.64469097</v>
      </c>
      <c r="AW47" s="54">
        <f t="shared" si="47"/>
        <v>20.35490625</v>
      </c>
      <c r="AX47" s="54">
        <f t="shared" si="47"/>
        <v>20.936475</v>
      </c>
      <c r="AY47" s="54">
        <f t="shared" si="47"/>
        <v>23.39852581</v>
      </c>
      <c r="AZ47" s="54">
        <f t="shared" si="47"/>
        <v>21.67692552</v>
      </c>
      <c r="BA47" s="54">
        <f t="shared" si="47"/>
        <v>21.37265156</v>
      </c>
      <c r="BB47" s="54">
        <f t="shared" si="47"/>
        <v>21.98329875</v>
      </c>
      <c r="BC47" s="54">
        <f t="shared" si="47"/>
        <v>24.5684521</v>
      </c>
      <c r="BD47" s="54">
        <f t="shared" si="47"/>
        <v>22.7607718</v>
      </c>
      <c r="BE47" s="54">
        <f t="shared" si="47"/>
        <v>22.44128414</v>
      </c>
      <c r="BF47" s="54">
        <f t="shared" si="47"/>
        <v>23.08246369</v>
      </c>
      <c r="BG47" s="54">
        <f t="shared" si="47"/>
        <v>25.7968747</v>
      </c>
      <c r="BH47" s="54">
        <f t="shared" si="47"/>
        <v>23.89881039</v>
      </c>
      <c r="BI47" s="54">
        <f t="shared" si="47"/>
        <v>23.56334835</v>
      </c>
      <c r="BJ47" s="54">
        <f t="shared" si="47"/>
        <v>24.23658687</v>
      </c>
      <c r="BK47" s="54">
        <f t="shared" si="47"/>
        <v>27.08671844</v>
      </c>
      <c r="BL47" s="54">
        <f t="shared" si="47"/>
        <v>25.09375091</v>
      </c>
      <c r="BM47" s="54">
        <f t="shared" si="47"/>
        <v>24.74151577</v>
      </c>
      <c r="BN47" s="54">
        <f t="shared" si="47"/>
        <v>25.44841622</v>
      </c>
      <c r="BO47" s="54">
        <f t="shared" si="47"/>
        <v>28.44105436</v>
      </c>
      <c r="BP47" s="54">
        <f t="shared" si="47"/>
        <v>26.34843845</v>
      </c>
      <c r="BQ47" s="54">
        <f t="shared" si="47"/>
        <v>25.97859155</v>
      </c>
      <c r="BR47" s="54">
        <f t="shared" si="47"/>
        <v>26.72083703</v>
      </c>
      <c r="BS47" s="54">
        <f t="shared" si="47"/>
        <v>29.86310708</v>
      </c>
      <c r="BT47" s="54">
        <f t="shared" si="47"/>
        <v>27.66586038</v>
      </c>
      <c r="BU47" s="54">
        <f t="shared" si="47"/>
        <v>27.27752113</v>
      </c>
      <c r="BV47" s="54">
        <f t="shared" si="47"/>
        <v>28.05687888</v>
      </c>
      <c r="BW47" s="54">
        <f t="shared" si="47"/>
        <v>31.35626243</v>
      </c>
      <c r="BX47" s="6" t="s">
        <v>35</v>
      </c>
      <c r="BY47" s="54">
        <f>AVERAGE(D47:G47)</f>
        <v>8.637541264</v>
      </c>
      <c r="BZ47" s="121">
        <f>AVERAGE(H47:K47)</f>
        <v>8.697567389</v>
      </c>
      <c r="CA47" s="121">
        <f>AVERAGE(L47:O47)</f>
        <v>9.576206099</v>
      </c>
      <c r="CB47" s="121">
        <f>AVERAGE(P47:S47)</f>
        <v>9.929012016</v>
      </c>
      <c r="CC47" s="121">
        <f>AVERAGE(T47:W47)</f>
        <v>12.09874908</v>
      </c>
      <c r="CD47" s="121">
        <f>AVERAGE(X47:AA47)</f>
        <v>13.98353091</v>
      </c>
      <c r="CE47" s="121">
        <f>AVERAGE(AB47:AE47)</f>
        <v>15.23021861</v>
      </c>
      <c r="CF47" s="121">
        <f>AVERAGE(AF47:AI47)</f>
        <v>17.19204699</v>
      </c>
      <c r="CG47" s="121">
        <f>AVERAGE(AJ47:AM47)</f>
        <v>18.36541673</v>
      </c>
      <c r="CH47" s="121">
        <f>AVERAGE(AN47:AQ47)</f>
        <v>19.35024899</v>
      </c>
      <c r="CI47" s="121">
        <f>AVERAGE(AR47:AU47)</f>
        <v>20.31776144</v>
      </c>
      <c r="CJ47" s="121">
        <f>AVERAGE(AV47:AY47)</f>
        <v>21.33364951</v>
      </c>
      <c r="CK47" s="121">
        <f>AVERAGE(AZ47:BC47)</f>
        <v>22.40033198</v>
      </c>
      <c r="CL47" s="121">
        <f>AVERAGE(BD47:BG47)</f>
        <v>23.52034858</v>
      </c>
      <c r="CM47" s="121">
        <f>AVERAGE(BH47:BK47)</f>
        <v>24.69636601</v>
      </c>
      <c r="CN47" s="121">
        <f>AVERAGE(BL47:BO47)</f>
        <v>25.93118431</v>
      </c>
      <c r="CO47" s="121">
        <f>AVERAGE(BP47:BS47)</f>
        <v>27.22774353</v>
      </c>
      <c r="CP47" s="121">
        <f>AVERAGE(BT47:BW47)</f>
        <v>28.5891307</v>
      </c>
      <c r="CQ47" s="6" t="s">
        <v>35</v>
      </c>
      <c r="CR47" s="13"/>
    </row>
    <row r="48" ht="14.25" customHeight="1">
      <c r="B48" s="10" t="s">
        <v>40</v>
      </c>
      <c r="H48" s="18">
        <f t="shared" ref="H48:AL48" si="48">H47/D47-1</f>
        <v>0.01513654096</v>
      </c>
      <c r="I48" s="18">
        <f t="shared" si="48"/>
        <v>-0.02561179191</v>
      </c>
      <c r="J48" s="18">
        <f t="shared" si="48"/>
        <v>-0.03737729504</v>
      </c>
      <c r="K48" s="18">
        <f t="shared" si="48"/>
        <v>0.07648744539</v>
      </c>
      <c r="L48" s="18">
        <f t="shared" si="48"/>
        <v>-0.03097512337</v>
      </c>
      <c r="M48" s="18">
        <f t="shared" si="48"/>
        <v>0.1196005726</v>
      </c>
      <c r="N48" s="18">
        <f t="shared" si="48"/>
        <v>0.1799332</v>
      </c>
      <c r="O48" s="18">
        <f t="shared" si="48"/>
        <v>0.1386750673</v>
      </c>
      <c r="P48" s="18">
        <f t="shared" si="48"/>
        <v>0.07263787585</v>
      </c>
      <c r="Q48" s="18">
        <f t="shared" si="48"/>
        <v>-0.02728746078</v>
      </c>
      <c r="R48" s="18">
        <f t="shared" si="48"/>
        <v>0.095568112</v>
      </c>
      <c r="S48" s="18">
        <f t="shared" si="48"/>
        <v>0.01278429839</v>
      </c>
      <c r="T48" s="18">
        <f t="shared" si="48"/>
        <v>0.1550263425</v>
      </c>
      <c r="U48" s="18">
        <f t="shared" si="48"/>
        <v>0.3331595737</v>
      </c>
      <c r="V48" s="18">
        <f t="shared" si="48"/>
        <v>0.219471801</v>
      </c>
      <c r="W48" s="18">
        <f t="shared" si="48"/>
        <v>0.170588744</v>
      </c>
      <c r="X48" s="18">
        <f t="shared" si="48"/>
        <v>0.1533676479</v>
      </c>
      <c r="Y48" s="18">
        <f t="shared" si="48"/>
        <v>0.1361578714</v>
      </c>
      <c r="Z48" s="18">
        <f t="shared" si="48"/>
        <v>0.1347827379</v>
      </c>
      <c r="AA48" s="18">
        <f t="shared" si="48"/>
        <v>0.1993975511</v>
      </c>
      <c r="AB48" s="18">
        <f t="shared" si="48"/>
        <v>0.1556785912</v>
      </c>
      <c r="AC48" s="18">
        <f t="shared" si="48"/>
        <v>0.02990896343</v>
      </c>
      <c r="AD48" s="18">
        <f t="shared" si="48"/>
        <v>0.04764472066</v>
      </c>
      <c r="AE48" s="18">
        <f t="shared" si="48"/>
        <v>0.1324595548</v>
      </c>
      <c r="AF48" s="18">
        <f t="shared" si="48"/>
        <v>0.2039044231</v>
      </c>
      <c r="AG48" s="18">
        <f t="shared" si="48"/>
        <v>0.00792951744</v>
      </c>
      <c r="AH48" s="18">
        <f t="shared" si="48"/>
        <v>0.1703134135</v>
      </c>
      <c r="AI48" s="18">
        <f t="shared" si="48"/>
        <v>0.1336794726</v>
      </c>
      <c r="AJ48" s="18">
        <f t="shared" si="48"/>
        <v>0.05331426406</v>
      </c>
      <c r="AK48" s="18">
        <f t="shared" si="48"/>
        <v>0.1849082367</v>
      </c>
      <c r="AL48" s="18">
        <f t="shared" si="48"/>
        <v>0.0005801096864</v>
      </c>
      <c r="AM48" s="31">
        <v>0.055</v>
      </c>
      <c r="AN48" s="31">
        <v>0.055</v>
      </c>
      <c r="AO48" s="31">
        <v>0.055</v>
      </c>
      <c r="AP48" s="31">
        <v>0.055</v>
      </c>
      <c r="AQ48" s="31">
        <v>0.05</v>
      </c>
      <c r="AR48" s="31">
        <v>0.05</v>
      </c>
      <c r="AS48" s="31">
        <v>0.05</v>
      </c>
      <c r="AT48" s="31">
        <v>0.05</v>
      </c>
      <c r="AU48" s="31">
        <v>0.05</v>
      </c>
      <c r="AV48" s="31">
        <v>0.05</v>
      </c>
      <c r="AW48" s="31">
        <v>0.05</v>
      </c>
      <c r="AX48" s="31">
        <v>0.05</v>
      </c>
      <c r="AY48" s="31">
        <v>0.05</v>
      </c>
      <c r="AZ48" s="31">
        <v>0.05</v>
      </c>
      <c r="BA48" s="31">
        <v>0.05</v>
      </c>
      <c r="BB48" s="31">
        <v>0.05</v>
      </c>
      <c r="BC48" s="31">
        <v>0.05</v>
      </c>
      <c r="BD48" s="31">
        <v>0.05</v>
      </c>
      <c r="BE48" s="31">
        <v>0.05</v>
      </c>
      <c r="BF48" s="31">
        <v>0.05</v>
      </c>
      <c r="BG48" s="31">
        <v>0.05</v>
      </c>
      <c r="BH48" s="31">
        <v>0.05</v>
      </c>
      <c r="BI48" s="31">
        <v>0.05</v>
      </c>
      <c r="BJ48" s="31">
        <v>0.05</v>
      </c>
      <c r="BK48" s="31">
        <v>0.05</v>
      </c>
      <c r="BL48" s="31">
        <v>0.05</v>
      </c>
      <c r="BM48" s="31">
        <v>0.05</v>
      </c>
      <c r="BN48" s="31">
        <v>0.05</v>
      </c>
      <c r="BO48" s="31">
        <v>0.05</v>
      </c>
      <c r="BP48" s="31">
        <v>0.05</v>
      </c>
      <c r="BQ48" s="31">
        <v>0.05</v>
      </c>
      <c r="BR48" s="31">
        <v>0.05</v>
      </c>
      <c r="BS48" s="31">
        <v>0.05</v>
      </c>
      <c r="BT48" s="31">
        <v>0.05</v>
      </c>
      <c r="BU48" s="31">
        <v>0.05</v>
      </c>
      <c r="BV48" s="31">
        <v>0.05</v>
      </c>
      <c r="BW48" s="31">
        <v>0.05</v>
      </c>
      <c r="BX48" s="6" t="s">
        <v>35</v>
      </c>
      <c r="BZ48" s="18">
        <f t="shared" ref="BZ48:CP48" si="49">BZ47/BY47-1</f>
        <v>0.006949445857</v>
      </c>
      <c r="CA48" s="18">
        <f t="shared" si="49"/>
        <v>0.1010212018</v>
      </c>
      <c r="CB48" s="18">
        <f t="shared" si="49"/>
        <v>0.0368419302</v>
      </c>
      <c r="CC48" s="18">
        <f t="shared" si="49"/>
        <v>0.2185249714</v>
      </c>
      <c r="CD48" s="18">
        <f t="shared" si="49"/>
        <v>0.1557831986</v>
      </c>
      <c r="CE48" s="18">
        <f t="shared" si="49"/>
        <v>0.08915399847</v>
      </c>
      <c r="CF48" s="18">
        <f t="shared" si="49"/>
        <v>0.1288115706</v>
      </c>
      <c r="CG48" s="18">
        <f t="shared" si="49"/>
        <v>0.06825072889</v>
      </c>
      <c r="CH48" s="18">
        <f t="shared" si="49"/>
        <v>0.05362428072</v>
      </c>
      <c r="CI48" s="18">
        <f t="shared" si="49"/>
        <v>0.05</v>
      </c>
      <c r="CJ48" s="18">
        <f t="shared" si="49"/>
        <v>0.05</v>
      </c>
      <c r="CK48" s="18">
        <f t="shared" si="49"/>
        <v>0.05</v>
      </c>
      <c r="CL48" s="18">
        <f t="shared" si="49"/>
        <v>0.05</v>
      </c>
      <c r="CM48" s="18">
        <f t="shared" si="49"/>
        <v>0.05</v>
      </c>
      <c r="CN48" s="18">
        <f t="shared" si="49"/>
        <v>0.05</v>
      </c>
      <c r="CO48" s="18">
        <f t="shared" si="49"/>
        <v>0.05</v>
      </c>
      <c r="CP48" s="18">
        <f t="shared" si="49"/>
        <v>0.05</v>
      </c>
      <c r="CQ48" s="6" t="s">
        <v>35</v>
      </c>
    </row>
    <row r="49" ht="14.25" customHeight="1">
      <c r="D49" s="54"/>
      <c r="AK49" s="48"/>
      <c r="AL49" s="48"/>
      <c r="BX49" s="6" t="s">
        <v>35</v>
      </c>
      <c r="CQ49" s="6" t="s">
        <v>35</v>
      </c>
    </row>
    <row r="50" ht="14.25" customHeight="1">
      <c r="B50" s="73" t="str">
        <f>Inputs!B319</f>
        <v>Custo dos serviços prestados</v>
      </c>
      <c r="C50" s="90"/>
      <c r="D50" s="17">
        <f>Inputs!F142/1000</f>
        <v>-39.486</v>
      </c>
      <c r="E50" s="17">
        <f>Inputs!G142/1000</f>
        <v>-44.543</v>
      </c>
      <c r="F50" s="17">
        <f>Inputs!H142/1000</f>
        <v>-57.243</v>
      </c>
      <c r="G50" s="17">
        <f>Inputs!I142/1000</f>
        <v>-61.827</v>
      </c>
      <c r="H50" s="17">
        <f>Inputs!J142/1000</f>
        <v>-65.521</v>
      </c>
      <c r="I50" s="17">
        <f>Inputs!K142/1000</f>
        <v>-77.319</v>
      </c>
      <c r="J50" s="17">
        <f>Inputs!L142/1000</f>
        <v>-70.948</v>
      </c>
      <c r="K50" s="17">
        <f>Inputs!M142/1000</f>
        <v>-68.426</v>
      </c>
      <c r="L50" s="17">
        <f>Inputs!N142/1000</f>
        <v>-72.35</v>
      </c>
      <c r="M50" s="17">
        <f>Inputs!O142/1000</f>
        <v>-79.769</v>
      </c>
      <c r="N50" s="17">
        <f>Inputs!P142/1000</f>
        <v>-74.646</v>
      </c>
      <c r="O50" s="17">
        <f>Inputs!Q142/1000</f>
        <v>-72.82</v>
      </c>
      <c r="P50" s="17">
        <f>Inputs!R142/1000</f>
        <v>-61.707</v>
      </c>
      <c r="Q50" s="17">
        <f>Inputs!S142/1000</f>
        <v>-52.435</v>
      </c>
      <c r="R50" s="17">
        <f>Inputs!T142/1000</f>
        <v>-45.38</v>
      </c>
      <c r="S50" s="17">
        <f>Inputs!U142/1000</f>
        <v>-55.542</v>
      </c>
      <c r="T50" s="17">
        <f>Inputs!V142/1000</f>
        <v>-67.03</v>
      </c>
      <c r="U50" s="17">
        <f>Inputs!W142/1000</f>
        <v>-90.054</v>
      </c>
      <c r="V50" s="17">
        <f>Inputs!X142/1000</f>
        <v>-102.421</v>
      </c>
      <c r="W50" s="17">
        <f>Inputs!Y142/1000</f>
        <v>-103.182</v>
      </c>
      <c r="X50" s="17">
        <f t="shared" ref="X50:AJ50" si="50">+X56+X60+X64+X68</f>
        <v>-103.765563</v>
      </c>
      <c r="Y50" s="17">
        <f t="shared" si="50"/>
        <v>-144.536643</v>
      </c>
      <c r="Z50" s="17">
        <f t="shared" si="50"/>
        <v>-176.368</v>
      </c>
      <c r="AA50" s="17">
        <f t="shared" si="50"/>
        <v>-190.242298</v>
      </c>
      <c r="AB50" s="17">
        <f t="shared" si="50"/>
        <v>-191.671</v>
      </c>
      <c r="AC50" s="17">
        <f t="shared" si="50"/>
        <v>-199.0816065</v>
      </c>
      <c r="AD50" s="17">
        <f t="shared" si="50"/>
        <v>-217.4452124</v>
      </c>
      <c r="AE50" s="17">
        <f t="shared" si="50"/>
        <v>-222.6413885</v>
      </c>
      <c r="AF50" s="17">
        <f t="shared" si="50"/>
        <v>-172.916107</v>
      </c>
      <c r="AG50" s="17">
        <f t="shared" si="50"/>
        <v>-166.271931</v>
      </c>
      <c r="AH50" s="17">
        <f t="shared" si="50"/>
        <v>-303.8246461</v>
      </c>
      <c r="AI50" s="17">
        <f t="shared" si="50"/>
        <v>-317.4524478</v>
      </c>
      <c r="AJ50" s="17">
        <f t="shared" si="50"/>
        <v>-295.0050753</v>
      </c>
      <c r="AK50" s="17">
        <f t="shared" ref="AK50:BW50" si="51">AK56+AK60+AK64+AK68</f>
        <v>-279.4900156</v>
      </c>
      <c r="AL50" s="17">
        <f t="shared" si="51"/>
        <v>-280.4450711</v>
      </c>
      <c r="AM50" s="17">
        <f t="shared" si="51"/>
        <v>-321.0479874</v>
      </c>
      <c r="AN50" s="17">
        <f t="shared" si="51"/>
        <v>-302.1668308</v>
      </c>
      <c r="AO50" s="17">
        <f t="shared" si="51"/>
        <v>-302.5425199</v>
      </c>
      <c r="AP50" s="17">
        <f t="shared" si="51"/>
        <v>-312.8484092</v>
      </c>
      <c r="AQ50" s="17">
        <f t="shared" si="51"/>
        <v>-355.3319939</v>
      </c>
      <c r="AR50" s="17">
        <f t="shared" si="51"/>
        <v>-333.2628815</v>
      </c>
      <c r="AS50" s="17">
        <f t="shared" si="51"/>
        <v>-332.2460108</v>
      </c>
      <c r="AT50" s="17">
        <f t="shared" si="51"/>
        <v>-341.8636339</v>
      </c>
      <c r="AU50" s="17">
        <f t="shared" si="51"/>
        <v>-387.5877977</v>
      </c>
      <c r="AV50" s="17">
        <f t="shared" si="51"/>
        <v>-364.1344255</v>
      </c>
      <c r="AW50" s="17">
        <f t="shared" si="51"/>
        <v>-363.0233577</v>
      </c>
      <c r="AX50" s="17">
        <f t="shared" si="51"/>
        <v>-373.5319017</v>
      </c>
      <c r="AY50" s="17">
        <f t="shared" si="51"/>
        <v>-423.4916874</v>
      </c>
      <c r="AZ50" s="17">
        <f t="shared" si="51"/>
        <v>-397.8657305</v>
      </c>
      <c r="BA50" s="17">
        <f t="shared" si="51"/>
        <v>-396.6517399</v>
      </c>
      <c r="BB50" s="17">
        <f t="shared" si="51"/>
        <v>-408.1337345</v>
      </c>
      <c r="BC50" s="17">
        <f t="shared" si="51"/>
        <v>-462.7215055</v>
      </c>
      <c r="BD50" s="17">
        <f t="shared" si="51"/>
        <v>-434.7217083</v>
      </c>
      <c r="BE50" s="17">
        <f t="shared" si="51"/>
        <v>-433.3952606</v>
      </c>
      <c r="BF50" s="17">
        <f t="shared" si="51"/>
        <v>-445.9408808</v>
      </c>
      <c r="BG50" s="17">
        <f t="shared" si="51"/>
        <v>-505.5853468</v>
      </c>
      <c r="BH50" s="17">
        <f t="shared" si="51"/>
        <v>-474.9918105</v>
      </c>
      <c r="BI50" s="17">
        <f t="shared" si="51"/>
        <v>-473.5424884</v>
      </c>
      <c r="BJ50" s="17">
        <f t="shared" si="51"/>
        <v>-487.2502622</v>
      </c>
      <c r="BK50" s="17">
        <f t="shared" si="51"/>
        <v>-552.4198463</v>
      </c>
      <c r="BL50" s="17">
        <f t="shared" si="51"/>
        <v>-518.9923019</v>
      </c>
      <c r="BM50" s="17">
        <f t="shared" si="51"/>
        <v>-517.408723</v>
      </c>
      <c r="BN50" s="17">
        <f t="shared" si="51"/>
        <v>-532.3863056</v>
      </c>
      <c r="BO50" s="17">
        <f t="shared" si="51"/>
        <v>-603.5928226</v>
      </c>
      <c r="BP50" s="17">
        <f t="shared" si="51"/>
        <v>-567.068744</v>
      </c>
      <c r="BQ50" s="17">
        <f t="shared" si="51"/>
        <v>-565.3384716</v>
      </c>
      <c r="BR50" s="17">
        <f t="shared" si="51"/>
        <v>-581.7034907</v>
      </c>
      <c r="BS50" s="17">
        <f t="shared" si="51"/>
        <v>-659.5061672</v>
      </c>
      <c r="BT50" s="17">
        <f t="shared" si="51"/>
        <v>-619.5987094</v>
      </c>
      <c r="BU50" s="17">
        <f t="shared" si="51"/>
        <v>-617.7081545</v>
      </c>
      <c r="BV50" s="17">
        <f t="shared" si="51"/>
        <v>-635.5891343</v>
      </c>
      <c r="BW50" s="17">
        <f t="shared" si="51"/>
        <v>-720.5990003</v>
      </c>
      <c r="BX50" s="6" t="s">
        <v>35</v>
      </c>
      <c r="BY50" s="17">
        <f>SUM(D50:G50)</f>
        <v>-203.099</v>
      </c>
      <c r="BZ50" s="17">
        <f>SUM(H50:K50)</f>
        <v>-282.214</v>
      </c>
      <c r="CA50" s="17">
        <f>SUM(L50:O50)</f>
        <v>-299.585</v>
      </c>
      <c r="CB50" s="17">
        <f>SUM(P50:S50)</f>
        <v>-215.064</v>
      </c>
      <c r="CC50" s="17">
        <f>SUM(T50:W50)</f>
        <v>-362.687</v>
      </c>
      <c r="CD50" s="17">
        <f>SUM(X50:AA50)</f>
        <v>-614.912504</v>
      </c>
      <c r="CE50" s="17">
        <f>SUM(AB50:AE50)</f>
        <v>-830.8392074</v>
      </c>
      <c r="CF50" s="17">
        <f>SUM(AF50:AI50)</f>
        <v>-960.4651319</v>
      </c>
      <c r="CG50" s="17">
        <f>SUM(AJ50:AM50)</f>
        <v>-1175.988149</v>
      </c>
      <c r="CH50" s="17">
        <f>SUM(AN50:AQ50)</f>
        <v>-1272.889754</v>
      </c>
      <c r="CI50" s="17">
        <f>SUM(AR50:AU50)</f>
        <v>-1394.960324</v>
      </c>
      <c r="CJ50" s="17">
        <f>SUM(AV50:AY50)</f>
        <v>-1524.181372</v>
      </c>
      <c r="CK50" s="17">
        <f>SUM(AZ50:BC50)</f>
        <v>-1665.37271</v>
      </c>
      <c r="CL50" s="17">
        <f>SUM(BD50:BG50)</f>
        <v>-1819.643197</v>
      </c>
      <c r="CM50" s="17">
        <f>SUM(BH50:BK50)</f>
        <v>-1988.204407</v>
      </c>
      <c r="CN50" s="17">
        <f>SUM(BL50:BO50)</f>
        <v>-2172.380153</v>
      </c>
      <c r="CO50" s="17">
        <f>SUM(BP50:BS50)</f>
        <v>-2373.616873</v>
      </c>
      <c r="CP50" s="17">
        <f>SUM(BT50:BW50)</f>
        <v>-2593.494999</v>
      </c>
      <c r="CQ50" s="6" t="s">
        <v>35</v>
      </c>
    </row>
    <row r="51" ht="14.25" customHeight="1">
      <c r="B51" s="10" t="s">
        <v>40</v>
      </c>
      <c r="C51" s="9"/>
      <c r="D51" s="60"/>
      <c r="H51" s="18">
        <f t="shared" ref="H51:BW51" si="52">H50/D50-1</f>
        <v>0.6593476169</v>
      </c>
      <c r="I51" s="18">
        <f t="shared" si="52"/>
        <v>0.7358283007</v>
      </c>
      <c r="J51" s="18">
        <f t="shared" si="52"/>
        <v>0.2394179201</v>
      </c>
      <c r="K51" s="18">
        <f t="shared" si="52"/>
        <v>0.1067333042</v>
      </c>
      <c r="L51" s="18">
        <f t="shared" si="52"/>
        <v>0.104226126</v>
      </c>
      <c r="M51" s="18">
        <f t="shared" si="52"/>
        <v>0.03168690749</v>
      </c>
      <c r="N51" s="18">
        <f t="shared" si="52"/>
        <v>0.0521226814</v>
      </c>
      <c r="O51" s="18">
        <f t="shared" si="52"/>
        <v>0.06421535674</v>
      </c>
      <c r="P51" s="18">
        <f t="shared" si="52"/>
        <v>-0.1471043538</v>
      </c>
      <c r="Q51" s="18">
        <f t="shared" si="52"/>
        <v>-0.3426644436</v>
      </c>
      <c r="R51" s="18">
        <f t="shared" si="52"/>
        <v>-0.3920638748</v>
      </c>
      <c r="S51" s="18">
        <f t="shared" si="52"/>
        <v>-0.2372699808</v>
      </c>
      <c r="T51" s="18">
        <f t="shared" si="52"/>
        <v>0.08626249858</v>
      </c>
      <c r="U51" s="18">
        <f t="shared" si="52"/>
        <v>0.7174406408</v>
      </c>
      <c r="V51" s="18">
        <f t="shared" si="52"/>
        <v>1.25696342</v>
      </c>
      <c r="W51" s="18">
        <f t="shared" si="52"/>
        <v>0.8577292859</v>
      </c>
      <c r="X51" s="18">
        <f t="shared" si="52"/>
        <v>0.5480465911</v>
      </c>
      <c r="Y51" s="18">
        <f t="shared" si="52"/>
        <v>0.6049997002</v>
      </c>
      <c r="Z51" s="18">
        <f t="shared" si="52"/>
        <v>0.7219906074</v>
      </c>
      <c r="AA51" s="18">
        <f t="shared" si="52"/>
        <v>0.8437547053</v>
      </c>
      <c r="AB51" s="18">
        <f t="shared" si="52"/>
        <v>0.8471542433</v>
      </c>
      <c r="AC51" s="18">
        <f t="shared" si="52"/>
        <v>0.3773780983</v>
      </c>
      <c r="AD51" s="18">
        <f t="shared" si="52"/>
        <v>0.2329062666</v>
      </c>
      <c r="AE51" s="18">
        <f t="shared" si="52"/>
        <v>0.170304348</v>
      </c>
      <c r="AF51" s="18">
        <f t="shared" si="52"/>
        <v>-0.0978494034</v>
      </c>
      <c r="AG51" s="18">
        <f t="shared" si="52"/>
        <v>-0.1648051573</v>
      </c>
      <c r="AH51" s="18">
        <f t="shared" si="52"/>
        <v>0.3972468865</v>
      </c>
      <c r="AI51" s="18">
        <f t="shared" si="52"/>
        <v>0.4258465146</v>
      </c>
      <c r="AJ51" s="18">
        <f t="shared" si="52"/>
        <v>0.7060589695</v>
      </c>
      <c r="AK51" s="18">
        <f t="shared" si="52"/>
        <v>0.6809212107</v>
      </c>
      <c r="AL51" s="18">
        <f t="shared" si="52"/>
        <v>-0.07695088371</v>
      </c>
      <c r="AM51" s="18">
        <f t="shared" si="52"/>
        <v>0.0113262304</v>
      </c>
      <c r="AN51" s="18">
        <f t="shared" si="52"/>
        <v>0.02427671964</v>
      </c>
      <c r="AO51" s="18">
        <f t="shared" si="52"/>
        <v>0.08248060068</v>
      </c>
      <c r="AP51" s="18">
        <f t="shared" si="52"/>
        <v>0.1155425481</v>
      </c>
      <c r="AQ51" s="18">
        <f t="shared" si="52"/>
        <v>0.1067877946</v>
      </c>
      <c r="AR51" s="18">
        <f t="shared" si="52"/>
        <v>0.1029102057</v>
      </c>
      <c r="AS51" s="18">
        <f t="shared" si="52"/>
        <v>0.09817955805</v>
      </c>
      <c r="AT51" s="18">
        <f t="shared" si="52"/>
        <v>0.09274531646</v>
      </c>
      <c r="AU51" s="18">
        <f t="shared" si="52"/>
        <v>0.09077652542</v>
      </c>
      <c r="AV51" s="18">
        <f t="shared" si="52"/>
        <v>0.0926342105</v>
      </c>
      <c r="AW51" s="18">
        <f t="shared" si="52"/>
        <v>0.0926342105</v>
      </c>
      <c r="AX51" s="18">
        <f t="shared" si="52"/>
        <v>0.0926342105</v>
      </c>
      <c r="AY51" s="18">
        <f t="shared" si="52"/>
        <v>0.0926342105</v>
      </c>
      <c r="AZ51" s="18">
        <f t="shared" si="52"/>
        <v>0.0926342105</v>
      </c>
      <c r="BA51" s="18">
        <f t="shared" si="52"/>
        <v>0.0926342105</v>
      </c>
      <c r="BB51" s="18">
        <f t="shared" si="52"/>
        <v>0.0926342105</v>
      </c>
      <c r="BC51" s="18">
        <f t="shared" si="52"/>
        <v>0.0926342105</v>
      </c>
      <c r="BD51" s="18">
        <f t="shared" si="52"/>
        <v>0.0926342105</v>
      </c>
      <c r="BE51" s="18">
        <f t="shared" si="52"/>
        <v>0.0926342105</v>
      </c>
      <c r="BF51" s="18">
        <f t="shared" si="52"/>
        <v>0.0926342105</v>
      </c>
      <c r="BG51" s="18">
        <f t="shared" si="52"/>
        <v>0.0926342105</v>
      </c>
      <c r="BH51" s="18">
        <f t="shared" si="52"/>
        <v>0.0926342105</v>
      </c>
      <c r="BI51" s="18">
        <f t="shared" si="52"/>
        <v>0.0926342105</v>
      </c>
      <c r="BJ51" s="18">
        <f t="shared" si="52"/>
        <v>0.0926342105</v>
      </c>
      <c r="BK51" s="18">
        <f t="shared" si="52"/>
        <v>0.0926342105</v>
      </c>
      <c r="BL51" s="18">
        <f t="shared" si="52"/>
        <v>0.0926342105</v>
      </c>
      <c r="BM51" s="18">
        <f t="shared" si="52"/>
        <v>0.0926342105</v>
      </c>
      <c r="BN51" s="18">
        <f t="shared" si="52"/>
        <v>0.0926342105</v>
      </c>
      <c r="BO51" s="18">
        <f t="shared" si="52"/>
        <v>0.0926342105</v>
      </c>
      <c r="BP51" s="18">
        <f t="shared" si="52"/>
        <v>0.0926342105</v>
      </c>
      <c r="BQ51" s="18">
        <f t="shared" si="52"/>
        <v>0.0926342105</v>
      </c>
      <c r="BR51" s="18">
        <f t="shared" si="52"/>
        <v>0.0926342105</v>
      </c>
      <c r="BS51" s="18">
        <f t="shared" si="52"/>
        <v>0.0926342105</v>
      </c>
      <c r="BT51" s="18">
        <f t="shared" si="52"/>
        <v>0.0926342105</v>
      </c>
      <c r="BU51" s="18">
        <f t="shared" si="52"/>
        <v>0.0926342105</v>
      </c>
      <c r="BV51" s="18">
        <f t="shared" si="52"/>
        <v>0.0926342105</v>
      </c>
      <c r="BW51" s="18">
        <f t="shared" si="52"/>
        <v>0.0926342105</v>
      </c>
      <c r="BX51" s="6" t="s">
        <v>35</v>
      </c>
      <c r="BZ51" s="18">
        <f t="shared" ref="BZ51:CP51" si="53">BZ50/BY50-1</f>
        <v>0.3895390918</v>
      </c>
      <c r="CA51" s="18">
        <f t="shared" si="53"/>
        <v>0.06155258067</v>
      </c>
      <c r="CB51" s="18">
        <f t="shared" si="53"/>
        <v>-0.2821269423</v>
      </c>
      <c r="CC51" s="18">
        <f t="shared" si="53"/>
        <v>0.6864142767</v>
      </c>
      <c r="CD51" s="18">
        <f t="shared" si="53"/>
        <v>0.6954357449</v>
      </c>
      <c r="CE51" s="18">
        <f t="shared" si="53"/>
        <v>0.3511502889</v>
      </c>
      <c r="CF51" s="18">
        <f t="shared" si="53"/>
        <v>0.1560180638</v>
      </c>
      <c r="CG51" s="18">
        <f t="shared" si="53"/>
        <v>0.2243944213</v>
      </c>
      <c r="CH51" s="18">
        <f t="shared" si="53"/>
        <v>0.08240015392</v>
      </c>
      <c r="CI51" s="18">
        <f t="shared" si="53"/>
        <v>0.09590034779</v>
      </c>
      <c r="CJ51" s="18">
        <f t="shared" si="53"/>
        <v>0.0926342105</v>
      </c>
      <c r="CK51" s="18">
        <f t="shared" si="53"/>
        <v>0.0926342105</v>
      </c>
      <c r="CL51" s="18">
        <f t="shared" si="53"/>
        <v>0.0926342105</v>
      </c>
      <c r="CM51" s="18">
        <f t="shared" si="53"/>
        <v>0.0926342105</v>
      </c>
      <c r="CN51" s="18">
        <f t="shared" si="53"/>
        <v>0.0926342105</v>
      </c>
      <c r="CO51" s="18">
        <f t="shared" si="53"/>
        <v>0.0926342105</v>
      </c>
      <c r="CP51" s="18">
        <f t="shared" si="53"/>
        <v>0.0926342105</v>
      </c>
      <c r="CQ51" s="6" t="s">
        <v>35</v>
      </c>
    </row>
    <row r="52" ht="14.25" customHeight="1">
      <c r="B52" s="10"/>
      <c r="C52" s="9"/>
      <c r="D52" s="6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BX52" s="6" t="s">
        <v>35</v>
      </c>
      <c r="CQ52" s="6" t="s">
        <v>35</v>
      </c>
    </row>
    <row r="53" ht="14.25" customHeight="1">
      <c r="B53" s="10" t="str">
        <f>Inputs!B283</f>
        <v>CPV per capita (R$ mil mensal per capita)</v>
      </c>
      <c r="C53" s="9"/>
      <c r="D53" s="60"/>
      <c r="E53" s="54">
        <f t="shared" ref="E53:X53" si="54">(E50/E44)*1000/3</f>
        <v>-7.297943803</v>
      </c>
      <c r="F53" s="54">
        <f t="shared" si="54"/>
        <v>-7.943796836</v>
      </c>
      <c r="G53" s="54">
        <f t="shared" si="54"/>
        <v>-7.695668409</v>
      </c>
      <c r="H53" s="54">
        <f t="shared" si="54"/>
        <v>-7.531149425</v>
      </c>
      <c r="I53" s="54">
        <f t="shared" si="54"/>
        <v>-7.908254066</v>
      </c>
      <c r="J53" s="54">
        <f t="shared" si="54"/>
        <v>-7.284562863</v>
      </c>
      <c r="K53" s="54">
        <f t="shared" si="54"/>
        <v>-7.25466497</v>
      </c>
      <c r="L53" s="54">
        <f t="shared" si="54"/>
        <v>-7.39888531</v>
      </c>
      <c r="M53" s="54">
        <f t="shared" si="54"/>
        <v>-8.331401118</v>
      </c>
      <c r="N53" s="54">
        <f t="shared" si="54"/>
        <v>-8.460387623</v>
      </c>
      <c r="O53" s="54">
        <f t="shared" si="54"/>
        <v>-8.695444504</v>
      </c>
      <c r="P53" s="54">
        <f t="shared" si="54"/>
        <v>-7.88789467</v>
      </c>
      <c r="Q53" s="54">
        <f t="shared" si="54"/>
        <v>-10.22124756</v>
      </c>
      <c r="R53" s="54">
        <f t="shared" si="54"/>
        <v>-8.775865403</v>
      </c>
      <c r="S53" s="54">
        <f t="shared" si="54"/>
        <v>-8.671662763</v>
      </c>
      <c r="T53" s="54">
        <f t="shared" si="54"/>
        <v>-8.973226238</v>
      </c>
      <c r="U53" s="54">
        <f t="shared" si="54"/>
        <v>-10.11161015</v>
      </c>
      <c r="V53" s="54">
        <f t="shared" si="54"/>
        <v>-10.71573551</v>
      </c>
      <c r="W53" s="54">
        <f t="shared" si="54"/>
        <v>-10.73470662</v>
      </c>
      <c r="X53" s="54">
        <f t="shared" si="54"/>
        <v>-9.720427447</v>
      </c>
      <c r="Y53" s="119">
        <f>Inputs!AA284/1000</f>
        <v>-11.43557723</v>
      </c>
      <c r="Z53" s="119">
        <f>Inputs!AB284/1000</f>
        <v>-11.15876281</v>
      </c>
      <c r="AA53" s="119">
        <f>Inputs!AC284/1000</f>
        <v>-11.6441675</v>
      </c>
      <c r="AB53" s="54">
        <f t="shared" ref="AB53:AJ53" si="55">(AB50/AB44)*1000/3</f>
        <v>-11.11974241</v>
      </c>
      <c r="AC53" s="54">
        <f t="shared" si="55"/>
        <v>-11.48768647</v>
      </c>
      <c r="AD53" s="54">
        <f t="shared" si="55"/>
        <v>-12.42757115</v>
      </c>
      <c r="AE53" s="54">
        <f t="shared" si="55"/>
        <v>-13.33022324</v>
      </c>
      <c r="AF53" s="122">
        <f t="shared" si="55"/>
        <v>-13.46279251</v>
      </c>
      <c r="AG53" s="122">
        <f t="shared" si="55"/>
        <v>-11.96373082</v>
      </c>
      <c r="AH53" s="122">
        <f t="shared" si="55"/>
        <v>-13.91903271</v>
      </c>
      <c r="AI53" s="122">
        <f t="shared" si="55"/>
        <v>-14.49157527</v>
      </c>
      <c r="AJ53" s="122">
        <f t="shared" si="55"/>
        <v>-14.19590373</v>
      </c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6" t="s">
        <v>35</v>
      </c>
      <c r="BY53" s="54">
        <f>AVERAGE(D53:G53)</f>
        <v>-7.645803016</v>
      </c>
      <c r="BZ53" s="121">
        <f>AVERAGE(H53:K53)</f>
        <v>-7.494657831</v>
      </c>
      <c r="CA53" s="121">
        <f>AVERAGE(L53:O53)</f>
        <v>-8.221529639</v>
      </c>
      <c r="CB53" s="121">
        <f>AVERAGE(P53:S53)</f>
        <v>-8.8891676</v>
      </c>
      <c r="CC53" s="121">
        <f>AVERAGE(T53:W53)</f>
        <v>-10.13381963</v>
      </c>
      <c r="CD53" s="121">
        <f>AVERAGE(X53:AA53)</f>
        <v>-10.98973375</v>
      </c>
      <c r="CE53" s="121">
        <f>AVERAGE(AB53:AE53)</f>
        <v>-12.09130582</v>
      </c>
      <c r="CF53" s="121">
        <f>AVERAGE(AF53:AI53)</f>
        <v>-13.45928283</v>
      </c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6" t="s">
        <v>35</v>
      </c>
    </row>
    <row r="54" ht="14.25" customHeight="1">
      <c r="B54" s="10" t="s">
        <v>40</v>
      </c>
      <c r="C54" s="9"/>
      <c r="D54" s="60"/>
      <c r="H54" s="18"/>
      <c r="I54" s="18">
        <f t="shared" ref="I54:AJ54" si="56">I53/E53-1</f>
        <v>0.08362770109</v>
      </c>
      <c r="J54" s="18">
        <f t="shared" si="56"/>
        <v>-0.08298726503</v>
      </c>
      <c r="K54" s="18">
        <f t="shared" si="56"/>
        <v>-0.05730541072</v>
      </c>
      <c r="L54" s="18">
        <f t="shared" si="56"/>
        <v>-0.01756227479</v>
      </c>
      <c r="M54" s="18">
        <f t="shared" si="56"/>
        <v>0.05350701285</v>
      </c>
      <c r="N54" s="18">
        <f t="shared" si="56"/>
        <v>0.1614132217</v>
      </c>
      <c r="O54" s="18">
        <f t="shared" si="56"/>
        <v>0.1986004233</v>
      </c>
      <c r="P54" s="18">
        <f t="shared" si="56"/>
        <v>0.06609230168</v>
      </c>
      <c r="Q54" s="18">
        <f t="shared" si="56"/>
        <v>0.2268341686</v>
      </c>
      <c r="R54" s="18">
        <f t="shared" si="56"/>
        <v>0.03728880921</v>
      </c>
      <c r="S54" s="18">
        <f t="shared" si="56"/>
        <v>-0.002734965495</v>
      </c>
      <c r="T54" s="18">
        <f t="shared" si="56"/>
        <v>0.1375945818</v>
      </c>
      <c r="U54" s="18">
        <f t="shared" si="56"/>
        <v>-0.01072642182</v>
      </c>
      <c r="V54" s="18">
        <f t="shared" si="56"/>
        <v>0.2210460185</v>
      </c>
      <c r="W54" s="18">
        <f t="shared" si="56"/>
        <v>0.237906375</v>
      </c>
      <c r="X54" s="18">
        <f t="shared" si="56"/>
        <v>0.08327007357</v>
      </c>
      <c r="Y54" s="18">
        <f t="shared" si="56"/>
        <v>0.1309353364</v>
      </c>
      <c r="Z54" s="18">
        <f t="shared" si="56"/>
        <v>0.04134362048</v>
      </c>
      <c r="AA54" s="18">
        <f t="shared" si="56"/>
        <v>0.08472154026</v>
      </c>
      <c r="AB54" s="18">
        <f t="shared" si="56"/>
        <v>0.1439561146</v>
      </c>
      <c r="AC54" s="18">
        <f t="shared" si="56"/>
        <v>0.00455676519</v>
      </c>
      <c r="AD54" s="18">
        <f t="shared" si="56"/>
        <v>0.1137051088</v>
      </c>
      <c r="AE54" s="18">
        <f t="shared" si="56"/>
        <v>0.1447983073</v>
      </c>
      <c r="AF54" s="18">
        <f t="shared" si="56"/>
        <v>0.2107108248</v>
      </c>
      <c r="AG54" s="18">
        <f t="shared" si="56"/>
        <v>0.04143953259</v>
      </c>
      <c r="AH54" s="18">
        <f t="shared" si="56"/>
        <v>0.1200123132</v>
      </c>
      <c r="AI54" s="18">
        <f t="shared" si="56"/>
        <v>0.08712172406</v>
      </c>
      <c r="AJ54" s="18">
        <f t="shared" si="56"/>
        <v>0.05445461743</v>
      </c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6" t="s">
        <v>35</v>
      </c>
      <c r="BZ54" s="18">
        <f t="shared" ref="BZ54:CF54" si="57">BZ53/BY53-1</f>
        <v>-0.01976838596</v>
      </c>
      <c r="CA54" s="18">
        <f t="shared" si="57"/>
        <v>0.09698532262</v>
      </c>
      <c r="CB54" s="18">
        <f t="shared" si="57"/>
        <v>0.08120605174</v>
      </c>
      <c r="CC54" s="18">
        <f t="shared" si="57"/>
        <v>0.140018963</v>
      </c>
      <c r="CD54" s="18">
        <f t="shared" si="57"/>
        <v>0.0844611556</v>
      </c>
      <c r="CE54" s="18">
        <f t="shared" si="57"/>
        <v>0.100236466</v>
      </c>
      <c r="CF54" s="18">
        <f t="shared" si="57"/>
        <v>0.1131372436</v>
      </c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6" t="s">
        <v>35</v>
      </c>
    </row>
    <row r="55" ht="14.25" customHeight="1">
      <c r="BX55" s="6" t="s">
        <v>35</v>
      </c>
      <c r="CQ55" s="6" t="s">
        <v>35</v>
      </c>
    </row>
    <row r="56" ht="14.25" customHeight="1">
      <c r="B56" s="83" t="str">
        <f t="shared" ref="B56:C56" si="58">B23</f>
        <v>Serviços Industriais</v>
      </c>
      <c r="C56" s="78" t="str">
        <f t="shared" si="58"/>
        <v>[BRL 000]</v>
      </c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>
        <f>Inputs!Z320/1000</f>
        <v>-98.305986</v>
      </c>
      <c r="Y56" s="114">
        <f>Inputs!AA320/1000</f>
        <v>-125.961734</v>
      </c>
      <c r="Z56" s="114">
        <f>Inputs!AB320/1000</f>
        <v>-131.703</v>
      </c>
      <c r="AA56" s="114">
        <f>Inputs!AC320/1000</f>
        <v>-143.039961</v>
      </c>
      <c r="AB56" s="114">
        <f>Inputs!AD320/1000</f>
        <v>-152.657</v>
      </c>
      <c r="AC56" s="114">
        <f>Inputs!AE320/1000</f>
        <v>-160.610931</v>
      </c>
      <c r="AD56" s="114">
        <f>Inputs!AF320/1000</f>
        <v>-179.0483872</v>
      </c>
      <c r="AE56" s="114">
        <f>Inputs!AG320/1000</f>
        <v>-175.0786866</v>
      </c>
      <c r="AF56" s="114">
        <f>Inputs!AH320/1000</f>
        <v>-130.825295</v>
      </c>
      <c r="AG56" s="114">
        <f>Inputs!AI320/1000</f>
        <v>-115.054331</v>
      </c>
      <c r="AH56" s="114">
        <f>Inputs!AJ320/1000</f>
        <v>-144.3028698</v>
      </c>
      <c r="AI56" s="114">
        <f>Inputs!AK320/1000</f>
        <v>-165.2885618</v>
      </c>
      <c r="AJ56" s="114">
        <f>Inputs!AL320/1000</f>
        <v>-156.7190104</v>
      </c>
      <c r="AK56" s="115">
        <f t="shared" ref="AK56:BW56" si="59">AK23*(AK82-1)</f>
        <v>-155.8863171</v>
      </c>
      <c r="AL56" s="115">
        <f t="shared" si="59"/>
        <v>-156.961698</v>
      </c>
      <c r="AM56" s="115">
        <f t="shared" si="59"/>
        <v>-178.8989635</v>
      </c>
      <c r="AN56" s="115">
        <f t="shared" si="59"/>
        <v>-165.1163267</v>
      </c>
      <c r="AO56" s="115">
        <f t="shared" si="59"/>
        <v>-169.3879095</v>
      </c>
      <c r="AP56" s="115">
        <f t="shared" si="59"/>
        <v>-175.7560635</v>
      </c>
      <c r="AQ56" s="115">
        <f t="shared" si="59"/>
        <v>-198.8759647</v>
      </c>
      <c r="AR56" s="115">
        <f t="shared" si="59"/>
        <v>-182.6500625</v>
      </c>
      <c r="AS56" s="115">
        <f t="shared" si="59"/>
        <v>-186.4522146</v>
      </c>
      <c r="AT56" s="115">
        <f t="shared" si="59"/>
        <v>-192.5088885</v>
      </c>
      <c r="AU56" s="115">
        <f t="shared" si="59"/>
        <v>-217.2986827</v>
      </c>
      <c r="AV56" s="115">
        <f t="shared" si="59"/>
        <v>-199.5697068</v>
      </c>
      <c r="AW56" s="115">
        <f t="shared" si="59"/>
        <v>-203.7240683</v>
      </c>
      <c r="AX56" s="115">
        <f t="shared" si="59"/>
        <v>-210.3417974</v>
      </c>
      <c r="AY56" s="115">
        <f t="shared" si="59"/>
        <v>-237.4279746</v>
      </c>
      <c r="AZ56" s="115">
        <f t="shared" si="59"/>
        <v>-218.056689</v>
      </c>
      <c r="BA56" s="115">
        <f t="shared" si="59"/>
        <v>-222.5958866</v>
      </c>
      <c r="BB56" s="115">
        <f t="shared" si="59"/>
        <v>-229.8266438</v>
      </c>
      <c r="BC56" s="115">
        <f t="shared" si="59"/>
        <v>-259.4219276</v>
      </c>
      <c r="BD56" s="115">
        <f t="shared" si="59"/>
        <v>-238.2561983</v>
      </c>
      <c r="BE56" s="115">
        <f t="shared" si="59"/>
        <v>-243.2158808</v>
      </c>
      <c r="BF56" s="115">
        <f t="shared" si="59"/>
        <v>-251.1164535</v>
      </c>
      <c r="BG56" s="115">
        <f t="shared" si="59"/>
        <v>-283.4532731</v>
      </c>
      <c r="BH56" s="115">
        <f t="shared" si="59"/>
        <v>-260.3268731</v>
      </c>
      <c r="BI56" s="115">
        <f t="shared" si="59"/>
        <v>-265.7459919</v>
      </c>
      <c r="BJ56" s="115">
        <f t="shared" si="59"/>
        <v>-274.3784279</v>
      </c>
      <c r="BK56" s="115">
        <f t="shared" si="59"/>
        <v>-309.7107432</v>
      </c>
      <c r="BL56" s="115">
        <f t="shared" si="59"/>
        <v>-284.4420474</v>
      </c>
      <c r="BM56" s="115">
        <f t="shared" si="59"/>
        <v>-290.363162</v>
      </c>
      <c r="BN56" s="115">
        <f t="shared" si="59"/>
        <v>-299.7952569</v>
      </c>
      <c r="BO56" s="115">
        <f t="shared" si="59"/>
        <v>-338.4005534</v>
      </c>
      <c r="BP56" s="115">
        <f t="shared" si="59"/>
        <v>-310.7911119</v>
      </c>
      <c r="BQ56" s="115">
        <f t="shared" si="59"/>
        <v>-317.2607243</v>
      </c>
      <c r="BR56" s="115">
        <f t="shared" si="59"/>
        <v>-327.5665538</v>
      </c>
      <c r="BS56" s="115">
        <f t="shared" si="59"/>
        <v>-369.7480215</v>
      </c>
      <c r="BT56" s="115">
        <f t="shared" si="59"/>
        <v>-339.5810012</v>
      </c>
      <c r="BU56" s="115">
        <f t="shared" si="59"/>
        <v>-346.649921</v>
      </c>
      <c r="BV56" s="115">
        <f t="shared" si="59"/>
        <v>-357.9104229</v>
      </c>
      <c r="BW56" s="115">
        <f t="shared" si="59"/>
        <v>-403.9993376</v>
      </c>
      <c r="BX56" s="6" t="s">
        <v>35</v>
      </c>
      <c r="BY56" s="17">
        <f>SUM(D56:G56)</f>
        <v>0</v>
      </c>
      <c r="BZ56" s="17">
        <f>SUM(H56:K56)</f>
        <v>0</v>
      </c>
      <c r="CA56" s="17">
        <f>SUM(L56:O56)</f>
        <v>0</v>
      </c>
      <c r="CB56" s="17">
        <f>SUM(P56:S56)</f>
        <v>0</v>
      </c>
      <c r="CC56" s="17">
        <f>SUM(T56:W56)</f>
        <v>0</v>
      </c>
      <c r="CD56" s="17">
        <f>SUM(X56:AA56)</f>
        <v>-499.010681</v>
      </c>
      <c r="CE56" s="17">
        <f>SUM(AB56:AE56)</f>
        <v>-667.3950048</v>
      </c>
      <c r="CF56" s="17">
        <f>SUM(AF56:AI56)</f>
        <v>-555.4710575</v>
      </c>
      <c r="CG56" s="17">
        <f>SUM(AJ56:AM56)</f>
        <v>-648.4659891</v>
      </c>
      <c r="CH56" s="17">
        <f>SUM(AN56:AQ56)</f>
        <v>-709.1362645</v>
      </c>
      <c r="CI56" s="17">
        <f>SUM(AR56:AU56)</f>
        <v>-778.9098484</v>
      </c>
      <c r="CJ56" s="17">
        <f>SUM(AV56:AY56)</f>
        <v>-851.0635472</v>
      </c>
      <c r="CK56" s="17">
        <f>SUM(AZ56:BC56)</f>
        <v>-929.901147</v>
      </c>
      <c r="CL56" s="17">
        <f>SUM(BD56:BG56)</f>
        <v>-1016.041806</v>
      </c>
      <c r="CM56" s="17">
        <f>SUM(BH56:BK56)</f>
        <v>-1110.162036</v>
      </c>
      <c r="CN56" s="17">
        <f>SUM(BL56:BO56)</f>
        <v>-1213.00102</v>
      </c>
      <c r="CO56" s="17">
        <f>SUM(BP56:BS56)</f>
        <v>-1325.366412</v>
      </c>
      <c r="CP56" s="17">
        <f>SUM(BT56:BW56)</f>
        <v>-1448.140683</v>
      </c>
      <c r="CQ56" s="6" t="s">
        <v>35</v>
      </c>
    </row>
    <row r="57" ht="14.25" customHeight="1">
      <c r="B57" s="10" t="str">
        <f t="shared" ref="B57:C57" si="60">B24</f>
        <v>a/a %</v>
      </c>
      <c r="C57" s="9" t="str">
        <f t="shared" si="60"/>
        <v>[%]</v>
      </c>
      <c r="AB57" s="18">
        <f t="shared" ref="AB57:BW57" si="61">AB56/X56-1</f>
        <v>0.5528759358</v>
      </c>
      <c r="AC57" s="18">
        <f t="shared" si="61"/>
        <v>0.2750771672</v>
      </c>
      <c r="AD57" s="18">
        <f t="shared" si="61"/>
        <v>0.3594860195</v>
      </c>
      <c r="AE57" s="18">
        <f t="shared" si="61"/>
        <v>0.2239844404</v>
      </c>
      <c r="AF57" s="18">
        <f t="shared" si="61"/>
        <v>-0.1430114898</v>
      </c>
      <c r="AG57" s="18">
        <f t="shared" si="61"/>
        <v>-0.2836457002</v>
      </c>
      <c r="AH57" s="18">
        <f t="shared" si="61"/>
        <v>-0.1940565788</v>
      </c>
      <c r="AI57" s="18">
        <f t="shared" si="61"/>
        <v>-0.05591842754</v>
      </c>
      <c r="AJ57" s="18">
        <f t="shared" si="61"/>
        <v>0.197925909</v>
      </c>
      <c r="AK57" s="18">
        <f t="shared" si="61"/>
        <v>0.3548930816</v>
      </c>
      <c r="AL57" s="18">
        <f t="shared" si="61"/>
        <v>0.08772402304</v>
      </c>
      <c r="AM57" s="18">
        <f t="shared" si="61"/>
        <v>0.08234327649</v>
      </c>
      <c r="AN57" s="18">
        <f t="shared" si="61"/>
        <v>0.0535819891</v>
      </c>
      <c r="AO57" s="18">
        <f t="shared" si="61"/>
        <v>0.08661178636</v>
      </c>
      <c r="AP57" s="18">
        <f t="shared" si="61"/>
        <v>0.1197385459</v>
      </c>
      <c r="AQ57" s="18">
        <f t="shared" si="61"/>
        <v>0.1116663889</v>
      </c>
      <c r="AR57" s="18">
        <f t="shared" si="61"/>
        <v>0.1061901998</v>
      </c>
      <c r="AS57" s="18">
        <f t="shared" si="61"/>
        <v>0.100740987</v>
      </c>
      <c r="AT57" s="18">
        <f t="shared" si="61"/>
        <v>0.09531861757</v>
      </c>
      <c r="AU57" s="18">
        <f t="shared" si="61"/>
        <v>0.0926342105</v>
      </c>
      <c r="AV57" s="18">
        <f t="shared" si="61"/>
        <v>0.0926342105</v>
      </c>
      <c r="AW57" s="18">
        <f t="shared" si="61"/>
        <v>0.0926342105</v>
      </c>
      <c r="AX57" s="18">
        <f t="shared" si="61"/>
        <v>0.0926342105</v>
      </c>
      <c r="AY57" s="18">
        <f t="shared" si="61"/>
        <v>0.0926342105</v>
      </c>
      <c r="AZ57" s="18">
        <f t="shared" si="61"/>
        <v>0.0926342105</v>
      </c>
      <c r="BA57" s="18">
        <f t="shared" si="61"/>
        <v>0.0926342105</v>
      </c>
      <c r="BB57" s="18">
        <f t="shared" si="61"/>
        <v>0.0926342105</v>
      </c>
      <c r="BC57" s="18">
        <f t="shared" si="61"/>
        <v>0.0926342105</v>
      </c>
      <c r="BD57" s="18">
        <f t="shared" si="61"/>
        <v>0.0926342105</v>
      </c>
      <c r="BE57" s="18">
        <f t="shared" si="61"/>
        <v>0.0926342105</v>
      </c>
      <c r="BF57" s="18">
        <f t="shared" si="61"/>
        <v>0.0926342105</v>
      </c>
      <c r="BG57" s="18">
        <f t="shared" si="61"/>
        <v>0.0926342105</v>
      </c>
      <c r="BH57" s="18">
        <f t="shared" si="61"/>
        <v>0.0926342105</v>
      </c>
      <c r="BI57" s="18">
        <f t="shared" si="61"/>
        <v>0.0926342105</v>
      </c>
      <c r="BJ57" s="18">
        <f t="shared" si="61"/>
        <v>0.0926342105</v>
      </c>
      <c r="BK57" s="18">
        <f t="shared" si="61"/>
        <v>0.0926342105</v>
      </c>
      <c r="BL57" s="18">
        <f t="shared" si="61"/>
        <v>0.0926342105</v>
      </c>
      <c r="BM57" s="18">
        <f t="shared" si="61"/>
        <v>0.0926342105</v>
      </c>
      <c r="BN57" s="18">
        <f t="shared" si="61"/>
        <v>0.0926342105</v>
      </c>
      <c r="BO57" s="18">
        <f t="shared" si="61"/>
        <v>0.0926342105</v>
      </c>
      <c r="BP57" s="18">
        <f t="shared" si="61"/>
        <v>0.0926342105</v>
      </c>
      <c r="BQ57" s="18">
        <f t="shared" si="61"/>
        <v>0.0926342105</v>
      </c>
      <c r="BR57" s="18">
        <f t="shared" si="61"/>
        <v>0.0926342105</v>
      </c>
      <c r="BS57" s="18">
        <f t="shared" si="61"/>
        <v>0.0926342105</v>
      </c>
      <c r="BT57" s="18">
        <f t="shared" si="61"/>
        <v>0.0926342105</v>
      </c>
      <c r="BU57" s="18">
        <f t="shared" si="61"/>
        <v>0.0926342105</v>
      </c>
      <c r="BV57" s="18">
        <f t="shared" si="61"/>
        <v>0.0926342105</v>
      </c>
      <c r="BW57" s="18">
        <f t="shared" si="61"/>
        <v>0.0926342105</v>
      </c>
      <c r="BX57" s="6" t="s">
        <v>35</v>
      </c>
      <c r="BY57" s="19"/>
      <c r="BZ57" s="19"/>
      <c r="CA57" s="19"/>
      <c r="CB57" s="19"/>
      <c r="CC57" s="19"/>
      <c r="CD57" s="19"/>
      <c r="CE57" s="19">
        <f t="shared" ref="CE57:CP57" si="62">CE56/CD56-1</f>
        <v>0.337436312</v>
      </c>
      <c r="CF57" s="19">
        <f t="shared" si="62"/>
        <v>-0.1677027045</v>
      </c>
      <c r="CG57" s="19">
        <f t="shared" si="62"/>
        <v>0.1674163402</v>
      </c>
      <c r="CH57" s="19">
        <f t="shared" si="62"/>
        <v>0.09355968769</v>
      </c>
      <c r="CI57" s="19">
        <f t="shared" si="62"/>
        <v>0.0983923505</v>
      </c>
      <c r="CJ57" s="19">
        <f t="shared" si="62"/>
        <v>0.0926342105</v>
      </c>
      <c r="CK57" s="19">
        <f t="shared" si="62"/>
        <v>0.0926342105</v>
      </c>
      <c r="CL57" s="19">
        <f t="shared" si="62"/>
        <v>0.0926342105</v>
      </c>
      <c r="CM57" s="19">
        <f t="shared" si="62"/>
        <v>0.0926342105</v>
      </c>
      <c r="CN57" s="19">
        <f t="shared" si="62"/>
        <v>0.0926342105</v>
      </c>
      <c r="CO57" s="19">
        <f t="shared" si="62"/>
        <v>0.0926342105</v>
      </c>
      <c r="CP57" s="19">
        <f t="shared" si="62"/>
        <v>0.0926342105</v>
      </c>
      <c r="CQ57" s="6" t="s">
        <v>35</v>
      </c>
    </row>
    <row r="58" ht="14.25" customHeight="1">
      <c r="B58" s="10" t="s">
        <v>198</v>
      </c>
      <c r="C58" s="9" t="str">
        <f>C25</f>
        <v>[%]</v>
      </c>
      <c r="X58" s="18">
        <f t="shared" ref="X58:BW58" si="63">X56/X$50</f>
        <v>0.9473854635</v>
      </c>
      <c r="Y58" s="18">
        <f t="shared" si="63"/>
        <v>0.871486506</v>
      </c>
      <c r="Z58" s="18">
        <f t="shared" si="63"/>
        <v>0.7467511113</v>
      </c>
      <c r="AA58" s="18">
        <f t="shared" si="63"/>
        <v>0.7518830592</v>
      </c>
      <c r="AB58" s="18">
        <f t="shared" si="63"/>
        <v>0.7964532976</v>
      </c>
      <c r="AC58" s="18">
        <f t="shared" si="63"/>
        <v>0.8067592673</v>
      </c>
      <c r="AD58" s="18">
        <f t="shared" si="63"/>
        <v>0.8234183923</v>
      </c>
      <c r="AE58" s="18">
        <f t="shared" si="63"/>
        <v>0.7863707991</v>
      </c>
      <c r="AF58" s="18">
        <f t="shared" si="63"/>
        <v>0.7565824681</v>
      </c>
      <c r="AG58" s="18">
        <f t="shared" si="63"/>
        <v>0.6919648452</v>
      </c>
      <c r="AH58" s="18">
        <f t="shared" si="63"/>
        <v>0.4749544569</v>
      </c>
      <c r="AI58" s="18">
        <f t="shared" si="63"/>
        <v>0.5206718767</v>
      </c>
      <c r="AJ58" s="18">
        <f t="shared" si="63"/>
        <v>0.5312417431</v>
      </c>
      <c r="AK58" s="18">
        <f t="shared" si="63"/>
        <v>0.5577527224</v>
      </c>
      <c r="AL58" s="18">
        <f t="shared" si="63"/>
        <v>0.559687847</v>
      </c>
      <c r="AM58" s="18">
        <f t="shared" si="63"/>
        <v>0.5572343404</v>
      </c>
      <c r="AN58" s="18">
        <f t="shared" si="63"/>
        <v>0.5464409389</v>
      </c>
      <c r="AO58" s="18">
        <f t="shared" si="63"/>
        <v>0.5598813334</v>
      </c>
      <c r="AP58" s="18">
        <f t="shared" si="63"/>
        <v>0.5617930549</v>
      </c>
      <c r="AQ58" s="18">
        <f t="shared" si="63"/>
        <v>0.5596905658</v>
      </c>
      <c r="AR58" s="18">
        <f t="shared" si="63"/>
        <v>0.5480660241</v>
      </c>
      <c r="AS58" s="18">
        <f t="shared" si="63"/>
        <v>0.5611872184</v>
      </c>
      <c r="AT58" s="18">
        <f t="shared" si="63"/>
        <v>0.5631160189</v>
      </c>
      <c r="AU58" s="18">
        <f t="shared" si="63"/>
        <v>0.5606437664</v>
      </c>
      <c r="AV58" s="18">
        <f t="shared" si="63"/>
        <v>0.5480660241</v>
      </c>
      <c r="AW58" s="18">
        <f t="shared" si="63"/>
        <v>0.5611872184</v>
      </c>
      <c r="AX58" s="18">
        <f t="shared" si="63"/>
        <v>0.5631160189</v>
      </c>
      <c r="AY58" s="18">
        <f t="shared" si="63"/>
        <v>0.5606437664</v>
      </c>
      <c r="AZ58" s="18">
        <f t="shared" si="63"/>
        <v>0.5480660241</v>
      </c>
      <c r="BA58" s="18">
        <f t="shared" si="63"/>
        <v>0.5611872184</v>
      </c>
      <c r="BB58" s="18">
        <f t="shared" si="63"/>
        <v>0.5631160189</v>
      </c>
      <c r="BC58" s="18">
        <f t="shared" si="63"/>
        <v>0.5606437664</v>
      </c>
      <c r="BD58" s="18">
        <f t="shared" si="63"/>
        <v>0.5480660241</v>
      </c>
      <c r="BE58" s="18">
        <f t="shared" si="63"/>
        <v>0.5611872184</v>
      </c>
      <c r="BF58" s="18">
        <f t="shared" si="63"/>
        <v>0.5631160189</v>
      </c>
      <c r="BG58" s="18">
        <f t="shared" si="63"/>
        <v>0.5606437664</v>
      </c>
      <c r="BH58" s="18">
        <f t="shared" si="63"/>
        <v>0.5480660241</v>
      </c>
      <c r="BI58" s="18">
        <f t="shared" si="63"/>
        <v>0.5611872184</v>
      </c>
      <c r="BJ58" s="18">
        <f t="shared" si="63"/>
        <v>0.5631160189</v>
      </c>
      <c r="BK58" s="18">
        <f t="shared" si="63"/>
        <v>0.5606437664</v>
      </c>
      <c r="BL58" s="18">
        <f t="shared" si="63"/>
        <v>0.5480660241</v>
      </c>
      <c r="BM58" s="18">
        <f t="shared" si="63"/>
        <v>0.5611872184</v>
      </c>
      <c r="BN58" s="18">
        <f t="shared" si="63"/>
        <v>0.5631160189</v>
      </c>
      <c r="BO58" s="18">
        <f t="shared" si="63"/>
        <v>0.5606437664</v>
      </c>
      <c r="BP58" s="18">
        <f t="shared" si="63"/>
        <v>0.5480660241</v>
      </c>
      <c r="BQ58" s="18">
        <f t="shared" si="63"/>
        <v>0.5611872184</v>
      </c>
      <c r="BR58" s="18">
        <f t="shared" si="63"/>
        <v>0.5631160189</v>
      </c>
      <c r="BS58" s="18">
        <f t="shared" si="63"/>
        <v>0.5606437664</v>
      </c>
      <c r="BT58" s="18">
        <f t="shared" si="63"/>
        <v>0.5480660241</v>
      </c>
      <c r="BU58" s="18">
        <f t="shared" si="63"/>
        <v>0.5611872184</v>
      </c>
      <c r="BV58" s="18">
        <f t="shared" si="63"/>
        <v>0.5631160189</v>
      </c>
      <c r="BW58" s="18">
        <f t="shared" si="63"/>
        <v>0.5606437664</v>
      </c>
      <c r="BX58" s="6" t="s">
        <v>35</v>
      </c>
      <c r="CE58" s="18">
        <f t="shared" ref="CE58:CP58" si="64">CE56/CE$50</f>
        <v>0.8032781781</v>
      </c>
      <c r="CF58" s="18">
        <f t="shared" si="64"/>
        <v>0.5783354742</v>
      </c>
      <c r="CG58" s="18">
        <f t="shared" si="64"/>
        <v>0.5514222141</v>
      </c>
      <c r="CH58" s="18">
        <f t="shared" si="64"/>
        <v>0.5571073711</v>
      </c>
      <c r="CI58" s="18">
        <f t="shared" si="64"/>
        <v>0.5583741953</v>
      </c>
      <c r="CJ58" s="18">
        <f t="shared" si="64"/>
        <v>0.5583741953</v>
      </c>
      <c r="CK58" s="18">
        <f t="shared" si="64"/>
        <v>0.5583741953</v>
      </c>
      <c r="CL58" s="18">
        <f t="shared" si="64"/>
        <v>0.5583741953</v>
      </c>
      <c r="CM58" s="18">
        <f t="shared" si="64"/>
        <v>0.5583741953</v>
      </c>
      <c r="CN58" s="18">
        <f t="shared" si="64"/>
        <v>0.5583741953</v>
      </c>
      <c r="CO58" s="18">
        <f t="shared" si="64"/>
        <v>0.5583741953</v>
      </c>
      <c r="CP58" s="18">
        <f t="shared" si="64"/>
        <v>0.5583741953</v>
      </c>
      <c r="CQ58" s="6" t="s">
        <v>35</v>
      </c>
    </row>
    <row r="59" ht="14.25" customHeight="1">
      <c r="B59" s="10"/>
      <c r="C59" s="60"/>
      <c r="BX59" s="6" t="s">
        <v>35</v>
      </c>
      <c r="CQ59" s="6" t="s">
        <v>35</v>
      </c>
    </row>
    <row r="60" ht="14.25" customHeight="1">
      <c r="B60" s="83" t="str">
        <f t="shared" ref="B60:C60" si="65">B27</f>
        <v>Infraestrutura</v>
      </c>
      <c r="C60" s="78" t="str">
        <f t="shared" si="65"/>
        <v>[BRL 000]</v>
      </c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23">
        <f>Inputs!Z321/1000</f>
        <v>-0.500588</v>
      </c>
      <c r="Y60" s="23">
        <f>Inputs!AA321/1000</f>
        <v>-10.710703</v>
      </c>
      <c r="Z60" s="23">
        <f>Inputs!AB321/1000</f>
        <v>-36.028</v>
      </c>
      <c r="AA60" s="23">
        <f>Inputs!AC321/1000</f>
        <v>-33.140624</v>
      </c>
      <c r="AB60" s="23">
        <f>Inputs!AD321/1000</f>
        <v>-26.731</v>
      </c>
      <c r="AC60" s="23">
        <f>Inputs!AE321/1000</f>
        <v>-24.32259166</v>
      </c>
      <c r="AD60" s="23">
        <f>Inputs!AF321/1000</f>
        <v>-23.84452863</v>
      </c>
      <c r="AE60" s="23">
        <f>Inputs!AG321/1000</f>
        <v>-28.5445064</v>
      </c>
      <c r="AF60" s="23">
        <f>Inputs!AH321/1000</f>
        <v>-24.753958</v>
      </c>
      <c r="AG60" s="23">
        <f>Inputs!AI321/1000</f>
        <v>-27.911404</v>
      </c>
      <c r="AH60" s="23">
        <f>Inputs!AJ321/1000</f>
        <v>-25.34393643</v>
      </c>
      <c r="AI60" s="23">
        <f>Inputs!AK321/1000</f>
        <v>-24.89516654</v>
      </c>
      <c r="AJ60" s="23">
        <f>Inputs!AL321/1000</f>
        <v>-22.16287821</v>
      </c>
      <c r="AK60" s="115">
        <f t="shared" ref="AK60:BW60" si="66">AK27*(AK87-1)</f>
        <v>-24.58406357</v>
      </c>
      <c r="AL60" s="115">
        <f t="shared" si="66"/>
        <v>-24.16247864</v>
      </c>
      <c r="AM60" s="115">
        <f t="shared" si="66"/>
        <v>-26.93185192</v>
      </c>
      <c r="AN60" s="115">
        <f t="shared" si="66"/>
        <v>-28.87120867</v>
      </c>
      <c r="AO60" s="115">
        <f t="shared" si="66"/>
        <v>-26.58150433</v>
      </c>
      <c r="AP60" s="115">
        <f t="shared" si="66"/>
        <v>-26.94671108</v>
      </c>
      <c r="AQ60" s="115">
        <f t="shared" si="66"/>
        <v>-29.58123505</v>
      </c>
      <c r="AR60" s="115">
        <f t="shared" si="66"/>
        <v>-31.51122078</v>
      </c>
      <c r="AS60" s="115">
        <f t="shared" si="66"/>
        <v>-29.04732702</v>
      </c>
      <c r="AT60" s="115">
        <f t="shared" si="66"/>
        <v>-29.29497139</v>
      </c>
      <c r="AU60" s="115">
        <f t="shared" si="66"/>
        <v>-32.32146941</v>
      </c>
      <c r="AV60" s="115">
        <f t="shared" si="66"/>
        <v>-34.43023784</v>
      </c>
      <c r="AW60" s="115">
        <f t="shared" si="66"/>
        <v>-31.73810323</v>
      </c>
      <c r="AX60" s="115">
        <f t="shared" si="66"/>
        <v>-32.00868793</v>
      </c>
      <c r="AY60" s="115">
        <f t="shared" si="66"/>
        <v>-35.31554321</v>
      </c>
      <c r="AZ60" s="115">
        <f t="shared" si="66"/>
        <v>-37.61965574</v>
      </c>
      <c r="BA60" s="115">
        <f t="shared" si="66"/>
        <v>-34.67813736</v>
      </c>
      <c r="BB60" s="115">
        <f t="shared" si="66"/>
        <v>-34.97378747</v>
      </c>
      <c r="BC60" s="115">
        <f t="shared" si="66"/>
        <v>-38.58697067</v>
      </c>
      <c r="BD60" s="115">
        <f t="shared" si="66"/>
        <v>-41.10452285</v>
      </c>
      <c r="BE60" s="115">
        <f t="shared" si="66"/>
        <v>-37.89051924</v>
      </c>
      <c r="BF60" s="115">
        <f t="shared" si="66"/>
        <v>-38.21355666</v>
      </c>
      <c r="BG60" s="115">
        <f t="shared" si="66"/>
        <v>-42.16144424</v>
      </c>
      <c r="BH60" s="115">
        <f t="shared" si="66"/>
        <v>-44.91220787</v>
      </c>
      <c r="BI60" s="115">
        <f t="shared" si="66"/>
        <v>-41.40047758</v>
      </c>
      <c r="BJ60" s="115">
        <f t="shared" si="66"/>
        <v>-41.75343931</v>
      </c>
      <c r="BK60" s="115">
        <f t="shared" si="66"/>
        <v>-46.06703634</v>
      </c>
      <c r="BL60" s="115">
        <f t="shared" si="66"/>
        <v>-49.07261479</v>
      </c>
      <c r="BM60" s="115">
        <f t="shared" si="66"/>
        <v>-45.23557813</v>
      </c>
      <c r="BN60" s="115">
        <f t="shared" si="66"/>
        <v>-45.6212362</v>
      </c>
      <c r="BO60" s="115">
        <f t="shared" si="66"/>
        <v>-50.33441988</v>
      </c>
      <c r="BP60" s="115">
        <f t="shared" si="66"/>
        <v>-53.61841772</v>
      </c>
      <c r="BQ60" s="115">
        <f t="shared" si="66"/>
        <v>-49.4259402</v>
      </c>
      <c r="BR60" s="115">
        <f t="shared" si="66"/>
        <v>-49.8473234</v>
      </c>
      <c r="BS60" s="115">
        <f t="shared" si="66"/>
        <v>-54.99710912</v>
      </c>
      <c r="BT60" s="115">
        <f t="shared" si="66"/>
        <v>-58.58531751</v>
      </c>
      <c r="BU60" s="115">
        <f t="shared" si="66"/>
        <v>-54.00447315</v>
      </c>
      <c r="BV60" s="115">
        <f t="shared" si="66"/>
        <v>-54.46489084</v>
      </c>
      <c r="BW60" s="115">
        <f t="shared" si="66"/>
        <v>-60.09172291</v>
      </c>
      <c r="BX60" s="6" t="s">
        <v>35</v>
      </c>
      <c r="BY60" s="17">
        <f>SUM(D60:G60)</f>
        <v>0</v>
      </c>
      <c r="BZ60" s="17">
        <f>SUM(H60:K60)</f>
        <v>0</v>
      </c>
      <c r="CA60" s="17">
        <f>SUM(L60:O60)</f>
        <v>0</v>
      </c>
      <c r="CB60" s="17">
        <f>SUM(P60:S60)</f>
        <v>0</v>
      </c>
      <c r="CC60" s="17">
        <f>SUM(T60:W60)</f>
        <v>0</v>
      </c>
      <c r="CD60" s="17">
        <f>SUM(X60:AA60)</f>
        <v>-80.379915</v>
      </c>
      <c r="CE60" s="17">
        <f>SUM(AB60:AE60)</f>
        <v>-103.4426267</v>
      </c>
      <c r="CF60" s="17">
        <f>SUM(AF60:AI60)</f>
        <v>-102.904465</v>
      </c>
      <c r="CG60" s="17">
        <f>SUM(AJ60:AM60)</f>
        <v>-97.84127234</v>
      </c>
      <c r="CH60" s="17">
        <f>SUM(AN60:AQ60)</f>
        <v>-111.9806591</v>
      </c>
      <c r="CI60" s="17">
        <f>SUM(AR60:AU60)</f>
        <v>-122.1749886</v>
      </c>
      <c r="CJ60" s="17">
        <f>SUM(AV60:AY60)</f>
        <v>-133.4925722</v>
      </c>
      <c r="CK60" s="17">
        <f>SUM(AZ60:BC60)</f>
        <v>-145.8585512</v>
      </c>
      <c r="CL60" s="17">
        <f>SUM(BD60:BG60)</f>
        <v>-159.370043</v>
      </c>
      <c r="CM60" s="17">
        <f>SUM(BH60:BK60)</f>
        <v>-174.1331611</v>
      </c>
      <c r="CN60" s="17">
        <f>SUM(BL60:BO60)</f>
        <v>-190.263849</v>
      </c>
      <c r="CO60" s="17">
        <f>SUM(BP60:BS60)</f>
        <v>-207.8887904</v>
      </c>
      <c r="CP60" s="17">
        <f>SUM(BT60:BW60)</f>
        <v>-227.1464044</v>
      </c>
      <c r="CQ60" s="6" t="s">
        <v>35</v>
      </c>
    </row>
    <row r="61" ht="14.25" customHeight="1">
      <c r="B61" s="10" t="str">
        <f t="shared" ref="B61:C61" si="67">B28</f>
        <v>a/a %</v>
      </c>
      <c r="C61" s="9" t="str">
        <f t="shared" si="67"/>
        <v>[%]</v>
      </c>
      <c r="AB61" s="18">
        <f t="shared" ref="AB61:BW61" si="68">AB60/X60-1</f>
        <v>52.39920254</v>
      </c>
      <c r="AC61" s="18">
        <f t="shared" si="68"/>
        <v>1.270867903</v>
      </c>
      <c r="AD61" s="18">
        <f t="shared" si="68"/>
        <v>-0.3381667417</v>
      </c>
      <c r="AE61" s="18">
        <f t="shared" si="68"/>
        <v>-0.1386853066</v>
      </c>
      <c r="AF61" s="18">
        <f t="shared" si="68"/>
        <v>-0.07396064494</v>
      </c>
      <c r="AG61" s="18">
        <f t="shared" si="68"/>
        <v>0.1475505732</v>
      </c>
      <c r="AH61" s="18">
        <f t="shared" si="68"/>
        <v>0.06288267733</v>
      </c>
      <c r="AI61" s="18">
        <f t="shared" si="68"/>
        <v>-0.1278473626</v>
      </c>
      <c r="AJ61" s="18">
        <f t="shared" si="68"/>
        <v>-0.1046733532</v>
      </c>
      <c r="AK61" s="18">
        <f t="shared" si="68"/>
        <v>-0.1192107868</v>
      </c>
      <c r="AL61" s="18">
        <f t="shared" si="68"/>
        <v>-0.04661698053</v>
      </c>
      <c r="AM61" s="18">
        <f t="shared" si="68"/>
        <v>0.08181047438</v>
      </c>
      <c r="AN61" s="18">
        <f t="shared" si="68"/>
        <v>0.3026831804</v>
      </c>
      <c r="AO61" s="18">
        <f t="shared" si="68"/>
        <v>0.08124941396</v>
      </c>
      <c r="AP61" s="18">
        <f t="shared" si="68"/>
        <v>0.1152295874</v>
      </c>
      <c r="AQ61" s="18">
        <f t="shared" si="68"/>
        <v>0.09837359631</v>
      </c>
      <c r="AR61" s="18">
        <f t="shared" si="68"/>
        <v>0.09144099711</v>
      </c>
      <c r="AS61" s="18">
        <f t="shared" si="68"/>
        <v>0.092764603</v>
      </c>
      <c r="AT61" s="18">
        <f t="shared" si="68"/>
        <v>0.08714459804</v>
      </c>
      <c r="AU61" s="18">
        <f t="shared" si="68"/>
        <v>0.0926342105</v>
      </c>
      <c r="AV61" s="18">
        <f t="shared" si="68"/>
        <v>0.0926342105</v>
      </c>
      <c r="AW61" s="18">
        <f t="shared" si="68"/>
        <v>0.0926342105</v>
      </c>
      <c r="AX61" s="18">
        <f t="shared" si="68"/>
        <v>0.0926342105</v>
      </c>
      <c r="AY61" s="18">
        <f t="shared" si="68"/>
        <v>0.0926342105</v>
      </c>
      <c r="AZ61" s="18">
        <f t="shared" si="68"/>
        <v>0.0926342105</v>
      </c>
      <c r="BA61" s="18">
        <f t="shared" si="68"/>
        <v>0.0926342105</v>
      </c>
      <c r="BB61" s="18">
        <f t="shared" si="68"/>
        <v>0.0926342105</v>
      </c>
      <c r="BC61" s="18">
        <f t="shared" si="68"/>
        <v>0.0926342105</v>
      </c>
      <c r="BD61" s="18">
        <f t="shared" si="68"/>
        <v>0.0926342105</v>
      </c>
      <c r="BE61" s="18">
        <f t="shared" si="68"/>
        <v>0.0926342105</v>
      </c>
      <c r="BF61" s="18">
        <f t="shared" si="68"/>
        <v>0.0926342105</v>
      </c>
      <c r="BG61" s="18">
        <f t="shared" si="68"/>
        <v>0.0926342105</v>
      </c>
      <c r="BH61" s="18">
        <f t="shared" si="68"/>
        <v>0.0926342105</v>
      </c>
      <c r="BI61" s="18">
        <f t="shared" si="68"/>
        <v>0.0926342105</v>
      </c>
      <c r="BJ61" s="18">
        <f t="shared" si="68"/>
        <v>0.0926342105</v>
      </c>
      <c r="BK61" s="18">
        <f t="shared" si="68"/>
        <v>0.0926342105</v>
      </c>
      <c r="BL61" s="18">
        <f t="shared" si="68"/>
        <v>0.0926342105</v>
      </c>
      <c r="BM61" s="18">
        <f t="shared" si="68"/>
        <v>0.0926342105</v>
      </c>
      <c r="BN61" s="18">
        <f t="shared" si="68"/>
        <v>0.0926342105</v>
      </c>
      <c r="BO61" s="18">
        <f t="shared" si="68"/>
        <v>0.0926342105</v>
      </c>
      <c r="BP61" s="18">
        <f t="shared" si="68"/>
        <v>0.0926342105</v>
      </c>
      <c r="BQ61" s="18">
        <f t="shared" si="68"/>
        <v>0.0926342105</v>
      </c>
      <c r="BR61" s="18">
        <f t="shared" si="68"/>
        <v>0.0926342105</v>
      </c>
      <c r="BS61" s="18">
        <f t="shared" si="68"/>
        <v>0.0926342105</v>
      </c>
      <c r="BT61" s="18">
        <f t="shared" si="68"/>
        <v>0.0926342105</v>
      </c>
      <c r="BU61" s="18">
        <f t="shared" si="68"/>
        <v>0.0926342105</v>
      </c>
      <c r="BV61" s="18">
        <f t="shared" si="68"/>
        <v>0.0926342105</v>
      </c>
      <c r="BW61" s="18">
        <f t="shared" si="68"/>
        <v>0.0926342105</v>
      </c>
      <c r="BX61" s="6" t="s">
        <v>35</v>
      </c>
      <c r="BY61" s="19"/>
      <c r="BZ61" s="19"/>
      <c r="CA61" s="19"/>
      <c r="CB61" s="19"/>
      <c r="CC61" s="19"/>
      <c r="CD61" s="19"/>
      <c r="CE61" s="19">
        <f t="shared" ref="CE61:CP61" si="69">CE60/CD60-1</f>
        <v>0.2869213247</v>
      </c>
      <c r="CF61" s="19">
        <f t="shared" si="69"/>
        <v>-0.005202514062</v>
      </c>
      <c r="CG61" s="19">
        <f t="shared" si="69"/>
        <v>-0.04920284682</v>
      </c>
      <c r="CH61" s="19">
        <f t="shared" si="69"/>
        <v>0.1445135213</v>
      </c>
      <c r="CI61" s="19">
        <f t="shared" si="69"/>
        <v>0.09103651956</v>
      </c>
      <c r="CJ61" s="19">
        <f t="shared" si="69"/>
        <v>0.0926342105</v>
      </c>
      <c r="CK61" s="19">
        <f t="shared" si="69"/>
        <v>0.0926342105</v>
      </c>
      <c r="CL61" s="19">
        <f t="shared" si="69"/>
        <v>0.0926342105</v>
      </c>
      <c r="CM61" s="19">
        <f t="shared" si="69"/>
        <v>0.0926342105</v>
      </c>
      <c r="CN61" s="19">
        <f t="shared" si="69"/>
        <v>0.0926342105</v>
      </c>
      <c r="CO61" s="19">
        <f t="shared" si="69"/>
        <v>0.0926342105</v>
      </c>
      <c r="CP61" s="19">
        <f t="shared" si="69"/>
        <v>0.0926342105</v>
      </c>
      <c r="CQ61" s="6" t="s">
        <v>35</v>
      </c>
    </row>
    <row r="62" ht="14.25" customHeight="1">
      <c r="B62" s="10" t="s">
        <v>198</v>
      </c>
      <c r="C62" s="9" t="str">
        <f>C29</f>
        <v>[%]</v>
      </c>
      <c r="X62" s="18">
        <f t="shared" ref="X62:BW62" si="70">X60/X$50</f>
        <v>0.004824220922</v>
      </c>
      <c r="Y62" s="18">
        <f t="shared" si="70"/>
        <v>0.07410372054</v>
      </c>
      <c r="Z62" s="18">
        <f t="shared" si="70"/>
        <v>0.2042774199</v>
      </c>
      <c r="AA62" s="18">
        <f t="shared" si="70"/>
        <v>0.174202185</v>
      </c>
      <c r="AB62" s="18">
        <f t="shared" si="70"/>
        <v>0.1394629339</v>
      </c>
      <c r="AC62" s="18">
        <f t="shared" si="70"/>
        <v>0.1221739773</v>
      </c>
      <c r="AD62" s="18">
        <f t="shared" si="70"/>
        <v>0.1096576391</v>
      </c>
      <c r="AE62" s="18">
        <f t="shared" si="70"/>
        <v>0.1282084458</v>
      </c>
      <c r="AF62" s="18">
        <f t="shared" si="70"/>
        <v>0.1431558831</v>
      </c>
      <c r="AG62" s="18">
        <f t="shared" si="70"/>
        <v>0.1678660002</v>
      </c>
      <c r="AH62" s="18">
        <f t="shared" si="70"/>
        <v>0.08341632833</v>
      </c>
      <c r="AI62" s="18">
        <f t="shared" si="70"/>
        <v>0.07842171862</v>
      </c>
      <c r="AJ62" s="18">
        <f t="shared" si="70"/>
        <v>0.07512710819</v>
      </c>
      <c r="AK62" s="18">
        <f t="shared" si="70"/>
        <v>0.08796043579</v>
      </c>
      <c r="AL62" s="18">
        <f t="shared" si="70"/>
        <v>0.08615761564</v>
      </c>
      <c r="AM62" s="18">
        <f t="shared" si="70"/>
        <v>0.08388730962</v>
      </c>
      <c r="AN62" s="18">
        <f t="shared" si="70"/>
        <v>0.09554724651</v>
      </c>
      <c r="AO62" s="18">
        <f t="shared" si="70"/>
        <v>0.08786039177</v>
      </c>
      <c r="AP62" s="18">
        <f t="shared" si="70"/>
        <v>0.08613344448</v>
      </c>
      <c r="AQ62" s="18">
        <f t="shared" si="70"/>
        <v>0.08324956817</v>
      </c>
      <c r="AR62" s="18">
        <f t="shared" si="70"/>
        <v>0.09455364677</v>
      </c>
      <c r="AS62" s="18">
        <f t="shared" si="70"/>
        <v>0.08742716564</v>
      </c>
      <c r="AT62" s="18">
        <f t="shared" si="70"/>
        <v>0.08569197915</v>
      </c>
      <c r="AU62" s="18">
        <f t="shared" si="70"/>
        <v>0.08339134926</v>
      </c>
      <c r="AV62" s="18">
        <f t="shared" si="70"/>
        <v>0.09455364677</v>
      </c>
      <c r="AW62" s="18">
        <f t="shared" si="70"/>
        <v>0.08742716564</v>
      </c>
      <c r="AX62" s="18">
        <f t="shared" si="70"/>
        <v>0.08569197915</v>
      </c>
      <c r="AY62" s="18">
        <f t="shared" si="70"/>
        <v>0.08339134926</v>
      </c>
      <c r="AZ62" s="18">
        <f t="shared" si="70"/>
        <v>0.09455364677</v>
      </c>
      <c r="BA62" s="18">
        <f t="shared" si="70"/>
        <v>0.08742716564</v>
      </c>
      <c r="BB62" s="18">
        <f t="shared" si="70"/>
        <v>0.08569197915</v>
      </c>
      <c r="BC62" s="18">
        <f t="shared" si="70"/>
        <v>0.08339134926</v>
      </c>
      <c r="BD62" s="18">
        <f t="shared" si="70"/>
        <v>0.09455364677</v>
      </c>
      <c r="BE62" s="18">
        <f t="shared" si="70"/>
        <v>0.08742716564</v>
      </c>
      <c r="BF62" s="18">
        <f t="shared" si="70"/>
        <v>0.08569197915</v>
      </c>
      <c r="BG62" s="18">
        <f t="shared" si="70"/>
        <v>0.08339134926</v>
      </c>
      <c r="BH62" s="18">
        <f t="shared" si="70"/>
        <v>0.09455364677</v>
      </c>
      <c r="BI62" s="18">
        <f t="shared" si="70"/>
        <v>0.08742716564</v>
      </c>
      <c r="BJ62" s="18">
        <f t="shared" si="70"/>
        <v>0.08569197915</v>
      </c>
      <c r="BK62" s="18">
        <f t="shared" si="70"/>
        <v>0.08339134926</v>
      </c>
      <c r="BL62" s="18">
        <f t="shared" si="70"/>
        <v>0.09455364677</v>
      </c>
      <c r="BM62" s="18">
        <f t="shared" si="70"/>
        <v>0.08742716564</v>
      </c>
      <c r="BN62" s="18">
        <f t="shared" si="70"/>
        <v>0.08569197915</v>
      </c>
      <c r="BO62" s="18">
        <f t="shared" si="70"/>
        <v>0.08339134926</v>
      </c>
      <c r="BP62" s="18">
        <f t="shared" si="70"/>
        <v>0.09455364677</v>
      </c>
      <c r="BQ62" s="18">
        <f t="shared" si="70"/>
        <v>0.08742716564</v>
      </c>
      <c r="BR62" s="18">
        <f t="shared" si="70"/>
        <v>0.08569197915</v>
      </c>
      <c r="BS62" s="18">
        <f t="shared" si="70"/>
        <v>0.08339134926</v>
      </c>
      <c r="BT62" s="18">
        <f t="shared" si="70"/>
        <v>0.09455364677</v>
      </c>
      <c r="BU62" s="18">
        <f t="shared" si="70"/>
        <v>0.08742716564</v>
      </c>
      <c r="BV62" s="18">
        <f t="shared" si="70"/>
        <v>0.08569197915</v>
      </c>
      <c r="BW62" s="18">
        <f t="shared" si="70"/>
        <v>0.08339134926</v>
      </c>
      <c r="BX62" s="6" t="s">
        <v>35</v>
      </c>
      <c r="CE62" s="18">
        <f t="shared" ref="CE62:CP62" si="71">CE60/CE$50</f>
        <v>0.1245037858</v>
      </c>
      <c r="CF62" s="18">
        <f t="shared" si="71"/>
        <v>0.1071402402</v>
      </c>
      <c r="CG62" s="18">
        <f t="shared" si="71"/>
        <v>0.08319919924</v>
      </c>
      <c r="CH62" s="18">
        <f t="shared" si="71"/>
        <v>0.08797357257</v>
      </c>
      <c r="CI62" s="18">
        <f t="shared" si="71"/>
        <v>0.08758312799</v>
      </c>
      <c r="CJ62" s="18">
        <f t="shared" si="71"/>
        <v>0.08758312799</v>
      </c>
      <c r="CK62" s="18">
        <f t="shared" si="71"/>
        <v>0.08758312799</v>
      </c>
      <c r="CL62" s="18">
        <f t="shared" si="71"/>
        <v>0.08758312799</v>
      </c>
      <c r="CM62" s="18">
        <f t="shared" si="71"/>
        <v>0.08758312799</v>
      </c>
      <c r="CN62" s="18">
        <f t="shared" si="71"/>
        <v>0.08758312799</v>
      </c>
      <c r="CO62" s="18">
        <f t="shared" si="71"/>
        <v>0.08758312799</v>
      </c>
      <c r="CP62" s="18">
        <f t="shared" si="71"/>
        <v>0.08758312799</v>
      </c>
      <c r="CQ62" s="6" t="s">
        <v>35</v>
      </c>
    </row>
    <row r="63" ht="14.25" customHeight="1">
      <c r="B63" s="10"/>
      <c r="C63" s="9"/>
      <c r="BX63" s="6" t="s">
        <v>35</v>
      </c>
      <c r="CQ63" s="6" t="s">
        <v>35</v>
      </c>
    </row>
    <row r="64" ht="14.25" customHeight="1">
      <c r="B64" s="83" t="str">
        <f t="shared" ref="B64:C64" si="72">B31</f>
        <v>Engenharia de Integridade e Inspeção</v>
      </c>
      <c r="C64" s="78" t="str">
        <f t="shared" si="72"/>
        <v>[BRL 000]</v>
      </c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23">
        <f>Inputs!Z322/1000</f>
        <v>-4.958989</v>
      </c>
      <c r="Y64" s="23">
        <f>Inputs!AA322/1000</f>
        <v>-7.864206</v>
      </c>
      <c r="Z64" s="23">
        <f>Inputs!AB322/1000</f>
        <v>-8.637</v>
      </c>
      <c r="AA64" s="23">
        <f>Inputs!AC322/1000</f>
        <v>-14.061713</v>
      </c>
      <c r="AB64" s="23">
        <f>Inputs!AD322/1000</f>
        <v>-12.283</v>
      </c>
      <c r="AC64" s="23">
        <f>Inputs!AE322/1000</f>
        <v>-14.14808384</v>
      </c>
      <c r="AD64" s="23">
        <f>Inputs!AF322/1000</f>
        <v>-14.55229657</v>
      </c>
      <c r="AE64" s="23">
        <f>Inputs!AG322/1000</f>
        <v>-19.01819551</v>
      </c>
      <c r="AF64" s="23">
        <f>Inputs!AH322/1000</f>
        <v>-17.336854</v>
      </c>
      <c r="AG64" s="23">
        <f>Inputs!AI322/1000</f>
        <v>-23.306196</v>
      </c>
      <c r="AH64" s="23">
        <f>Inputs!AJ322/1000</f>
        <v>-27.7966785</v>
      </c>
      <c r="AI64" s="23">
        <f>Inputs!AK322/1000</f>
        <v>-31.04402406</v>
      </c>
      <c r="AJ64" s="23">
        <f>Inputs!AL322/1000</f>
        <v>-33.71522974</v>
      </c>
      <c r="AK64" s="115">
        <f t="shared" ref="AK64:BW64" si="73">AK31*(AK93-1)</f>
        <v>-24.65921975</v>
      </c>
      <c r="AL64" s="115">
        <f t="shared" si="73"/>
        <v>-23.98532286</v>
      </c>
      <c r="AM64" s="115">
        <f t="shared" si="73"/>
        <v>-29.35255768</v>
      </c>
      <c r="AN64" s="115">
        <f t="shared" si="73"/>
        <v>-28.46119042</v>
      </c>
      <c r="AO64" s="115">
        <f t="shared" si="73"/>
        <v>-26.79499883</v>
      </c>
      <c r="AP64" s="115">
        <f t="shared" si="73"/>
        <v>-26.85729054</v>
      </c>
      <c r="AQ64" s="115">
        <f t="shared" si="73"/>
        <v>-32.6302518</v>
      </c>
      <c r="AR64" s="115">
        <f t="shared" si="73"/>
        <v>-31.48348991</v>
      </c>
      <c r="AS64" s="115">
        <f t="shared" si="73"/>
        <v>-29.49435346</v>
      </c>
      <c r="AT64" s="115">
        <f t="shared" si="73"/>
        <v>-29.41729035</v>
      </c>
      <c r="AU64" s="115">
        <f t="shared" si="73"/>
        <v>-35.65292941</v>
      </c>
      <c r="AV64" s="115">
        <f t="shared" si="73"/>
        <v>-34.39993814</v>
      </c>
      <c r="AW64" s="115">
        <f t="shared" si="73"/>
        <v>-32.2265396</v>
      </c>
      <c r="AX64" s="115">
        <f t="shared" si="73"/>
        <v>-32.14233781</v>
      </c>
      <c r="AY64" s="115">
        <f t="shared" si="73"/>
        <v>-38.95561038</v>
      </c>
      <c r="AZ64" s="115">
        <f t="shared" si="73"/>
        <v>-37.58654926</v>
      </c>
      <c r="BA64" s="115">
        <f t="shared" si="73"/>
        <v>-35.21181966</v>
      </c>
      <c r="BB64" s="115">
        <f t="shared" si="73"/>
        <v>-35.1198179</v>
      </c>
      <c r="BC64" s="115">
        <f t="shared" si="73"/>
        <v>-42.5642326</v>
      </c>
      <c r="BD64" s="115">
        <f t="shared" si="73"/>
        <v>-41.06834957</v>
      </c>
      <c r="BE64" s="115">
        <f t="shared" si="73"/>
        <v>-38.47363877</v>
      </c>
      <c r="BF64" s="115">
        <f t="shared" si="73"/>
        <v>-38.37311451</v>
      </c>
      <c r="BG64" s="115">
        <f t="shared" si="73"/>
        <v>-46.50713668</v>
      </c>
      <c r="BH64" s="115">
        <f t="shared" si="73"/>
        <v>-44.87268371</v>
      </c>
      <c r="BI64" s="115">
        <f t="shared" si="73"/>
        <v>-42.03761392</v>
      </c>
      <c r="BJ64" s="115">
        <f t="shared" si="73"/>
        <v>-41.92777767</v>
      </c>
      <c r="BK64" s="115">
        <f t="shared" si="73"/>
        <v>-50.81528857</v>
      </c>
      <c r="BL64" s="115">
        <f t="shared" si="73"/>
        <v>-49.02942934</v>
      </c>
      <c r="BM64" s="115">
        <f t="shared" si="73"/>
        <v>-45.9317351</v>
      </c>
      <c r="BN64" s="115">
        <f t="shared" si="73"/>
        <v>-45.81172426</v>
      </c>
      <c r="BO64" s="115">
        <f t="shared" si="73"/>
        <v>-55.5225227</v>
      </c>
      <c r="BP64" s="115">
        <f t="shared" si="73"/>
        <v>-53.57123182</v>
      </c>
      <c r="BQ64" s="115">
        <f t="shared" si="73"/>
        <v>-50.18658512</v>
      </c>
      <c r="BR64" s="115">
        <f t="shared" si="73"/>
        <v>-50.05545716</v>
      </c>
      <c r="BS64" s="115">
        <f t="shared" si="73"/>
        <v>-60.66580776</v>
      </c>
      <c r="BT64" s="115">
        <f t="shared" si="73"/>
        <v>-58.53376058</v>
      </c>
      <c r="BU64" s="115">
        <f t="shared" si="73"/>
        <v>-54.83557981</v>
      </c>
      <c r="BV64" s="115">
        <f t="shared" si="73"/>
        <v>-54.69230492</v>
      </c>
      <c r="BW64" s="115">
        <f t="shared" si="73"/>
        <v>-66.28553697</v>
      </c>
      <c r="BX64" s="6" t="s">
        <v>35</v>
      </c>
      <c r="BY64" s="17">
        <f>SUM(D64:G64)</f>
        <v>0</v>
      </c>
      <c r="BZ64" s="17">
        <f>SUM(H64:K64)</f>
        <v>0</v>
      </c>
      <c r="CA64" s="17">
        <f>SUM(L64:O64)</f>
        <v>0</v>
      </c>
      <c r="CB64" s="17">
        <f>SUM(P64:S64)</f>
        <v>0</v>
      </c>
      <c r="CC64" s="17">
        <f>SUM(T64:W64)</f>
        <v>0</v>
      </c>
      <c r="CD64" s="17">
        <f>SUM(X64:AA64)</f>
        <v>-35.521908</v>
      </c>
      <c r="CE64" s="17">
        <f>SUM(AB64:AE64)</f>
        <v>-60.00157592</v>
      </c>
      <c r="CF64" s="17">
        <f>SUM(AF64:AI64)</f>
        <v>-99.48375256</v>
      </c>
      <c r="CG64" s="17">
        <f>SUM(AJ64:AM64)</f>
        <v>-111.71233</v>
      </c>
      <c r="CH64" s="17">
        <f>SUM(AN64:AQ64)</f>
        <v>-114.7437316</v>
      </c>
      <c r="CI64" s="17">
        <f>SUM(AR64:AU64)</f>
        <v>-126.0480631</v>
      </c>
      <c r="CJ64" s="17">
        <f>SUM(AV64:AY64)</f>
        <v>-137.7244259</v>
      </c>
      <c r="CK64" s="17">
        <f>SUM(AZ64:BC64)</f>
        <v>-150.4824194</v>
      </c>
      <c r="CL64" s="17">
        <f>SUM(BD64:BG64)</f>
        <v>-164.4222395</v>
      </c>
      <c r="CM64" s="17">
        <f>SUM(BH64:BK64)</f>
        <v>-179.6533639</v>
      </c>
      <c r="CN64" s="17">
        <f>SUM(BL64:BO64)</f>
        <v>-196.2954114</v>
      </c>
      <c r="CO64" s="17">
        <f>SUM(BP64:BS64)</f>
        <v>-214.4790819</v>
      </c>
      <c r="CP64" s="17">
        <f>SUM(BT64:BW64)</f>
        <v>-234.3471823</v>
      </c>
      <c r="CQ64" s="6" t="s">
        <v>35</v>
      </c>
    </row>
    <row r="65" ht="14.25" customHeight="1">
      <c r="B65" s="10" t="str">
        <f t="shared" ref="B65:C65" si="74">B32</f>
        <v>a/a %</v>
      </c>
      <c r="C65" s="9" t="str">
        <f t="shared" si="74"/>
        <v>[%]</v>
      </c>
      <c r="AB65" s="18">
        <f t="shared" ref="AB65:BW65" si="75">AB64/X64-1</f>
        <v>1.476916162</v>
      </c>
      <c r="AC65" s="18">
        <f t="shared" si="75"/>
        <v>0.79904797</v>
      </c>
      <c r="AD65" s="18">
        <f t="shared" si="75"/>
        <v>0.6848786118</v>
      </c>
      <c r="AE65" s="18">
        <f t="shared" si="75"/>
        <v>0.3524807049</v>
      </c>
      <c r="AF65" s="18">
        <f t="shared" si="75"/>
        <v>0.4114511113</v>
      </c>
      <c r="AG65" s="18">
        <f t="shared" si="75"/>
        <v>0.6473040635</v>
      </c>
      <c r="AH65" s="18">
        <f t="shared" si="75"/>
        <v>0.9101231456</v>
      </c>
      <c r="AI65" s="18">
        <f t="shared" si="75"/>
        <v>0.6323327859</v>
      </c>
      <c r="AJ65" s="18">
        <f t="shared" si="75"/>
        <v>0.9447144067</v>
      </c>
      <c r="AK65" s="18">
        <f t="shared" si="75"/>
        <v>0.0580542511</v>
      </c>
      <c r="AL65" s="18">
        <f t="shared" si="75"/>
        <v>-0.1371155061</v>
      </c>
      <c r="AM65" s="18">
        <f t="shared" si="75"/>
        <v>-0.05448605428</v>
      </c>
      <c r="AN65" s="18">
        <f t="shared" si="75"/>
        <v>-0.1558357859</v>
      </c>
      <c r="AO65" s="18">
        <f t="shared" si="75"/>
        <v>0.08661178636</v>
      </c>
      <c r="AP65" s="18">
        <f t="shared" si="75"/>
        <v>0.1197385459</v>
      </c>
      <c r="AQ65" s="18">
        <f t="shared" si="75"/>
        <v>0.1116663889</v>
      </c>
      <c r="AR65" s="18">
        <f t="shared" si="75"/>
        <v>0.1061901998</v>
      </c>
      <c r="AS65" s="18">
        <f t="shared" si="75"/>
        <v>0.100740987</v>
      </c>
      <c r="AT65" s="18">
        <f t="shared" si="75"/>
        <v>0.09531861757</v>
      </c>
      <c r="AU65" s="18">
        <f t="shared" si="75"/>
        <v>0.0926342105</v>
      </c>
      <c r="AV65" s="18">
        <f t="shared" si="75"/>
        <v>0.0926342105</v>
      </c>
      <c r="AW65" s="18">
        <f t="shared" si="75"/>
        <v>0.0926342105</v>
      </c>
      <c r="AX65" s="18">
        <f t="shared" si="75"/>
        <v>0.0926342105</v>
      </c>
      <c r="AY65" s="18">
        <f t="shared" si="75"/>
        <v>0.0926342105</v>
      </c>
      <c r="AZ65" s="18">
        <f t="shared" si="75"/>
        <v>0.0926342105</v>
      </c>
      <c r="BA65" s="18">
        <f t="shared" si="75"/>
        <v>0.0926342105</v>
      </c>
      <c r="BB65" s="18">
        <f t="shared" si="75"/>
        <v>0.0926342105</v>
      </c>
      <c r="BC65" s="18">
        <f t="shared" si="75"/>
        <v>0.0926342105</v>
      </c>
      <c r="BD65" s="18">
        <f t="shared" si="75"/>
        <v>0.0926342105</v>
      </c>
      <c r="BE65" s="18">
        <f t="shared" si="75"/>
        <v>0.0926342105</v>
      </c>
      <c r="BF65" s="18">
        <f t="shared" si="75"/>
        <v>0.0926342105</v>
      </c>
      <c r="BG65" s="18">
        <f t="shared" si="75"/>
        <v>0.0926342105</v>
      </c>
      <c r="BH65" s="18">
        <f t="shared" si="75"/>
        <v>0.0926342105</v>
      </c>
      <c r="BI65" s="18">
        <f t="shared" si="75"/>
        <v>0.0926342105</v>
      </c>
      <c r="BJ65" s="18">
        <f t="shared" si="75"/>
        <v>0.0926342105</v>
      </c>
      <c r="BK65" s="18">
        <f t="shared" si="75"/>
        <v>0.0926342105</v>
      </c>
      <c r="BL65" s="18">
        <f t="shared" si="75"/>
        <v>0.0926342105</v>
      </c>
      <c r="BM65" s="18">
        <f t="shared" si="75"/>
        <v>0.0926342105</v>
      </c>
      <c r="BN65" s="18">
        <f t="shared" si="75"/>
        <v>0.0926342105</v>
      </c>
      <c r="BO65" s="18">
        <f t="shared" si="75"/>
        <v>0.0926342105</v>
      </c>
      <c r="BP65" s="18">
        <f t="shared" si="75"/>
        <v>0.0926342105</v>
      </c>
      <c r="BQ65" s="18">
        <f t="shared" si="75"/>
        <v>0.0926342105</v>
      </c>
      <c r="BR65" s="18">
        <f t="shared" si="75"/>
        <v>0.0926342105</v>
      </c>
      <c r="BS65" s="18">
        <f t="shared" si="75"/>
        <v>0.0926342105</v>
      </c>
      <c r="BT65" s="18">
        <f t="shared" si="75"/>
        <v>0.0926342105</v>
      </c>
      <c r="BU65" s="18">
        <f t="shared" si="75"/>
        <v>0.0926342105</v>
      </c>
      <c r="BV65" s="18">
        <f t="shared" si="75"/>
        <v>0.0926342105</v>
      </c>
      <c r="BW65" s="18">
        <f t="shared" si="75"/>
        <v>0.0926342105</v>
      </c>
      <c r="BX65" s="6" t="s">
        <v>35</v>
      </c>
      <c r="BY65" s="19"/>
      <c r="BZ65" s="19"/>
      <c r="CA65" s="19"/>
      <c r="CB65" s="19"/>
      <c r="CC65" s="19"/>
      <c r="CD65" s="19"/>
      <c r="CE65" s="19">
        <f t="shared" ref="CE65:CP65" si="76">CE64/CD64-1</f>
        <v>0.6891428219</v>
      </c>
      <c r="CF65" s="19">
        <f t="shared" si="76"/>
        <v>0.6580189942</v>
      </c>
      <c r="CG65" s="19">
        <f t="shared" si="76"/>
        <v>0.1229203479</v>
      </c>
      <c r="CH65" s="19">
        <f t="shared" si="76"/>
        <v>0.02713578306</v>
      </c>
      <c r="CI65" s="19">
        <f t="shared" si="76"/>
        <v>0.09851807491</v>
      </c>
      <c r="CJ65" s="19">
        <f t="shared" si="76"/>
        <v>0.0926342105</v>
      </c>
      <c r="CK65" s="19">
        <f t="shared" si="76"/>
        <v>0.0926342105</v>
      </c>
      <c r="CL65" s="19">
        <f t="shared" si="76"/>
        <v>0.0926342105</v>
      </c>
      <c r="CM65" s="19">
        <f t="shared" si="76"/>
        <v>0.0926342105</v>
      </c>
      <c r="CN65" s="19">
        <f t="shared" si="76"/>
        <v>0.0926342105</v>
      </c>
      <c r="CO65" s="19">
        <f t="shared" si="76"/>
        <v>0.0926342105</v>
      </c>
      <c r="CP65" s="19">
        <f t="shared" si="76"/>
        <v>0.0926342105</v>
      </c>
      <c r="CQ65" s="6" t="s">
        <v>35</v>
      </c>
    </row>
    <row r="66" ht="14.25" customHeight="1">
      <c r="B66" s="10" t="s">
        <v>198</v>
      </c>
      <c r="C66" s="9" t="str">
        <f>C33</f>
        <v>[%]</v>
      </c>
      <c r="X66" s="18">
        <f t="shared" ref="X66:BW66" si="77">X64/X$50</f>
        <v>0.04779031556</v>
      </c>
      <c r="Y66" s="18">
        <f t="shared" si="77"/>
        <v>0.05440977344</v>
      </c>
      <c r="Z66" s="18">
        <f t="shared" si="77"/>
        <v>0.04897146875</v>
      </c>
      <c r="AA66" s="18">
        <f t="shared" si="77"/>
        <v>0.0739147558</v>
      </c>
      <c r="AB66" s="18">
        <f t="shared" si="77"/>
        <v>0.06408376854</v>
      </c>
      <c r="AC66" s="18">
        <f t="shared" si="77"/>
        <v>0.07106675544</v>
      </c>
      <c r="AD66" s="18">
        <f t="shared" si="77"/>
        <v>0.06692396861</v>
      </c>
      <c r="AE66" s="18">
        <f t="shared" si="77"/>
        <v>0.08542075503</v>
      </c>
      <c r="AF66" s="18">
        <f t="shared" si="77"/>
        <v>0.1002616488</v>
      </c>
      <c r="AG66" s="18">
        <f t="shared" si="77"/>
        <v>0.1401691546</v>
      </c>
      <c r="AH66" s="18">
        <f t="shared" si="77"/>
        <v>0.09148921544</v>
      </c>
      <c r="AI66" s="18">
        <f t="shared" si="77"/>
        <v>0.09779109996</v>
      </c>
      <c r="AJ66" s="18">
        <f t="shared" si="77"/>
        <v>0.1142869481</v>
      </c>
      <c r="AK66" s="18">
        <f t="shared" si="77"/>
        <v>0.08822934052</v>
      </c>
      <c r="AL66" s="18">
        <f t="shared" si="77"/>
        <v>0.08552592053</v>
      </c>
      <c r="AM66" s="18">
        <f t="shared" si="77"/>
        <v>0.09142732187</v>
      </c>
      <c r="AN66" s="18">
        <f t="shared" si="77"/>
        <v>0.09419031976</v>
      </c>
      <c r="AO66" s="18">
        <f t="shared" si="77"/>
        <v>0.08856605952</v>
      </c>
      <c r="AP66" s="18">
        <f t="shared" si="77"/>
        <v>0.08584761742</v>
      </c>
      <c r="AQ66" s="18">
        <f t="shared" si="77"/>
        <v>0.09183032307</v>
      </c>
      <c r="AR66" s="18">
        <f t="shared" si="77"/>
        <v>0.09447043658</v>
      </c>
      <c r="AS66" s="18">
        <f t="shared" si="77"/>
        <v>0.08877263381</v>
      </c>
      <c r="AT66" s="18">
        <f t="shared" si="77"/>
        <v>0.0860497796</v>
      </c>
      <c r="AU66" s="18">
        <f t="shared" si="77"/>
        <v>0.09198671791</v>
      </c>
      <c r="AV66" s="18">
        <f t="shared" si="77"/>
        <v>0.09447043658</v>
      </c>
      <c r="AW66" s="18">
        <f t="shared" si="77"/>
        <v>0.08877263381</v>
      </c>
      <c r="AX66" s="18">
        <f t="shared" si="77"/>
        <v>0.0860497796</v>
      </c>
      <c r="AY66" s="18">
        <f t="shared" si="77"/>
        <v>0.09198671791</v>
      </c>
      <c r="AZ66" s="18">
        <f t="shared" si="77"/>
        <v>0.09447043658</v>
      </c>
      <c r="BA66" s="18">
        <f t="shared" si="77"/>
        <v>0.08877263381</v>
      </c>
      <c r="BB66" s="18">
        <f t="shared" si="77"/>
        <v>0.0860497796</v>
      </c>
      <c r="BC66" s="18">
        <f t="shared" si="77"/>
        <v>0.09198671791</v>
      </c>
      <c r="BD66" s="18">
        <f t="shared" si="77"/>
        <v>0.09447043658</v>
      </c>
      <c r="BE66" s="18">
        <f t="shared" si="77"/>
        <v>0.08877263381</v>
      </c>
      <c r="BF66" s="18">
        <f t="shared" si="77"/>
        <v>0.0860497796</v>
      </c>
      <c r="BG66" s="18">
        <f t="shared" si="77"/>
        <v>0.09198671791</v>
      </c>
      <c r="BH66" s="18">
        <f t="shared" si="77"/>
        <v>0.09447043658</v>
      </c>
      <c r="BI66" s="18">
        <f t="shared" si="77"/>
        <v>0.08877263381</v>
      </c>
      <c r="BJ66" s="18">
        <f t="shared" si="77"/>
        <v>0.0860497796</v>
      </c>
      <c r="BK66" s="18">
        <f t="shared" si="77"/>
        <v>0.09198671791</v>
      </c>
      <c r="BL66" s="18">
        <f t="shared" si="77"/>
        <v>0.09447043658</v>
      </c>
      <c r="BM66" s="18">
        <f t="shared" si="77"/>
        <v>0.08877263381</v>
      </c>
      <c r="BN66" s="18">
        <f t="shared" si="77"/>
        <v>0.0860497796</v>
      </c>
      <c r="BO66" s="18">
        <f t="shared" si="77"/>
        <v>0.09198671791</v>
      </c>
      <c r="BP66" s="18">
        <f t="shared" si="77"/>
        <v>0.09447043658</v>
      </c>
      <c r="BQ66" s="18">
        <f t="shared" si="77"/>
        <v>0.08877263381</v>
      </c>
      <c r="BR66" s="18">
        <f t="shared" si="77"/>
        <v>0.0860497796</v>
      </c>
      <c r="BS66" s="18">
        <f t="shared" si="77"/>
        <v>0.09198671791</v>
      </c>
      <c r="BT66" s="18">
        <f t="shared" si="77"/>
        <v>0.09447043658</v>
      </c>
      <c r="BU66" s="18">
        <f t="shared" si="77"/>
        <v>0.08877263381</v>
      </c>
      <c r="BV66" s="18">
        <f t="shared" si="77"/>
        <v>0.0860497796</v>
      </c>
      <c r="BW66" s="18">
        <f t="shared" si="77"/>
        <v>0.09198671791</v>
      </c>
      <c r="BX66" s="6" t="s">
        <v>35</v>
      </c>
      <c r="CE66" s="18">
        <f t="shared" ref="CE66:CP66" si="78">CE64/CE$50</f>
        <v>0.07221803615</v>
      </c>
      <c r="CF66" s="18">
        <f t="shared" si="78"/>
        <v>0.1035787237</v>
      </c>
      <c r="CG66" s="18">
        <f t="shared" si="78"/>
        <v>0.09499443519</v>
      </c>
      <c r="CH66" s="18">
        <f t="shared" si="78"/>
        <v>0.09014428095</v>
      </c>
      <c r="CI66" s="18">
        <f t="shared" si="78"/>
        <v>0.09035960447</v>
      </c>
      <c r="CJ66" s="18">
        <f t="shared" si="78"/>
        <v>0.09035960447</v>
      </c>
      <c r="CK66" s="18">
        <f t="shared" si="78"/>
        <v>0.09035960447</v>
      </c>
      <c r="CL66" s="18">
        <f t="shared" si="78"/>
        <v>0.09035960447</v>
      </c>
      <c r="CM66" s="18">
        <f t="shared" si="78"/>
        <v>0.09035960447</v>
      </c>
      <c r="CN66" s="18">
        <f t="shared" si="78"/>
        <v>0.09035960447</v>
      </c>
      <c r="CO66" s="18">
        <f t="shared" si="78"/>
        <v>0.09035960447</v>
      </c>
      <c r="CP66" s="18">
        <f t="shared" si="78"/>
        <v>0.09035960447</v>
      </c>
      <c r="CQ66" s="6" t="s">
        <v>35</v>
      </c>
    </row>
    <row r="67" ht="14.25" customHeight="1">
      <c r="BX67" s="6" t="s">
        <v>35</v>
      </c>
      <c r="CQ67" s="6" t="s">
        <v>35</v>
      </c>
    </row>
    <row r="68" ht="14.25" customHeight="1">
      <c r="B68" s="83" t="str">
        <f t="shared" ref="B68:C68" si="79">B35</f>
        <v>Montagem</v>
      </c>
      <c r="C68" s="78" t="str">
        <f t="shared" si="79"/>
        <v>[BRL 000]</v>
      </c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>
        <f>Inputs!AJ323/1000</f>
        <v>-106.3811614</v>
      </c>
      <c r="AI68" s="114">
        <f>Inputs!AK323/1000</f>
        <v>-96.22469548</v>
      </c>
      <c r="AJ68" s="114">
        <f>Inputs!AL323/1000</f>
        <v>-82.40795694</v>
      </c>
      <c r="AK68" s="115">
        <f t="shared" ref="AK68:BW68" si="80">AK35*(AK98-1)</f>
        <v>-74.36041516</v>
      </c>
      <c r="AL68" s="115">
        <f t="shared" si="80"/>
        <v>-75.33557152</v>
      </c>
      <c r="AM68" s="115">
        <f t="shared" si="80"/>
        <v>-85.8646143</v>
      </c>
      <c r="AN68" s="115">
        <f t="shared" si="80"/>
        <v>-79.718105</v>
      </c>
      <c r="AO68" s="115">
        <f t="shared" si="80"/>
        <v>-79.77810731</v>
      </c>
      <c r="AP68" s="115">
        <f t="shared" si="80"/>
        <v>-83.28834403</v>
      </c>
      <c r="AQ68" s="115">
        <f t="shared" si="80"/>
        <v>-94.24454235</v>
      </c>
      <c r="AR68" s="115">
        <f t="shared" si="80"/>
        <v>-87.61810837</v>
      </c>
      <c r="AS68" s="115">
        <f t="shared" si="80"/>
        <v>-87.2521157</v>
      </c>
      <c r="AT68" s="115">
        <f t="shared" si="80"/>
        <v>-90.64248363</v>
      </c>
      <c r="AU68" s="115">
        <f t="shared" si="80"/>
        <v>-102.3147162</v>
      </c>
      <c r="AV68" s="115">
        <f t="shared" si="80"/>
        <v>-95.73454267</v>
      </c>
      <c r="AW68" s="115">
        <f t="shared" si="80"/>
        <v>-95.33464655</v>
      </c>
      <c r="AX68" s="115">
        <f t="shared" si="80"/>
        <v>-99.03907854</v>
      </c>
      <c r="AY68" s="115">
        <f t="shared" si="80"/>
        <v>-111.7925591</v>
      </c>
      <c r="AZ68" s="115">
        <f t="shared" si="80"/>
        <v>-104.6028364</v>
      </c>
      <c r="BA68" s="115">
        <f t="shared" si="80"/>
        <v>-104.1658963</v>
      </c>
      <c r="BB68" s="115">
        <f t="shared" si="80"/>
        <v>-108.2134854</v>
      </c>
      <c r="BC68" s="115">
        <f t="shared" si="80"/>
        <v>-122.1483746</v>
      </c>
      <c r="BD68" s="115">
        <f t="shared" si="80"/>
        <v>-114.2926376</v>
      </c>
      <c r="BE68" s="115">
        <f t="shared" si="80"/>
        <v>-113.8152218</v>
      </c>
      <c r="BF68" s="115">
        <f t="shared" si="80"/>
        <v>-118.2377562</v>
      </c>
      <c r="BG68" s="115">
        <f t="shared" si="80"/>
        <v>-133.4634928</v>
      </c>
      <c r="BH68" s="115">
        <f t="shared" si="80"/>
        <v>-124.8800459</v>
      </c>
      <c r="BI68" s="115">
        <f t="shared" si="80"/>
        <v>-124.3584051</v>
      </c>
      <c r="BJ68" s="115">
        <f t="shared" si="80"/>
        <v>-129.1906174</v>
      </c>
      <c r="BK68" s="115">
        <f t="shared" si="80"/>
        <v>-145.8267781</v>
      </c>
      <c r="BL68" s="115">
        <f t="shared" si="80"/>
        <v>-136.4482103</v>
      </c>
      <c r="BM68" s="115">
        <f t="shared" si="80"/>
        <v>-135.8782477</v>
      </c>
      <c r="BN68" s="115">
        <f t="shared" si="80"/>
        <v>-141.1580882</v>
      </c>
      <c r="BO68" s="115">
        <f t="shared" si="80"/>
        <v>-159.3353266</v>
      </c>
      <c r="BP68" s="115">
        <f t="shared" si="80"/>
        <v>-149.0879826</v>
      </c>
      <c r="BQ68" s="115">
        <f t="shared" si="80"/>
        <v>-148.4652219</v>
      </c>
      <c r="BR68" s="115">
        <f t="shared" si="80"/>
        <v>-154.2341563</v>
      </c>
      <c r="BS68" s="115">
        <f t="shared" si="80"/>
        <v>-174.0952288</v>
      </c>
      <c r="BT68" s="115">
        <f t="shared" si="80"/>
        <v>-162.8986301</v>
      </c>
      <c r="BU68" s="115">
        <f t="shared" si="80"/>
        <v>-162.2181805</v>
      </c>
      <c r="BV68" s="115">
        <f t="shared" si="80"/>
        <v>-168.5215156</v>
      </c>
      <c r="BW68" s="115">
        <f t="shared" si="80"/>
        <v>-190.2224028</v>
      </c>
      <c r="BX68" s="6" t="s">
        <v>35</v>
      </c>
      <c r="BY68" s="17">
        <f>SUM(D68:G68)</f>
        <v>0</v>
      </c>
      <c r="BZ68" s="17">
        <f>SUM(H68:K68)</f>
        <v>0</v>
      </c>
      <c r="CA68" s="17">
        <f>SUM(L68:O68)</f>
        <v>0</v>
      </c>
      <c r="CB68" s="17">
        <f>SUM(P68:S68)</f>
        <v>0</v>
      </c>
      <c r="CC68" s="17">
        <f>SUM(T68:W68)</f>
        <v>0</v>
      </c>
      <c r="CD68" s="17">
        <f>SUM(X68:AA68)</f>
        <v>0</v>
      </c>
      <c r="CE68" s="17">
        <f>SUM(AB68:AE68)</f>
        <v>0</v>
      </c>
      <c r="CF68" s="17">
        <f>SUM(AF68:AI68)</f>
        <v>-202.6058569</v>
      </c>
      <c r="CG68" s="17">
        <f>SUM(AJ68:AM68)</f>
        <v>-317.9685579</v>
      </c>
      <c r="CH68" s="17">
        <f>SUM(AN68:AQ68)</f>
        <v>-337.0290987</v>
      </c>
      <c r="CI68" s="17">
        <f>SUM(AR68:AU68)</f>
        <v>-367.8274239</v>
      </c>
      <c r="CJ68" s="17">
        <f>SUM(AV68:AY68)</f>
        <v>-401.9008269</v>
      </c>
      <c r="CK68" s="17">
        <f>SUM(AZ68:BC68)</f>
        <v>-439.1305927</v>
      </c>
      <c r="CL68" s="17">
        <f>SUM(BD68:BG68)</f>
        <v>-479.8091085</v>
      </c>
      <c r="CM68" s="17">
        <f>SUM(BH68:BK68)</f>
        <v>-524.2558464</v>
      </c>
      <c r="CN68" s="17">
        <f>SUM(BL68:BO68)</f>
        <v>-572.8198728</v>
      </c>
      <c r="CO68" s="17">
        <f>SUM(BP68:BS68)</f>
        <v>-625.8825895</v>
      </c>
      <c r="CP68" s="17">
        <f>SUM(BT68:BW68)</f>
        <v>-683.8607291</v>
      </c>
      <c r="CQ68" s="6" t="s">
        <v>35</v>
      </c>
    </row>
    <row r="69" ht="14.25" customHeight="1">
      <c r="B69" s="10" t="str">
        <f t="shared" ref="B69:C69" si="81">B36</f>
        <v>a/a %</v>
      </c>
      <c r="C69" s="9" t="str">
        <f t="shared" si="81"/>
        <v>[%]</v>
      </c>
      <c r="AL69" s="18">
        <f t="shared" ref="AL69:BW69" si="82">AL68/AH68-1</f>
        <v>-0.29183353</v>
      </c>
      <c r="AM69" s="18">
        <f t="shared" si="82"/>
        <v>-0.1076655128</v>
      </c>
      <c r="AN69" s="18">
        <f t="shared" si="82"/>
        <v>-0.03264068232</v>
      </c>
      <c r="AO69" s="18">
        <f t="shared" si="82"/>
        <v>0.07285720679</v>
      </c>
      <c r="AP69" s="18">
        <f t="shared" si="82"/>
        <v>0.1055646403</v>
      </c>
      <c r="AQ69" s="18">
        <f t="shared" si="82"/>
        <v>0.09759466244</v>
      </c>
      <c r="AR69" s="18">
        <f t="shared" si="82"/>
        <v>0.09909923695</v>
      </c>
      <c r="AS69" s="18">
        <f t="shared" si="82"/>
        <v>0.093684955</v>
      </c>
      <c r="AT69" s="18">
        <f t="shared" si="82"/>
        <v>0.08829734438</v>
      </c>
      <c r="AU69" s="18">
        <f t="shared" si="82"/>
        <v>0.08563014505</v>
      </c>
      <c r="AV69" s="18">
        <f t="shared" si="82"/>
        <v>0.0926342105</v>
      </c>
      <c r="AW69" s="18">
        <f t="shared" si="82"/>
        <v>0.0926342105</v>
      </c>
      <c r="AX69" s="18">
        <f t="shared" si="82"/>
        <v>0.0926342105</v>
      </c>
      <c r="AY69" s="18">
        <f t="shared" si="82"/>
        <v>0.0926342105</v>
      </c>
      <c r="AZ69" s="18">
        <f t="shared" si="82"/>
        <v>0.0926342105</v>
      </c>
      <c r="BA69" s="18">
        <f t="shared" si="82"/>
        <v>0.0926342105</v>
      </c>
      <c r="BB69" s="18">
        <f t="shared" si="82"/>
        <v>0.0926342105</v>
      </c>
      <c r="BC69" s="18">
        <f t="shared" si="82"/>
        <v>0.0926342105</v>
      </c>
      <c r="BD69" s="18">
        <f t="shared" si="82"/>
        <v>0.0926342105</v>
      </c>
      <c r="BE69" s="18">
        <f t="shared" si="82"/>
        <v>0.0926342105</v>
      </c>
      <c r="BF69" s="18">
        <f t="shared" si="82"/>
        <v>0.0926342105</v>
      </c>
      <c r="BG69" s="18">
        <f t="shared" si="82"/>
        <v>0.0926342105</v>
      </c>
      <c r="BH69" s="18">
        <f t="shared" si="82"/>
        <v>0.0926342105</v>
      </c>
      <c r="BI69" s="18">
        <f t="shared" si="82"/>
        <v>0.0926342105</v>
      </c>
      <c r="BJ69" s="18">
        <f t="shared" si="82"/>
        <v>0.0926342105</v>
      </c>
      <c r="BK69" s="18">
        <f t="shared" si="82"/>
        <v>0.0926342105</v>
      </c>
      <c r="BL69" s="18">
        <f t="shared" si="82"/>
        <v>0.0926342105</v>
      </c>
      <c r="BM69" s="18">
        <f t="shared" si="82"/>
        <v>0.0926342105</v>
      </c>
      <c r="BN69" s="18">
        <f t="shared" si="82"/>
        <v>0.0926342105</v>
      </c>
      <c r="BO69" s="18">
        <f t="shared" si="82"/>
        <v>0.0926342105</v>
      </c>
      <c r="BP69" s="18">
        <f t="shared" si="82"/>
        <v>0.0926342105</v>
      </c>
      <c r="BQ69" s="18">
        <f t="shared" si="82"/>
        <v>0.0926342105</v>
      </c>
      <c r="BR69" s="18">
        <f t="shared" si="82"/>
        <v>0.0926342105</v>
      </c>
      <c r="BS69" s="18">
        <f t="shared" si="82"/>
        <v>0.0926342105</v>
      </c>
      <c r="BT69" s="18">
        <f t="shared" si="82"/>
        <v>0.0926342105</v>
      </c>
      <c r="BU69" s="18">
        <f t="shared" si="82"/>
        <v>0.0926342105</v>
      </c>
      <c r="BV69" s="18">
        <f t="shared" si="82"/>
        <v>0.0926342105</v>
      </c>
      <c r="BW69" s="18">
        <f t="shared" si="82"/>
        <v>0.0926342105</v>
      </c>
      <c r="BX69" s="6" t="s">
        <v>35</v>
      </c>
      <c r="BY69" s="19"/>
      <c r="BZ69" s="19"/>
      <c r="CA69" s="19"/>
      <c r="CB69" s="19"/>
      <c r="CC69" s="19"/>
      <c r="CD69" s="19"/>
      <c r="CE69" s="19"/>
      <c r="CF69" s="19"/>
      <c r="CG69" s="19">
        <f t="shared" ref="CG69:CP69" si="83">CG68/CF68-1</f>
        <v>0.5693947</v>
      </c>
      <c r="CH69" s="19">
        <f t="shared" si="83"/>
        <v>0.05994473441</v>
      </c>
      <c r="CI69" s="19">
        <f t="shared" si="83"/>
        <v>0.09138179854</v>
      </c>
      <c r="CJ69" s="19">
        <f t="shared" si="83"/>
        <v>0.0926342105</v>
      </c>
      <c r="CK69" s="19">
        <f t="shared" si="83"/>
        <v>0.0926342105</v>
      </c>
      <c r="CL69" s="19">
        <f t="shared" si="83"/>
        <v>0.0926342105</v>
      </c>
      <c r="CM69" s="19">
        <f t="shared" si="83"/>
        <v>0.0926342105</v>
      </c>
      <c r="CN69" s="19">
        <f t="shared" si="83"/>
        <v>0.0926342105</v>
      </c>
      <c r="CO69" s="19">
        <f t="shared" si="83"/>
        <v>0.0926342105</v>
      </c>
      <c r="CP69" s="19">
        <f t="shared" si="83"/>
        <v>0.0926342105</v>
      </c>
      <c r="CQ69" s="6" t="s">
        <v>35</v>
      </c>
    </row>
    <row r="70" ht="14.25" customHeight="1">
      <c r="B70" s="10" t="s">
        <v>198</v>
      </c>
      <c r="C70" s="9" t="str">
        <f>C37</f>
        <v>[%]</v>
      </c>
      <c r="AH70" s="18">
        <f t="shared" ref="AH70:BW70" si="84">AH68/AH$50</f>
        <v>0.3501399993</v>
      </c>
      <c r="AI70" s="18">
        <f t="shared" si="84"/>
        <v>0.3031153048</v>
      </c>
      <c r="AJ70" s="18">
        <f t="shared" si="84"/>
        <v>0.2793442006</v>
      </c>
      <c r="AK70" s="18">
        <f t="shared" si="84"/>
        <v>0.2660575012</v>
      </c>
      <c r="AL70" s="18">
        <f t="shared" si="84"/>
        <v>0.2686286168</v>
      </c>
      <c r="AM70" s="18">
        <f t="shared" si="84"/>
        <v>0.2674510281</v>
      </c>
      <c r="AN70" s="18">
        <f t="shared" si="84"/>
        <v>0.2638214948</v>
      </c>
      <c r="AO70" s="18">
        <f t="shared" si="84"/>
        <v>0.2636922153</v>
      </c>
      <c r="AP70" s="18">
        <f t="shared" si="84"/>
        <v>0.2662258832</v>
      </c>
      <c r="AQ70" s="18">
        <f t="shared" si="84"/>
        <v>0.2652295429</v>
      </c>
      <c r="AR70" s="18">
        <f t="shared" si="84"/>
        <v>0.2629098925</v>
      </c>
      <c r="AS70" s="18">
        <f t="shared" si="84"/>
        <v>0.2626129821</v>
      </c>
      <c r="AT70" s="18">
        <f t="shared" si="84"/>
        <v>0.2651422223</v>
      </c>
      <c r="AU70" s="18">
        <f t="shared" si="84"/>
        <v>0.2639781664</v>
      </c>
      <c r="AV70" s="18">
        <f t="shared" si="84"/>
        <v>0.2629098925</v>
      </c>
      <c r="AW70" s="18">
        <f t="shared" si="84"/>
        <v>0.2626129821</v>
      </c>
      <c r="AX70" s="18">
        <f t="shared" si="84"/>
        <v>0.2651422223</v>
      </c>
      <c r="AY70" s="18">
        <f t="shared" si="84"/>
        <v>0.2639781664</v>
      </c>
      <c r="AZ70" s="18">
        <f t="shared" si="84"/>
        <v>0.2629098925</v>
      </c>
      <c r="BA70" s="18">
        <f t="shared" si="84"/>
        <v>0.2626129821</v>
      </c>
      <c r="BB70" s="18">
        <f t="shared" si="84"/>
        <v>0.2651422223</v>
      </c>
      <c r="BC70" s="18">
        <f t="shared" si="84"/>
        <v>0.2639781664</v>
      </c>
      <c r="BD70" s="18">
        <f t="shared" si="84"/>
        <v>0.2629098925</v>
      </c>
      <c r="BE70" s="18">
        <f t="shared" si="84"/>
        <v>0.2626129821</v>
      </c>
      <c r="BF70" s="18">
        <f t="shared" si="84"/>
        <v>0.2651422223</v>
      </c>
      <c r="BG70" s="18">
        <f t="shared" si="84"/>
        <v>0.2639781664</v>
      </c>
      <c r="BH70" s="18">
        <f t="shared" si="84"/>
        <v>0.2629098925</v>
      </c>
      <c r="BI70" s="18">
        <f t="shared" si="84"/>
        <v>0.2626129821</v>
      </c>
      <c r="BJ70" s="18">
        <f t="shared" si="84"/>
        <v>0.2651422223</v>
      </c>
      <c r="BK70" s="18">
        <f t="shared" si="84"/>
        <v>0.2639781664</v>
      </c>
      <c r="BL70" s="18">
        <f t="shared" si="84"/>
        <v>0.2629098925</v>
      </c>
      <c r="BM70" s="18">
        <f t="shared" si="84"/>
        <v>0.2626129821</v>
      </c>
      <c r="BN70" s="18">
        <f t="shared" si="84"/>
        <v>0.2651422223</v>
      </c>
      <c r="BO70" s="18">
        <f t="shared" si="84"/>
        <v>0.2639781664</v>
      </c>
      <c r="BP70" s="18">
        <f t="shared" si="84"/>
        <v>0.2629098925</v>
      </c>
      <c r="BQ70" s="18">
        <f t="shared" si="84"/>
        <v>0.2626129821</v>
      </c>
      <c r="BR70" s="18">
        <f t="shared" si="84"/>
        <v>0.2651422223</v>
      </c>
      <c r="BS70" s="18">
        <f t="shared" si="84"/>
        <v>0.2639781664</v>
      </c>
      <c r="BT70" s="18">
        <f t="shared" si="84"/>
        <v>0.2629098925</v>
      </c>
      <c r="BU70" s="18">
        <f t="shared" si="84"/>
        <v>0.2626129821</v>
      </c>
      <c r="BV70" s="18">
        <f t="shared" si="84"/>
        <v>0.2651422223</v>
      </c>
      <c r="BW70" s="18">
        <f t="shared" si="84"/>
        <v>0.2639781664</v>
      </c>
      <c r="BX70" s="6" t="s">
        <v>35</v>
      </c>
      <c r="CE70" s="18"/>
      <c r="CF70" s="18">
        <f t="shared" ref="CF70:CP70" si="85">CF68/CF$50</f>
        <v>0.2109455618</v>
      </c>
      <c r="CG70" s="18">
        <f t="shared" si="85"/>
        <v>0.2703841515</v>
      </c>
      <c r="CH70" s="18">
        <f t="shared" si="85"/>
        <v>0.2647747754</v>
      </c>
      <c r="CI70" s="18">
        <f t="shared" si="85"/>
        <v>0.2636830722</v>
      </c>
      <c r="CJ70" s="18">
        <f t="shared" si="85"/>
        <v>0.2636830722</v>
      </c>
      <c r="CK70" s="18">
        <f t="shared" si="85"/>
        <v>0.2636830722</v>
      </c>
      <c r="CL70" s="18">
        <f t="shared" si="85"/>
        <v>0.2636830722</v>
      </c>
      <c r="CM70" s="18">
        <f t="shared" si="85"/>
        <v>0.2636830722</v>
      </c>
      <c r="CN70" s="18">
        <f t="shared" si="85"/>
        <v>0.2636830722</v>
      </c>
      <c r="CO70" s="18">
        <f t="shared" si="85"/>
        <v>0.2636830722</v>
      </c>
      <c r="CP70" s="18">
        <f t="shared" si="85"/>
        <v>0.2636830722</v>
      </c>
      <c r="CQ70" s="6" t="s">
        <v>35</v>
      </c>
    </row>
    <row r="71" ht="14.25" customHeight="1">
      <c r="BX71" s="6" t="s">
        <v>35</v>
      </c>
      <c r="CQ71" s="6" t="s">
        <v>35</v>
      </c>
    </row>
    <row r="72" ht="14.25" customHeight="1">
      <c r="B72" s="73" t="str">
        <f>Inputs!B324</f>
        <v>Lucro Bruto contábil consolidado</v>
      </c>
      <c r="C72" s="90"/>
      <c r="D72" s="123">
        <f>Inputs!F144/1000</f>
        <v>12.806</v>
      </c>
      <c r="E72" s="123">
        <f>Inputs!G144/1000</f>
        <v>9.483</v>
      </c>
      <c r="F72" s="123">
        <f>Inputs!H144/1000</f>
        <v>4.156</v>
      </c>
      <c r="G72" s="123">
        <f>Inputs!I144/1000</f>
        <v>6.958</v>
      </c>
      <c r="H72" s="123">
        <f>Inputs!J144/1000</f>
        <v>10.575</v>
      </c>
      <c r="I72" s="123">
        <f>Inputs!K144/1000</f>
        <v>7.007</v>
      </c>
      <c r="J72" s="123">
        <f>Inputs!L144/1000</f>
        <v>8.936</v>
      </c>
      <c r="K72" s="123">
        <f>Inputs!M144/1000</f>
        <v>18.505</v>
      </c>
      <c r="L72" s="123">
        <f>Inputs!N144/1000</f>
        <v>10.53</v>
      </c>
      <c r="M72" s="123">
        <f>Inputs!O144/1000</f>
        <v>12.687</v>
      </c>
      <c r="N72" s="123">
        <f>Inputs!P144/1000</f>
        <v>10.742</v>
      </c>
      <c r="O72" s="123">
        <f>Inputs!Q144/1000</f>
        <v>15.068</v>
      </c>
      <c r="P72" s="123">
        <f>Inputs!R144/1000</f>
        <v>9.415</v>
      </c>
      <c r="Q72" s="123">
        <f>Inputs!S144/1000</f>
        <v>-4.249</v>
      </c>
      <c r="R72" s="123">
        <f>Inputs!T144/1000</f>
        <v>9.447</v>
      </c>
      <c r="S72" s="123">
        <f>Inputs!U144/1000</f>
        <v>12.536</v>
      </c>
      <c r="T72" s="123">
        <f>Inputs!V144/1000</f>
        <v>11.411</v>
      </c>
      <c r="U72" s="123">
        <f>Inputs!W144/1000</f>
        <v>21.47</v>
      </c>
      <c r="V72" s="123">
        <f>Inputs!X144/1000</f>
        <v>21.162</v>
      </c>
      <c r="W72" s="123">
        <f>Inputs!Y144/1000</f>
        <v>16.411</v>
      </c>
      <c r="X72" s="123">
        <f t="shared" ref="X72:AJ72" si="86">+X79+X84+X90+X95</f>
        <v>25.522255</v>
      </c>
      <c r="Y72" s="123">
        <f t="shared" si="86"/>
        <v>39.405652</v>
      </c>
      <c r="Z72" s="123">
        <f t="shared" si="86"/>
        <v>78.071</v>
      </c>
      <c r="AA72" s="123">
        <f t="shared" si="86"/>
        <v>55.5827</v>
      </c>
      <c r="AB72" s="123">
        <f t="shared" si="86"/>
        <v>49.591</v>
      </c>
      <c r="AC72" s="123">
        <f t="shared" si="86"/>
        <v>54.85268853</v>
      </c>
      <c r="AD72" s="123">
        <f t="shared" si="86"/>
        <v>51.51181757</v>
      </c>
      <c r="AE72" s="123">
        <f t="shared" si="86"/>
        <v>59.61571491</v>
      </c>
      <c r="AF72" s="123">
        <f t="shared" si="86"/>
        <v>43.51452606</v>
      </c>
      <c r="AG72" s="123">
        <f t="shared" si="86"/>
        <v>38.98850246</v>
      </c>
      <c r="AH72" s="123">
        <f t="shared" si="86"/>
        <v>88.85155867</v>
      </c>
      <c r="AI72" s="123">
        <f t="shared" si="86"/>
        <v>102.240066</v>
      </c>
      <c r="AJ72" s="123">
        <f t="shared" si="86"/>
        <v>73.83981459</v>
      </c>
      <c r="AK72" s="123">
        <f t="shared" ref="AK72:BW72" si="87">AK20+AK50</f>
        <v>75.04248443</v>
      </c>
      <c r="AL72" s="123">
        <f t="shared" si="87"/>
        <v>78.73673895</v>
      </c>
      <c r="AM72" s="123">
        <f t="shared" si="87"/>
        <v>88.33375557</v>
      </c>
      <c r="AN72" s="123">
        <f t="shared" si="87"/>
        <v>82.78261814</v>
      </c>
      <c r="AO72" s="123">
        <f t="shared" si="87"/>
        <v>82.69667321</v>
      </c>
      <c r="AP72" s="123">
        <f t="shared" si="87"/>
        <v>89.34130848</v>
      </c>
      <c r="AQ72" s="123">
        <f t="shared" si="87"/>
        <v>99.76392996</v>
      </c>
      <c r="AR72" s="123">
        <f t="shared" si="87"/>
        <v>92.56442632</v>
      </c>
      <c r="AS72" s="123">
        <f t="shared" si="87"/>
        <v>91.80255885</v>
      </c>
      <c r="AT72" s="123">
        <f t="shared" si="87"/>
        <v>98.66225165</v>
      </c>
      <c r="AU72" s="123">
        <f t="shared" si="87"/>
        <v>109.6655778</v>
      </c>
      <c r="AV72" s="123">
        <f t="shared" si="87"/>
        <v>101.1390589</v>
      </c>
      <c r="AW72" s="123">
        <f t="shared" si="87"/>
        <v>100.3066164</v>
      </c>
      <c r="AX72" s="123">
        <f t="shared" si="87"/>
        <v>107.8017514</v>
      </c>
      <c r="AY72" s="123">
        <f t="shared" si="87"/>
        <v>119.824362</v>
      </c>
      <c r="AZ72" s="123">
        <f t="shared" si="87"/>
        <v>110.5079957</v>
      </c>
      <c r="BA72" s="123">
        <f t="shared" si="87"/>
        <v>109.5984406</v>
      </c>
      <c r="BB72" s="123">
        <f t="shared" si="87"/>
        <v>117.7878816</v>
      </c>
      <c r="BC72" s="123">
        <f t="shared" si="87"/>
        <v>130.9241972</v>
      </c>
      <c r="BD72" s="123">
        <f t="shared" si="87"/>
        <v>120.7448167</v>
      </c>
      <c r="BE72" s="123">
        <f t="shared" si="87"/>
        <v>119.7510057</v>
      </c>
      <c r="BF72" s="123">
        <f t="shared" si="87"/>
        <v>128.699069</v>
      </c>
      <c r="BG72" s="123">
        <f t="shared" si="87"/>
        <v>143.0522568</v>
      </c>
      <c r="BH72" s="123">
        <f t="shared" si="87"/>
        <v>131.9299175</v>
      </c>
      <c r="BI72" s="123">
        <f t="shared" si="87"/>
        <v>130.8440455</v>
      </c>
      <c r="BJ72" s="123">
        <f t="shared" si="87"/>
        <v>140.6210056</v>
      </c>
      <c r="BK72" s="123">
        <f t="shared" si="87"/>
        <v>156.3037897</v>
      </c>
      <c r="BL72" s="123">
        <f t="shared" si="87"/>
        <v>144.1511412</v>
      </c>
      <c r="BM72" s="123">
        <f t="shared" si="87"/>
        <v>142.9646804</v>
      </c>
      <c r="BN72" s="123">
        <f t="shared" si="87"/>
        <v>153.6473215</v>
      </c>
      <c r="BO72" s="123">
        <f t="shared" si="87"/>
        <v>170.7828678</v>
      </c>
      <c r="BP72" s="123">
        <f t="shared" si="87"/>
        <v>157.5044684</v>
      </c>
      <c r="BQ72" s="123">
        <f t="shared" si="87"/>
        <v>156.2081007</v>
      </c>
      <c r="BR72" s="123">
        <f t="shared" si="87"/>
        <v>167.8803198</v>
      </c>
      <c r="BS72" s="123">
        <f t="shared" si="87"/>
        <v>186.603204</v>
      </c>
      <c r="BT72" s="123">
        <f t="shared" si="87"/>
        <v>172.0947704</v>
      </c>
      <c r="BU72" s="123">
        <f t="shared" si="87"/>
        <v>170.6783148</v>
      </c>
      <c r="BV72" s="123">
        <f t="shared" si="87"/>
        <v>183.4317807</v>
      </c>
      <c r="BW72" s="123">
        <f t="shared" si="87"/>
        <v>203.8890445</v>
      </c>
      <c r="BX72" s="6" t="s">
        <v>35</v>
      </c>
      <c r="BY72" s="17">
        <f>SUM(D72:G72)</f>
        <v>33.403</v>
      </c>
      <c r="BZ72" s="17">
        <f>SUM(H72:K72)</f>
        <v>45.023</v>
      </c>
      <c r="CA72" s="17">
        <f>SUM(L72:O72)</f>
        <v>49.027</v>
      </c>
      <c r="CB72" s="17">
        <f>SUM(P72:S72)</f>
        <v>27.149</v>
      </c>
      <c r="CC72" s="17">
        <f>SUM(T72:W72)</f>
        <v>70.454</v>
      </c>
      <c r="CD72" s="17">
        <f>SUM(X72:AA72)</f>
        <v>198.581607</v>
      </c>
      <c r="CE72" s="17">
        <f>SUM(AB72:AE72)</f>
        <v>215.571221</v>
      </c>
      <c r="CF72" s="17">
        <f>SUM(AF72:AI72)</f>
        <v>273.5946532</v>
      </c>
      <c r="CG72" s="17">
        <f>SUM(AJ72:AM72)</f>
        <v>315.9527935</v>
      </c>
      <c r="CH72" s="17">
        <f>SUM(AN72:AQ72)</f>
        <v>354.5845298</v>
      </c>
      <c r="CI72" s="17">
        <f>SUM(AR72:AU72)</f>
        <v>392.6948146</v>
      </c>
      <c r="CJ72" s="17">
        <f>SUM(AV72:AY72)</f>
        <v>429.0717887</v>
      </c>
      <c r="CK72" s="17">
        <f>SUM(AZ72:BC72)</f>
        <v>468.8185151</v>
      </c>
      <c r="CL72" s="17">
        <f>SUM(BD72:BG72)</f>
        <v>512.2471482</v>
      </c>
      <c r="CM72" s="17">
        <f>SUM(BH72:BK72)</f>
        <v>559.6987583</v>
      </c>
      <c r="CN72" s="17">
        <f>SUM(BL72:BO72)</f>
        <v>611.5460109</v>
      </c>
      <c r="CO72" s="17">
        <f>SUM(BP72:BS72)</f>
        <v>668.1960928</v>
      </c>
      <c r="CP72" s="17">
        <f>SUM(BT72:BW72)</f>
        <v>730.0939103</v>
      </c>
      <c r="CQ72" s="6" t="s">
        <v>35</v>
      </c>
      <c r="CR72" s="19">
        <f>(CF72/BY72)^(1/7)-1</f>
        <v>0.3504378142</v>
      </c>
      <c r="CS72" s="19">
        <f>(CE72/CA72)^(1/4)-1</f>
        <v>0.4480676971</v>
      </c>
      <c r="CT72" s="19">
        <f>(CF72/CD72)^(1/2)-1</f>
        <v>0.1737734787</v>
      </c>
      <c r="CU72" s="19">
        <f>(CH72/CE72)^(1/3)-1</f>
        <v>0.1804375083</v>
      </c>
      <c r="CV72" s="19">
        <f>(CJ72/CF72)^(1/4)-1</f>
        <v>0.1190657108</v>
      </c>
      <c r="CW72" s="19">
        <f>(CJ72/CG72)^(1/3)-1</f>
        <v>0.1073950734</v>
      </c>
      <c r="CY72" s="13">
        <f>(CF72/BY72)^(1/7)-1</f>
        <v>0.3504378142</v>
      </c>
    </row>
    <row r="73" ht="14.25" customHeight="1">
      <c r="B73" s="10" t="s">
        <v>40</v>
      </c>
      <c r="C73" s="9"/>
      <c r="D73" s="60"/>
      <c r="H73" s="18">
        <f t="shared" ref="H73:BW73" si="88">H72/D72-1</f>
        <v>-0.1742152116</v>
      </c>
      <c r="I73" s="18">
        <f t="shared" si="88"/>
        <v>-0.2610988084</v>
      </c>
      <c r="J73" s="18">
        <f t="shared" si="88"/>
        <v>1.15014437</v>
      </c>
      <c r="K73" s="18">
        <f t="shared" si="88"/>
        <v>1.6595286</v>
      </c>
      <c r="L73" s="18">
        <f t="shared" si="88"/>
        <v>-0.004255319149</v>
      </c>
      <c r="M73" s="18">
        <f t="shared" si="88"/>
        <v>0.8106179535</v>
      </c>
      <c r="N73" s="18">
        <f t="shared" si="88"/>
        <v>0.2021038496</v>
      </c>
      <c r="O73" s="18">
        <f t="shared" si="88"/>
        <v>-0.1857335855</v>
      </c>
      <c r="P73" s="18">
        <f t="shared" si="88"/>
        <v>-0.1058879392</v>
      </c>
      <c r="Q73" s="18">
        <f t="shared" si="88"/>
        <v>-1.33490975</v>
      </c>
      <c r="R73" s="18">
        <f t="shared" si="88"/>
        <v>-0.1205548315</v>
      </c>
      <c r="S73" s="18">
        <f t="shared" si="88"/>
        <v>-0.1680382267</v>
      </c>
      <c r="T73" s="18">
        <f t="shared" si="88"/>
        <v>0.2120021243</v>
      </c>
      <c r="U73" s="18">
        <f t="shared" si="88"/>
        <v>-6.052953636</v>
      </c>
      <c r="V73" s="18">
        <f t="shared" si="88"/>
        <v>1.240076215</v>
      </c>
      <c r="W73" s="18">
        <f t="shared" si="88"/>
        <v>0.3091097639</v>
      </c>
      <c r="X73" s="18">
        <f t="shared" si="88"/>
        <v>1.236636141</v>
      </c>
      <c r="Y73" s="18">
        <f t="shared" si="88"/>
        <v>0.8353820214</v>
      </c>
      <c r="Z73" s="18">
        <f t="shared" si="88"/>
        <v>2.689207069</v>
      </c>
      <c r="AA73" s="18">
        <f t="shared" si="88"/>
        <v>2.386917312</v>
      </c>
      <c r="AB73" s="18">
        <f t="shared" si="88"/>
        <v>0.9430493113</v>
      </c>
      <c r="AC73" s="18">
        <f t="shared" si="88"/>
        <v>0.3920005315</v>
      </c>
      <c r="AD73" s="18">
        <f t="shared" si="88"/>
        <v>-0.3401926763</v>
      </c>
      <c r="AE73" s="18">
        <f t="shared" si="88"/>
        <v>0.07255881609</v>
      </c>
      <c r="AF73" s="18">
        <f t="shared" si="88"/>
        <v>-0.1225317889</v>
      </c>
      <c r="AG73" s="18">
        <f t="shared" si="88"/>
        <v>-0.2892143757</v>
      </c>
      <c r="AH73" s="18">
        <f t="shared" si="88"/>
        <v>0.7248771809</v>
      </c>
      <c r="AI73" s="18">
        <f t="shared" si="88"/>
        <v>0.7149851534</v>
      </c>
      <c r="AJ73" s="18">
        <f t="shared" si="88"/>
        <v>0.6969003523</v>
      </c>
      <c r="AK73" s="18">
        <f t="shared" si="88"/>
        <v>0.9247336957</v>
      </c>
      <c r="AL73" s="18">
        <f t="shared" si="88"/>
        <v>-0.1138395305</v>
      </c>
      <c r="AM73" s="18">
        <f t="shared" si="88"/>
        <v>-0.1360162503</v>
      </c>
      <c r="AN73" s="18">
        <f t="shared" si="88"/>
        <v>0.1211108613</v>
      </c>
      <c r="AO73" s="18">
        <f t="shared" si="88"/>
        <v>0.1019980727</v>
      </c>
      <c r="AP73" s="18">
        <f t="shared" si="88"/>
        <v>0.1346838804</v>
      </c>
      <c r="AQ73" s="18">
        <f t="shared" si="88"/>
        <v>0.1293975821</v>
      </c>
      <c r="AR73" s="18">
        <f t="shared" si="88"/>
        <v>0.1181625854</v>
      </c>
      <c r="AS73" s="18">
        <f t="shared" si="88"/>
        <v>0.1101118737</v>
      </c>
      <c r="AT73" s="18">
        <f t="shared" si="88"/>
        <v>0.1043296022</v>
      </c>
      <c r="AU73" s="18">
        <f t="shared" si="88"/>
        <v>0.09925077967</v>
      </c>
      <c r="AV73" s="18">
        <f t="shared" si="88"/>
        <v>0.0926342105</v>
      </c>
      <c r="AW73" s="18">
        <f t="shared" si="88"/>
        <v>0.0926342105</v>
      </c>
      <c r="AX73" s="18">
        <f t="shared" si="88"/>
        <v>0.0926342105</v>
      </c>
      <c r="AY73" s="18">
        <f t="shared" si="88"/>
        <v>0.0926342105</v>
      </c>
      <c r="AZ73" s="18">
        <f t="shared" si="88"/>
        <v>0.0926342105</v>
      </c>
      <c r="BA73" s="18">
        <f t="shared" si="88"/>
        <v>0.0926342105</v>
      </c>
      <c r="BB73" s="18">
        <f t="shared" si="88"/>
        <v>0.0926342105</v>
      </c>
      <c r="BC73" s="18">
        <f t="shared" si="88"/>
        <v>0.0926342105</v>
      </c>
      <c r="BD73" s="18">
        <f t="shared" si="88"/>
        <v>0.0926342105</v>
      </c>
      <c r="BE73" s="18">
        <f t="shared" si="88"/>
        <v>0.0926342105</v>
      </c>
      <c r="BF73" s="18">
        <f t="shared" si="88"/>
        <v>0.0926342105</v>
      </c>
      <c r="BG73" s="18">
        <f t="shared" si="88"/>
        <v>0.0926342105</v>
      </c>
      <c r="BH73" s="18">
        <f t="shared" si="88"/>
        <v>0.0926342105</v>
      </c>
      <c r="BI73" s="18">
        <f t="shared" si="88"/>
        <v>0.0926342105</v>
      </c>
      <c r="BJ73" s="18">
        <f t="shared" si="88"/>
        <v>0.0926342105</v>
      </c>
      <c r="BK73" s="18">
        <f t="shared" si="88"/>
        <v>0.0926342105</v>
      </c>
      <c r="BL73" s="18">
        <f t="shared" si="88"/>
        <v>0.0926342105</v>
      </c>
      <c r="BM73" s="18">
        <f t="shared" si="88"/>
        <v>0.0926342105</v>
      </c>
      <c r="BN73" s="18">
        <f t="shared" si="88"/>
        <v>0.0926342105</v>
      </c>
      <c r="BO73" s="18">
        <f t="shared" si="88"/>
        <v>0.0926342105</v>
      </c>
      <c r="BP73" s="18">
        <f t="shared" si="88"/>
        <v>0.0926342105</v>
      </c>
      <c r="BQ73" s="18">
        <f t="shared" si="88"/>
        <v>0.0926342105</v>
      </c>
      <c r="BR73" s="18">
        <f t="shared" si="88"/>
        <v>0.0926342105</v>
      </c>
      <c r="BS73" s="18">
        <f t="shared" si="88"/>
        <v>0.0926342105</v>
      </c>
      <c r="BT73" s="18">
        <f t="shared" si="88"/>
        <v>0.0926342105</v>
      </c>
      <c r="BU73" s="18">
        <f t="shared" si="88"/>
        <v>0.0926342105</v>
      </c>
      <c r="BV73" s="18">
        <f t="shared" si="88"/>
        <v>0.0926342105</v>
      </c>
      <c r="BW73" s="18">
        <f t="shared" si="88"/>
        <v>0.0926342105</v>
      </c>
      <c r="BX73" s="6" t="s">
        <v>35</v>
      </c>
      <c r="BZ73" s="18">
        <f t="shared" ref="BZ73:CP73" si="89">BZ72/BY72-1</f>
        <v>0.3478729455</v>
      </c>
      <c r="CA73" s="18">
        <f t="shared" si="89"/>
        <v>0.08893232348</v>
      </c>
      <c r="CB73" s="18">
        <f t="shared" si="89"/>
        <v>-0.4462439064</v>
      </c>
      <c r="CC73" s="18">
        <f t="shared" si="89"/>
        <v>1.595086375</v>
      </c>
      <c r="CD73" s="18">
        <f t="shared" si="89"/>
        <v>1.818599469</v>
      </c>
      <c r="CE73" s="18">
        <f t="shared" si="89"/>
        <v>0.08555482184</v>
      </c>
      <c r="CF73" s="18">
        <f t="shared" si="89"/>
        <v>0.2691613096</v>
      </c>
      <c r="CG73" s="18">
        <f t="shared" si="89"/>
        <v>0.1548207901</v>
      </c>
      <c r="CH73" s="18">
        <f t="shared" si="89"/>
        <v>0.1222705956</v>
      </c>
      <c r="CI73" s="18">
        <f t="shared" si="89"/>
        <v>0.1074787015</v>
      </c>
      <c r="CJ73" s="18">
        <f t="shared" si="89"/>
        <v>0.0926342105</v>
      </c>
      <c r="CK73" s="18">
        <f t="shared" si="89"/>
        <v>0.0926342105</v>
      </c>
      <c r="CL73" s="18">
        <f t="shared" si="89"/>
        <v>0.0926342105</v>
      </c>
      <c r="CM73" s="18">
        <f t="shared" si="89"/>
        <v>0.0926342105</v>
      </c>
      <c r="CN73" s="18">
        <f t="shared" si="89"/>
        <v>0.0926342105</v>
      </c>
      <c r="CO73" s="18">
        <f t="shared" si="89"/>
        <v>0.0926342105</v>
      </c>
      <c r="CP73" s="18">
        <f t="shared" si="89"/>
        <v>0.0926342105</v>
      </c>
      <c r="CQ73" s="6" t="s">
        <v>35</v>
      </c>
    </row>
    <row r="74" ht="14.25" customHeight="1">
      <c r="B74" s="73" t="s">
        <v>199</v>
      </c>
      <c r="C74" s="74"/>
      <c r="D74" s="124">
        <f t="shared" ref="D74:BW74" si="90">D72/D$20</f>
        <v>0.2448940565</v>
      </c>
      <c r="E74" s="124">
        <f t="shared" si="90"/>
        <v>0.1755265983</v>
      </c>
      <c r="F74" s="124">
        <f t="shared" si="90"/>
        <v>0.06768839883</v>
      </c>
      <c r="G74" s="124">
        <f t="shared" si="90"/>
        <v>0.1011557752</v>
      </c>
      <c r="H74" s="124">
        <f t="shared" si="90"/>
        <v>0.1389691968</v>
      </c>
      <c r="I74" s="124">
        <f t="shared" si="90"/>
        <v>0.0830941821</v>
      </c>
      <c r="J74" s="124">
        <f t="shared" si="90"/>
        <v>0.1118622002</v>
      </c>
      <c r="K74" s="124">
        <f t="shared" si="90"/>
        <v>0.2128699773</v>
      </c>
      <c r="L74" s="124">
        <f t="shared" si="90"/>
        <v>0.1270511583</v>
      </c>
      <c r="M74" s="124">
        <f t="shared" si="90"/>
        <v>0.1372220299</v>
      </c>
      <c r="N74" s="124">
        <f t="shared" si="90"/>
        <v>0.1258022205</v>
      </c>
      <c r="O74" s="124">
        <f t="shared" si="90"/>
        <v>0.1714454761</v>
      </c>
      <c r="P74" s="124">
        <f t="shared" si="90"/>
        <v>0.1323781671</v>
      </c>
      <c r="Q74" s="124">
        <f t="shared" si="90"/>
        <v>-0.08817913917</v>
      </c>
      <c r="R74" s="124">
        <f t="shared" si="90"/>
        <v>0.1723056158</v>
      </c>
      <c r="S74" s="124">
        <f t="shared" si="90"/>
        <v>0.1841417198</v>
      </c>
      <c r="T74" s="124">
        <f t="shared" si="90"/>
        <v>0.1454723933</v>
      </c>
      <c r="U74" s="124">
        <f t="shared" si="90"/>
        <v>0.1925146157</v>
      </c>
      <c r="V74" s="124">
        <f t="shared" si="90"/>
        <v>0.1712371443</v>
      </c>
      <c r="W74" s="124">
        <f t="shared" si="90"/>
        <v>0.1372237506</v>
      </c>
      <c r="X74" s="124">
        <f t="shared" si="90"/>
        <v>0.1974062392</v>
      </c>
      <c r="Y74" s="124">
        <f t="shared" si="90"/>
        <v>0.214228763</v>
      </c>
      <c r="Z74" s="124">
        <f t="shared" si="90"/>
        <v>0.3068352939</v>
      </c>
      <c r="AA74" s="124">
        <f t="shared" si="90"/>
        <v>0.2261066565</v>
      </c>
      <c r="AB74" s="124">
        <f t="shared" si="90"/>
        <v>0.2055482725</v>
      </c>
      <c r="AC74" s="124">
        <f t="shared" si="90"/>
        <v>0.2160111602</v>
      </c>
      <c r="AD74" s="124">
        <f t="shared" si="90"/>
        <v>0.1915247152</v>
      </c>
      <c r="AE74" s="124">
        <f t="shared" si="90"/>
        <v>0.2112099728</v>
      </c>
      <c r="AF74" s="124">
        <f t="shared" si="90"/>
        <v>0.2010548702</v>
      </c>
      <c r="AG74" s="124">
        <f t="shared" si="90"/>
        <v>0.1899463343</v>
      </c>
      <c r="AH74" s="124">
        <f t="shared" si="90"/>
        <v>0.2262718179</v>
      </c>
      <c r="AI74" s="124">
        <f t="shared" si="90"/>
        <v>0.2436070757</v>
      </c>
      <c r="AJ74" s="124">
        <f t="shared" si="90"/>
        <v>0.2001920499</v>
      </c>
      <c r="AK74" s="124">
        <f t="shared" si="90"/>
        <v>0.2116660234</v>
      </c>
      <c r="AL74" s="124">
        <f t="shared" si="90"/>
        <v>0.2192113764</v>
      </c>
      <c r="AM74" s="124">
        <f t="shared" si="90"/>
        <v>0.2157735588</v>
      </c>
      <c r="AN74" s="124">
        <f t="shared" si="90"/>
        <v>0.2150480235</v>
      </c>
      <c r="AO74" s="124">
        <f t="shared" si="90"/>
        <v>0.2146631877</v>
      </c>
      <c r="AP74" s="124">
        <f t="shared" si="90"/>
        <v>0.2221372267</v>
      </c>
      <c r="AQ74" s="124">
        <f t="shared" si="90"/>
        <v>0.2192151692</v>
      </c>
      <c r="AR74" s="124">
        <f t="shared" si="90"/>
        <v>0.2173755056</v>
      </c>
      <c r="AS74" s="124">
        <f t="shared" si="90"/>
        <v>0.2164906697</v>
      </c>
      <c r="AT74" s="124">
        <f t="shared" si="90"/>
        <v>0.2239647088</v>
      </c>
      <c r="AU74" s="124">
        <f t="shared" si="90"/>
        <v>0.2205426513</v>
      </c>
      <c r="AV74" s="124">
        <f t="shared" si="90"/>
        <v>0.2173755056</v>
      </c>
      <c r="AW74" s="124">
        <f t="shared" si="90"/>
        <v>0.2164906697</v>
      </c>
      <c r="AX74" s="124">
        <f t="shared" si="90"/>
        <v>0.2239647088</v>
      </c>
      <c r="AY74" s="124">
        <f t="shared" si="90"/>
        <v>0.2205426513</v>
      </c>
      <c r="AZ74" s="124">
        <f t="shared" si="90"/>
        <v>0.2173755056</v>
      </c>
      <c r="BA74" s="124">
        <f t="shared" si="90"/>
        <v>0.2164906697</v>
      </c>
      <c r="BB74" s="124">
        <f t="shared" si="90"/>
        <v>0.2239647088</v>
      </c>
      <c r="BC74" s="124">
        <f t="shared" si="90"/>
        <v>0.2205426513</v>
      </c>
      <c r="BD74" s="124">
        <f t="shared" si="90"/>
        <v>0.2173755056</v>
      </c>
      <c r="BE74" s="124">
        <f t="shared" si="90"/>
        <v>0.2164906697</v>
      </c>
      <c r="BF74" s="124">
        <f t="shared" si="90"/>
        <v>0.2239647088</v>
      </c>
      <c r="BG74" s="124">
        <f t="shared" si="90"/>
        <v>0.2205426513</v>
      </c>
      <c r="BH74" s="124">
        <f t="shared" si="90"/>
        <v>0.2173755056</v>
      </c>
      <c r="BI74" s="124">
        <f t="shared" si="90"/>
        <v>0.2164906697</v>
      </c>
      <c r="BJ74" s="124">
        <f t="shared" si="90"/>
        <v>0.2239647088</v>
      </c>
      <c r="BK74" s="124">
        <f t="shared" si="90"/>
        <v>0.2205426513</v>
      </c>
      <c r="BL74" s="124">
        <f t="shared" si="90"/>
        <v>0.2173755056</v>
      </c>
      <c r="BM74" s="124">
        <f t="shared" si="90"/>
        <v>0.2164906697</v>
      </c>
      <c r="BN74" s="124">
        <f t="shared" si="90"/>
        <v>0.2239647088</v>
      </c>
      <c r="BO74" s="124">
        <f t="shared" si="90"/>
        <v>0.2205426513</v>
      </c>
      <c r="BP74" s="124">
        <f t="shared" si="90"/>
        <v>0.2173755056</v>
      </c>
      <c r="BQ74" s="124">
        <f t="shared" si="90"/>
        <v>0.2164906697</v>
      </c>
      <c r="BR74" s="124">
        <f t="shared" si="90"/>
        <v>0.2239647088</v>
      </c>
      <c r="BS74" s="124">
        <f t="shared" si="90"/>
        <v>0.2205426513</v>
      </c>
      <c r="BT74" s="124">
        <f t="shared" si="90"/>
        <v>0.2173755056</v>
      </c>
      <c r="BU74" s="124">
        <f t="shared" si="90"/>
        <v>0.2164906697</v>
      </c>
      <c r="BV74" s="124">
        <f t="shared" si="90"/>
        <v>0.2239647088</v>
      </c>
      <c r="BW74" s="124">
        <f t="shared" si="90"/>
        <v>0.2205426513</v>
      </c>
      <c r="BX74" s="6" t="s">
        <v>35</v>
      </c>
      <c r="BY74" s="124">
        <f t="shared" ref="BY74:CP74" si="91">BY72/BY$20</f>
        <v>0.1412377062</v>
      </c>
      <c r="BZ74" s="124">
        <f t="shared" si="91"/>
        <v>0.1375852975</v>
      </c>
      <c r="CA74" s="124">
        <f t="shared" si="91"/>
        <v>0.1406348605</v>
      </c>
      <c r="CB74" s="124">
        <f t="shared" si="91"/>
        <v>0.1120872951</v>
      </c>
      <c r="CC74" s="124">
        <f t="shared" si="91"/>
        <v>0.1626583491</v>
      </c>
      <c r="CD74" s="124">
        <f t="shared" si="91"/>
        <v>0.2441093444</v>
      </c>
      <c r="CE74" s="124">
        <f t="shared" si="91"/>
        <v>0.2060100622</v>
      </c>
      <c r="CF74" s="124">
        <f t="shared" si="91"/>
        <v>0.2217027993</v>
      </c>
      <c r="CG74" s="124">
        <f t="shared" si="91"/>
        <v>0.2117729894</v>
      </c>
      <c r="CH74" s="124">
        <f t="shared" si="91"/>
        <v>0.2178741215</v>
      </c>
      <c r="CI74" s="124">
        <f t="shared" si="91"/>
        <v>0.2196703414</v>
      </c>
      <c r="CJ74" s="124">
        <f t="shared" si="91"/>
        <v>0.2196703414</v>
      </c>
      <c r="CK74" s="124">
        <f t="shared" si="91"/>
        <v>0.2196703414</v>
      </c>
      <c r="CL74" s="124">
        <f t="shared" si="91"/>
        <v>0.2196703414</v>
      </c>
      <c r="CM74" s="124">
        <f t="shared" si="91"/>
        <v>0.2196703414</v>
      </c>
      <c r="CN74" s="124">
        <f t="shared" si="91"/>
        <v>0.2196703414</v>
      </c>
      <c r="CO74" s="124">
        <f t="shared" si="91"/>
        <v>0.2196703414</v>
      </c>
      <c r="CP74" s="124">
        <f t="shared" si="91"/>
        <v>0.2196703414</v>
      </c>
      <c r="CQ74" s="6" t="s">
        <v>35</v>
      </c>
    </row>
    <row r="75" ht="14.25" customHeight="1">
      <c r="B75" s="10"/>
      <c r="C75" s="9"/>
      <c r="D75" s="60"/>
      <c r="BX75" s="6" t="s">
        <v>35</v>
      </c>
      <c r="CQ75" s="6" t="s">
        <v>35</v>
      </c>
    </row>
    <row r="76" ht="14.25" customHeight="1">
      <c r="B76" s="10" t="str">
        <f>Inputs!B285</f>
        <v>Lucro Bruto per capita (R$ mil mensal per capita)</v>
      </c>
      <c r="C76" s="9"/>
      <c r="D76" s="60"/>
      <c r="E76" s="54">
        <f t="shared" ref="E76:X76" si="92">(E72/E44)*1000/3</f>
        <v>1.553698697</v>
      </c>
      <c r="F76" s="54">
        <f t="shared" si="92"/>
        <v>0.5767416042</v>
      </c>
      <c r="G76" s="54">
        <f t="shared" si="92"/>
        <v>0.8660692059</v>
      </c>
      <c r="H76" s="54">
        <f t="shared" si="92"/>
        <v>1.215517241</v>
      </c>
      <c r="I76" s="54">
        <f t="shared" si="92"/>
        <v>0.7166820088</v>
      </c>
      <c r="J76" s="54">
        <f t="shared" si="92"/>
        <v>0.9175008984</v>
      </c>
      <c r="K76" s="54">
        <f t="shared" si="92"/>
        <v>1.961938083</v>
      </c>
      <c r="L76" s="54">
        <f t="shared" si="92"/>
        <v>1.076852278</v>
      </c>
      <c r="M76" s="54">
        <f t="shared" si="92"/>
        <v>1.32508225</v>
      </c>
      <c r="N76" s="54">
        <f t="shared" si="92"/>
        <v>1.217499717</v>
      </c>
      <c r="O76" s="54">
        <f t="shared" si="92"/>
        <v>1.799271598</v>
      </c>
      <c r="P76" s="54">
        <f t="shared" si="92"/>
        <v>1.203502493</v>
      </c>
      <c r="Q76" s="54">
        <f t="shared" si="92"/>
        <v>-0.8282651072</v>
      </c>
      <c r="R76" s="54">
        <f t="shared" si="92"/>
        <v>1.826919358</v>
      </c>
      <c r="S76" s="54">
        <f t="shared" si="92"/>
        <v>1.957220921</v>
      </c>
      <c r="T76" s="54">
        <f t="shared" si="92"/>
        <v>1.527576975</v>
      </c>
      <c r="U76" s="54">
        <f t="shared" si="92"/>
        <v>2.410734336</v>
      </c>
      <c r="V76" s="54">
        <f t="shared" si="92"/>
        <v>2.214061519</v>
      </c>
      <c r="W76" s="54">
        <f t="shared" si="92"/>
        <v>1.707344985</v>
      </c>
      <c r="X76" s="54">
        <f t="shared" si="92"/>
        <v>2.39084356</v>
      </c>
      <c r="Y76" s="119">
        <f>Inputs!AA286/1000</f>
        <v>2.79178303</v>
      </c>
      <c r="Z76" s="119">
        <f>Inputs!AB286/1000</f>
        <v>3.513747661</v>
      </c>
      <c r="AA76" s="119">
        <f>Inputs!AC286/1000</f>
        <v>3.278798726</v>
      </c>
      <c r="AB76" s="54">
        <f t="shared" ref="AB76:AJ76" si="93">(AB72/AB44)*1000/3</f>
        <v>2.87700876</v>
      </c>
      <c r="AC76" s="54">
        <f t="shared" si="93"/>
        <v>3.165186874</v>
      </c>
      <c r="AD76" s="54">
        <f t="shared" si="93"/>
        <v>2.944037125</v>
      </c>
      <c r="AE76" s="54">
        <f t="shared" si="93"/>
        <v>3.569375818</v>
      </c>
      <c r="AF76" s="54">
        <f t="shared" si="93"/>
        <v>3.387926351</v>
      </c>
      <c r="AG76" s="54">
        <f t="shared" si="93"/>
        <v>2.80533188</v>
      </c>
      <c r="AH76" s="54">
        <f t="shared" si="93"/>
        <v>4.070531367</v>
      </c>
      <c r="AI76" s="54">
        <f t="shared" si="93"/>
        <v>4.667217474</v>
      </c>
      <c r="AJ76" s="54">
        <f t="shared" si="93"/>
        <v>3.553236831</v>
      </c>
      <c r="AK76" s="54">
        <f t="shared" ref="AK76:BW76" si="94">(AK72/7258)*1000/3</f>
        <v>3.446426216</v>
      </c>
      <c r="AL76" s="54">
        <f t="shared" si="94"/>
        <v>3.616089784</v>
      </c>
      <c r="AM76" s="54">
        <f t="shared" si="94"/>
        <v>4.056845576</v>
      </c>
      <c r="AN76" s="54">
        <f t="shared" si="94"/>
        <v>3.801902183</v>
      </c>
      <c r="AO76" s="54">
        <f t="shared" si="94"/>
        <v>3.797955048</v>
      </c>
      <c r="AP76" s="54">
        <f t="shared" si="94"/>
        <v>4.103118787</v>
      </c>
      <c r="AQ76" s="54">
        <f t="shared" si="94"/>
        <v>4.581791584</v>
      </c>
      <c r="AR76" s="54">
        <f t="shared" si="94"/>
        <v>4.251144775</v>
      </c>
      <c r="AS76" s="54">
        <f t="shared" si="94"/>
        <v>4.216154995</v>
      </c>
      <c r="AT76" s="54">
        <f t="shared" si="94"/>
        <v>4.531195538</v>
      </c>
      <c r="AU76" s="54">
        <f t="shared" si="94"/>
        <v>5.036537971</v>
      </c>
      <c r="AV76" s="54">
        <f t="shared" si="94"/>
        <v>4.644946215</v>
      </c>
      <c r="AW76" s="54">
        <f t="shared" si="94"/>
        <v>4.606715184</v>
      </c>
      <c r="AX76" s="54">
        <f t="shared" si="94"/>
        <v>4.95093926</v>
      </c>
      <c r="AY76" s="54">
        <f t="shared" si="94"/>
        <v>5.50309369</v>
      </c>
      <c r="AZ76" s="54">
        <f t="shared" si="94"/>
        <v>5.07522714</v>
      </c>
      <c r="BA76" s="54">
        <f t="shared" si="94"/>
        <v>5.033454608</v>
      </c>
      <c r="BB76" s="54">
        <f t="shared" si="94"/>
        <v>5.409565609</v>
      </c>
      <c r="BC76" s="54">
        <f t="shared" si="94"/>
        <v>6.012868429</v>
      </c>
      <c r="BD76" s="54">
        <f t="shared" si="94"/>
        <v>5.545366799</v>
      </c>
      <c r="BE76" s="54">
        <f t="shared" si="94"/>
        <v>5.499724702</v>
      </c>
      <c r="BF76" s="54">
        <f t="shared" si="94"/>
        <v>5.910676449</v>
      </c>
      <c r="BG76" s="54">
        <f t="shared" si="94"/>
        <v>6.569865749</v>
      </c>
      <c r="BH76" s="54">
        <f t="shared" si="94"/>
        <v>6.059057475</v>
      </c>
      <c r="BI76" s="54">
        <f t="shared" si="94"/>
        <v>6.009187357</v>
      </c>
      <c r="BJ76" s="54">
        <f t="shared" si="94"/>
        <v>6.458207295</v>
      </c>
      <c r="BK76" s="54">
        <f t="shared" si="94"/>
        <v>7.178460076</v>
      </c>
      <c r="BL76" s="54">
        <f t="shared" si="94"/>
        <v>6.62033348</v>
      </c>
      <c r="BM76" s="54">
        <f t="shared" si="94"/>
        <v>6.565843684</v>
      </c>
      <c r="BN76" s="54">
        <f t="shared" si="94"/>
        <v>7.056458229</v>
      </c>
      <c r="BO76" s="54">
        <f t="shared" si="94"/>
        <v>7.843431058</v>
      </c>
      <c r="BP76" s="54">
        <f t="shared" si="94"/>
        <v>7.233602845</v>
      </c>
      <c r="BQ76" s="54">
        <f t="shared" si="94"/>
        <v>7.17406543</v>
      </c>
      <c r="BR76" s="54">
        <f t="shared" si="94"/>
        <v>7.710127666</v>
      </c>
      <c r="BS76" s="54">
        <f t="shared" si="94"/>
        <v>8.570001101</v>
      </c>
      <c r="BT76" s="54">
        <f t="shared" si="94"/>
        <v>7.903681934</v>
      </c>
      <c r="BU76" s="54">
        <f t="shared" si="94"/>
        <v>7.838629317</v>
      </c>
      <c r="BV76" s="54">
        <f t="shared" si="94"/>
        <v>8.424349255</v>
      </c>
      <c r="BW76" s="54">
        <f t="shared" si="94"/>
        <v>9.363876387</v>
      </c>
      <c r="BX76" s="6" t="s">
        <v>35</v>
      </c>
      <c r="BY76" s="54">
        <f>AVERAGE(D76:G76)</f>
        <v>0.9988365025</v>
      </c>
      <c r="BZ76" s="121">
        <f>AVERAGE(H76:K76)</f>
        <v>1.202909558</v>
      </c>
      <c r="CA76" s="121">
        <f>AVERAGE(L76:O76)</f>
        <v>1.354676461</v>
      </c>
      <c r="CB76" s="121">
        <f>AVERAGE(P76:S76)</f>
        <v>1.039844416</v>
      </c>
      <c r="CC76" s="121">
        <f>AVERAGE(T76:W76)</f>
        <v>1.964929454</v>
      </c>
      <c r="CD76" s="121">
        <f>AVERAGE(X76:AA76)</f>
        <v>2.993793244</v>
      </c>
      <c r="CE76" s="121">
        <f>AVERAGE(AB76:AE76)</f>
        <v>3.138902144</v>
      </c>
      <c r="CF76" s="121">
        <f>AVERAGE(AF76:AI76)</f>
        <v>3.732751768</v>
      </c>
      <c r="CG76" s="121">
        <f>AVERAGE(AJ76:AM76)</f>
        <v>3.668149602</v>
      </c>
      <c r="CH76" s="121">
        <f>AVERAGE(AN76:AQ76)</f>
        <v>4.071191901</v>
      </c>
      <c r="CI76" s="121">
        <f>AVERAGE(AR76:AU76)</f>
        <v>4.50875832</v>
      </c>
      <c r="CJ76" s="121">
        <f>AVERAGE(AV76:AY76)</f>
        <v>4.926423587</v>
      </c>
      <c r="CK76" s="121">
        <f>AVERAGE(AZ76:BC76)</f>
        <v>5.382778947</v>
      </c>
      <c r="CL76" s="121">
        <f>AVERAGE(BD76:BG76)</f>
        <v>5.881408425</v>
      </c>
      <c r="CM76" s="121">
        <f>AVERAGE(BH76:BK76)</f>
        <v>6.426228051</v>
      </c>
      <c r="CN76" s="121">
        <f>AVERAGE(BL76:BO76)</f>
        <v>7.021516613</v>
      </c>
      <c r="CO76" s="121">
        <f>AVERAGE(BP76:BS76)</f>
        <v>7.671949261</v>
      </c>
      <c r="CP76" s="121">
        <f>AVERAGE(BT76:BW76)</f>
        <v>8.382634223</v>
      </c>
      <c r="CQ76" s="6" t="s">
        <v>35</v>
      </c>
    </row>
    <row r="77" ht="14.25" customHeight="1">
      <c r="B77" s="10" t="s">
        <v>40</v>
      </c>
      <c r="C77" s="9"/>
      <c r="D77" s="60"/>
      <c r="I77" s="18">
        <f t="shared" ref="I77:BW77" si="95">I76/E76-1</f>
        <v>-0.5387252303</v>
      </c>
      <c r="J77" s="18">
        <f t="shared" si="95"/>
        <v>0.5908352921</v>
      </c>
      <c r="K77" s="18">
        <f t="shared" si="95"/>
        <v>1.265336384</v>
      </c>
      <c r="L77" s="18">
        <f t="shared" si="95"/>
        <v>-0.114078977</v>
      </c>
      <c r="M77" s="18">
        <f t="shared" si="95"/>
        <v>0.8489123955</v>
      </c>
      <c r="N77" s="18">
        <f t="shared" si="95"/>
        <v>0.3269738687</v>
      </c>
      <c r="O77" s="18">
        <f t="shared" si="95"/>
        <v>-0.0829111205</v>
      </c>
      <c r="P77" s="18">
        <f t="shared" si="95"/>
        <v>0.1176115028</v>
      </c>
      <c r="Q77" s="18">
        <f t="shared" si="95"/>
        <v>-1.62506694</v>
      </c>
      <c r="R77" s="18">
        <f t="shared" si="95"/>
        <v>0.5005501299</v>
      </c>
      <c r="S77" s="18">
        <f t="shared" si="95"/>
        <v>0.08778514761</v>
      </c>
      <c r="T77" s="18">
        <f t="shared" si="95"/>
        <v>0.2692761202</v>
      </c>
      <c r="U77" s="18">
        <f t="shared" si="95"/>
        <v>-3.910582995</v>
      </c>
      <c r="V77" s="18">
        <f t="shared" si="95"/>
        <v>0.2119098249</v>
      </c>
      <c r="W77" s="18">
        <f t="shared" si="95"/>
        <v>-0.1276687435</v>
      </c>
      <c r="X77" s="18">
        <f t="shared" si="95"/>
        <v>0.565121496</v>
      </c>
      <c r="Y77" s="18">
        <f t="shared" si="95"/>
        <v>0.1580633288</v>
      </c>
      <c r="Z77" s="18">
        <f t="shared" si="95"/>
        <v>0.5870144668</v>
      </c>
      <c r="AA77" s="18">
        <f t="shared" si="95"/>
        <v>0.9204078579</v>
      </c>
      <c r="AB77" s="18">
        <f t="shared" si="95"/>
        <v>0.2033446306</v>
      </c>
      <c r="AC77" s="18">
        <f t="shared" si="95"/>
        <v>0.1337510257</v>
      </c>
      <c r="AD77" s="18">
        <f t="shared" si="95"/>
        <v>-0.1621375783</v>
      </c>
      <c r="AE77" s="18">
        <f t="shared" si="95"/>
        <v>0.08862303416</v>
      </c>
      <c r="AF77" s="18">
        <f t="shared" si="95"/>
        <v>0.177586387</v>
      </c>
      <c r="AG77" s="18">
        <f t="shared" si="95"/>
        <v>-0.1136915478</v>
      </c>
      <c r="AH77" s="18">
        <f t="shared" si="95"/>
        <v>0.3826358821</v>
      </c>
      <c r="AI77" s="18">
        <f t="shared" si="95"/>
        <v>0.3075724474</v>
      </c>
      <c r="AJ77" s="18">
        <f t="shared" si="95"/>
        <v>0.04879400051</v>
      </c>
      <c r="AK77" s="18">
        <f t="shared" si="95"/>
        <v>0.2285270921</v>
      </c>
      <c r="AL77" s="18">
        <f t="shared" si="95"/>
        <v>-0.111641833</v>
      </c>
      <c r="AM77" s="18">
        <f t="shared" si="95"/>
        <v>-0.1307785423</v>
      </c>
      <c r="AN77" s="18">
        <f t="shared" si="95"/>
        <v>0.06998276885</v>
      </c>
      <c r="AO77" s="18">
        <f t="shared" si="95"/>
        <v>0.1019980727</v>
      </c>
      <c r="AP77" s="18">
        <f t="shared" si="95"/>
        <v>0.1346838804</v>
      </c>
      <c r="AQ77" s="18">
        <f t="shared" si="95"/>
        <v>0.1293975821</v>
      </c>
      <c r="AR77" s="18">
        <f t="shared" si="95"/>
        <v>0.1181625854</v>
      </c>
      <c r="AS77" s="18">
        <f t="shared" si="95"/>
        <v>0.1101118737</v>
      </c>
      <c r="AT77" s="18">
        <f t="shared" si="95"/>
        <v>0.1043296022</v>
      </c>
      <c r="AU77" s="18">
        <f t="shared" si="95"/>
        <v>0.09925077967</v>
      </c>
      <c r="AV77" s="18">
        <f t="shared" si="95"/>
        <v>0.0926342105</v>
      </c>
      <c r="AW77" s="18">
        <f t="shared" si="95"/>
        <v>0.0926342105</v>
      </c>
      <c r="AX77" s="18">
        <f t="shared" si="95"/>
        <v>0.0926342105</v>
      </c>
      <c r="AY77" s="18">
        <f t="shared" si="95"/>
        <v>0.0926342105</v>
      </c>
      <c r="AZ77" s="18">
        <f t="shared" si="95"/>
        <v>0.0926342105</v>
      </c>
      <c r="BA77" s="18">
        <f t="shared" si="95"/>
        <v>0.0926342105</v>
      </c>
      <c r="BB77" s="18">
        <f t="shared" si="95"/>
        <v>0.0926342105</v>
      </c>
      <c r="BC77" s="18">
        <f t="shared" si="95"/>
        <v>0.0926342105</v>
      </c>
      <c r="BD77" s="18">
        <f t="shared" si="95"/>
        <v>0.0926342105</v>
      </c>
      <c r="BE77" s="18">
        <f t="shared" si="95"/>
        <v>0.0926342105</v>
      </c>
      <c r="BF77" s="18">
        <f t="shared" si="95"/>
        <v>0.0926342105</v>
      </c>
      <c r="BG77" s="18">
        <f t="shared" si="95"/>
        <v>0.0926342105</v>
      </c>
      <c r="BH77" s="18">
        <f t="shared" si="95"/>
        <v>0.0926342105</v>
      </c>
      <c r="BI77" s="18">
        <f t="shared" si="95"/>
        <v>0.0926342105</v>
      </c>
      <c r="BJ77" s="18">
        <f t="shared" si="95"/>
        <v>0.0926342105</v>
      </c>
      <c r="BK77" s="18">
        <f t="shared" si="95"/>
        <v>0.0926342105</v>
      </c>
      <c r="BL77" s="18">
        <f t="shared" si="95"/>
        <v>0.0926342105</v>
      </c>
      <c r="BM77" s="18">
        <f t="shared" si="95"/>
        <v>0.0926342105</v>
      </c>
      <c r="BN77" s="18">
        <f t="shared" si="95"/>
        <v>0.0926342105</v>
      </c>
      <c r="BO77" s="18">
        <f t="shared" si="95"/>
        <v>0.0926342105</v>
      </c>
      <c r="BP77" s="18">
        <f t="shared" si="95"/>
        <v>0.0926342105</v>
      </c>
      <c r="BQ77" s="18">
        <f t="shared" si="95"/>
        <v>0.0926342105</v>
      </c>
      <c r="BR77" s="18">
        <f t="shared" si="95"/>
        <v>0.0926342105</v>
      </c>
      <c r="BS77" s="18">
        <f t="shared" si="95"/>
        <v>0.0926342105</v>
      </c>
      <c r="BT77" s="18">
        <f t="shared" si="95"/>
        <v>0.0926342105</v>
      </c>
      <c r="BU77" s="18">
        <f t="shared" si="95"/>
        <v>0.0926342105</v>
      </c>
      <c r="BV77" s="18">
        <f t="shared" si="95"/>
        <v>0.0926342105</v>
      </c>
      <c r="BW77" s="18">
        <f t="shared" si="95"/>
        <v>0.0926342105</v>
      </c>
      <c r="BX77" s="6" t="s">
        <v>35</v>
      </c>
      <c r="BZ77" s="18">
        <f t="shared" ref="BZ77:CP77" si="96">BZ76/BY76-1</f>
        <v>0.2043107705</v>
      </c>
      <c r="CA77" s="18">
        <f t="shared" si="96"/>
        <v>0.1261665116</v>
      </c>
      <c r="CB77" s="18">
        <f t="shared" si="96"/>
        <v>-0.2324038644</v>
      </c>
      <c r="CC77" s="18">
        <f t="shared" si="96"/>
        <v>0.8896379337</v>
      </c>
      <c r="CD77" s="18">
        <f t="shared" si="96"/>
        <v>0.5236136028</v>
      </c>
      <c r="CE77" s="18">
        <f t="shared" si="96"/>
        <v>0.04846991357</v>
      </c>
      <c r="CF77" s="18">
        <f t="shared" si="96"/>
        <v>0.1891902316</v>
      </c>
      <c r="CG77" s="18">
        <f t="shared" si="96"/>
        <v>-0.01730684759</v>
      </c>
      <c r="CH77" s="18">
        <f t="shared" si="96"/>
        <v>0.109876189</v>
      </c>
      <c r="CI77" s="18">
        <f t="shared" si="96"/>
        <v>0.1074787015</v>
      </c>
      <c r="CJ77" s="18">
        <f t="shared" si="96"/>
        <v>0.0926342105</v>
      </c>
      <c r="CK77" s="18">
        <f t="shared" si="96"/>
        <v>0.0926342105</v>
      </c>
      <c r="CL77" s="18">
        <f t="shared" si="96"/>
        <v>0.0926342105</v>
      </c>
      <c r="CM77" s="18">
        <f t="shared" si="96"/>
        <v>0.0926342105</v>
      </c>
      <c r="CN77" s="18">
        <f t="shared" si="96"/>
        <v>0.0926342105</v>
      </c>
      <c r="CO77" s="18">
        <f t="shared" si="96"/>
        <v>0.0926342105</v>
      </c>
      <c r="CP77" s="18">
        <f t="shared" si="96"/>
        <v>0.0926342105</v>
      </c>
      <c r="CQ77" s="6" t="s">
        <v>35</v>
      </c>
    </row>
    <row r="78" ht="14.25" customHeight="1">
      <c r="BX78" s="6" t="s">
        <v>35</v>
      </c>
      <c r="CQ78" s="6" t="s">
        <v>35</v>
      </c>
    </row>
    <row r="79" ht="14.25" customHeight="1">
      <c r="B79" s="83" t="str">
        <f t="shared" ref="B79:C79" si="97">B56</f>
        <v>Serviços Industriais</v>
      </c>
      <c r="C79" s="78" t="str">
        <f t="shared" si="97"/>
        <v>[BRL 000]</v>
      </c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6">
        <f>Inputs!Z325/1000</f>
        <v>24.683391</v>
      </c>
      <c r="Y79" s="16">
        <f>Inputs!AA325/1000</f>
        <v>27.411275</v>
      </c>
      <c r="Z79" s="16">
        <f>Inputs!AB325/1000</f>
        <v>36.44</v>
      </c>
      <c r="AA79" s="16">
        <f>Inputs!AC325/1000</f>
        <v>32.112866</v>
      </c>
      <c r="AB79" s="16">
        <f>Inputs!AD325/1000</f>
        <v>37.405</v>
      </c>
      <c r="AC79" s="16">
        <f>Inputs!AE325/1000</f>
        <v>37.58666703</v>
      </c>
      <c r="AD79" s="16">
        <f>Inputs!AF325/1000</f>
        <v>35.56463677</v>
      </c>
      <c r="AE79" s="16">
        <f>Inputs!AG325/1000</f>
        <v>37.77383991</v>
      </c>
      <c r="AF79" s="16">
        <f>Inputs!AH325/1000</f>
        <v>31.65780557</v>
      </c>
      <c r="AG79" s="16">
        <f>Inputs!AI325/1000</f>
        <v>27.78157461</v>
      </c>
      <c r="AH79" s="16">
        <f>Inputs!AJ325/1000</f>
        <v>34.78891285</v>
      </c>
      <c r="AI79" s="16">
        <f>Inputs!AK325/1000</f>
        <v>36.741654</v>
      </c>
      <c r="AJ79" s="16">
        <f>Inputs!AL325/1000</f>
        <v>40.40053969</v>
      </c>
      <c r="AK79" s="16">
        <f t="shared" ref="AK79:BW79" si="98">AK23*AK82</f>
        <v>35.38523762</v>
      </c>
      <c r="AL79" s="16">
        <f t="shared" si="98"/>
        <v>36.81817608</v>
      </c>
      <c r="AM79" s="16">
        <f t="shared" si="98"/>
        <v>41.9639544</v>
      </c>
      <c r="AN79" s="16">
        <f t="shared" si="98"/>
        <v>42.56528096</v>
      </c>
      <c r="AO79" s="16">
        <f t="shared" si="98"/>
        <v>38.45001626</v>
      </c>
      <c r="AP79" s="16">
        <f t="shared" si="98"/>
        <v>41.22673095</v>
      </c>
      <c r="AQ79" s="16">
        <f t="shared" si="98"/>
        <v>46.64991766</v>
      </c>
      <c r="AR79" s="16">
        <f t="shared" si="98"/>
        <v>47.08529665</v>
      </c>
      <c r="AS79" s="16">
        <f t="shared" si="98"/>
        <v>42.32350885</v>
      </c>
      <c r="AT79" s="16">
        <f t="shared" si="98"/>
        <v>45.15640595</v>
      </c>
      <c r="AU79" s="16">
        <f t="shared" si="98"/>
        <v>50.97129595</v>
      </c>
      <c r="AV79" s="16">
        <f t="shared" si="98"/>
        <v>51.44700593</v>
      </c>
      <c r="AW79" s="16">
        <f t="shared" si="98"/>
        <v>46.24411367</v>
      </c>
      <c r="AX79" s="16">
        <f t="shared" si="98"/>
        <v>49.33943396</v>
      </c>
      <c r="AY79" s="16">
        <f t="shared" si="98"/>
        <v>55.69298171</v>
      </c>
      <c r="AZ79" s="16">
        <f t="shared" si="98"/>
        <v>56.21275871</v>
      </c>
      <c r="BA79" s="16">
        <f t="shared" si="98"/>
        <v>50.52790063</v>
      </c>
      <c r="BB79" s="16">
        <f t="shared" si="98"/>
        <v>53.90995347</v>
      </c>
      <c r="BC79" s="16">
        <f t="shared" si="98"/>
        <v>60.8520571</v>
      </c>
      <c r="BD79" s="16">
        <f t="shared" si="98"/>
        <v>61.41998323</v>
      </c>
      <c r="BE79" s="16">
        <f t="shared" si="98"/>
        <v>55.20851282</v>
      </c>
      <c r="BF79" s="16">
        <f t="shared" si="98"/>
        <v>58.90385945</v>
      </c>
      <c r="BG79" s="16">
        <f t="shared" si="98"/>
        <v>66.48903936</v>
      </c>
      <c r="BH79" s="16">
        <f t="shared" si="98"/>
        <v>67.10957489</v>
      </c>
      <c r="BI79" s="16">
        <f t="shared" si="98"/>
        <v>60.32270982</v>
      </c>
      <c r="BJ79" s="16">
        <f t="shared" si="98"/>
        <v>64.36037197</v>
      </c>
      <c r="BK79" s="16">
        <f t="shared" si="98"/>
        <v>72.64819903</v>
      </c>
      <c r="BL79" s="16">
        <f t="shared" si="98"/>
        <v>73.32621737</v>
      </c>
      <c r="BM79" s="16">
        <f t="shared" si="98"/>
        <v>65.91065642</v>
      </c>
      <c r="BN79" s="16">
        <f t="shared" si="98"/>
        <v>70.32234421</v>
      </c>
      <c r="BO79" s="16">
        <f t="shared" si="98"/>
        <v>79.37790759</v>
      </c>
      <c r="BP79" s="16">
        <f t="shared" si="98"/>
        <v>80.11873363</v>
      </c>
      <c r="BQ79" s="16">
        <f t="shared" si="98"/>
        <v>72.01623804</v>
      </c>
      <c r="BR79" s="16">
        <f t="shared" si="98"/>
        <v>76.83659905</v>
      </c>
      <c r="BS79" s="16">
        <f t="shared" si="98"/>
        <v>86.73101739</v>
      </c>
      <c r="BT79" s="16">
        <f t="shared" si="98"/>
        <v>87.54046927</v>
      </c>
      <c r="BU79" s="16">
        <f t="shared" si="98"/>
        <v>78.68740539</v>
      </c>
      <c r="BV79" s="16">
        <f t="shared" si="98"/>
        <v>83.95429674</v>
      </c>
      <c r="BW79" s="16">
        <f t="shared" si="98"/>
        <v>94.76527671</v>
      </c>
      <c r="BX79" s="6" t="s">
        <v>35</v>
      </c>
      <c r="BY79" s="17">
        <f>SUM(D79:G79)</f>
        <v>0</v>
      </c>
      <c r="BZ79" s="17">
        <f>SUM(H79:K79)</f>
        <v>0</v>
      </c>
      <c r="CA79" s="17">
        <f>SUM(L79:O79)</f>
        <v>0</v>
      </c>
      <c r="CB79" s="17">
        <f>SUM(P79:S79)</f>
        <v>0</v>
      </c>
      <c r="CC79" s="17">
        <f>SUM(T79:W79)</f>
        <v>0</v>
      </c>
      <c r="CD79" s="17">
        <f>SUM(X79:AA79)</f>
        <v>120.647532</v>
      </c>
      <c r="CE79" s="17">
        <f>SUM(AB79:AE79)</f>
        <v>148.3301437</v>
      </c>
      <c r="CF79" s="17">
        <f>SUM(AF79:AI79)</f>
        <v>130.969947</v>
      </c>
      <c r="CG79" s="17">
        <f>SUM(AJ79:AM79)</f>
        <v>154.5679078</v>
      </c>
      <c r="CH79" s="17">
        <f>SUM(AN79:AQ79)</f>
        <v>168.8919458</v>
      </c>
      <c r="CI79" s="17">
        <f>SUM(AR79:AU79)</f>
        <v>185.5365074</v>
      </c>
      <c r="CJ79" s="17">
        <f>SUM(AV79:AY79)</f>
        <v>202.7235353</v>
      </c>
      <c r="CK79" s="17">
        <f>SUM(AZ79:BC79)</f>
        <v>221.5026699</v>
      </c>
      <c r="CL79" s="17">
        <f>SUM(BD79:BG79)</f>
        <v>242.0213949</v>
      </c>
      <c r="CM79" s="17">
        <f>SUM(BH79:BK79)</f>
        <v>264.4408557</v>
      </c>
      <c r="CN79" s="17">
        <f>SUM(BL79:BO79)</f>
        <v>288.9371256</v>
      </c>
      <c r="CO79" s="17">
        <f>SUM(BP79:BS79)</f>
        <v>315.7025881</v>
      </c>
      <c r="CP79" s="17">
        <f>SUM(BT79:BW79)</f>
        <v>344.9474481</v>
      </c>
      <c r="CQ79" s="6" t="s">
        <v>35</v>
      </c>
    </row>
    <row r="80" ht="14.25" customHeight="1">
      <c r="B80" s="10" t="str">
        <f t="shared" ref="B80:C80" si="99">B57</f>
        <v>a/a %</v>
      </c>
      <c r="C80" s="9" t="str">
        <f t="shared" si="99"/>
        <v>[%]</v>
      </c>
      <c r="AB80" s="18">
        <f t="shared" ref="AB80:BW80" si="100">AB79/X79-1</f>
        <v>0.515391463</v>
      </c>
      <c r="AC80" s="18">
        <f t="shared" si="100"/>
        <v>0.3712119203</v>
      </c>
      <c r="AD80" s="18">
        <f t="shared" si="100"/>
        <v>-0.02402204254</v>
      </c>
      <c r="AE80" s="18">
        <f t="shared" si="100"/>
        <v>0.1762836711</v>
      </c>
      <c r="AF80" s="18">
        <f t="shared" si="100"/>
        <v>-0.1536477591</v>
      </c>
      <c r="AG80" s="18">
        <f t="shared" si="100"/>
        <v>-0.2608662378</v>
      </c>
      <c r="AH80" s="18">
        <f t="shared" si="100"/>
        <v>-0.02181166427</v>
      </c>
      <c r="AI80" s="18">
        <f t="shared" si="100"/>
        <v>-0.02732541649</v>
      </c>
      <c r="AJ80" s="18">
        <f t="shared" si="100"/>
        <v>0.2761636177</v>
      </c>
      <c r="AK80" s="18">
        <f t="shared" si="100"/>
        <v>0.273694458</v>
      </c>
      <c r="AL80" s="18">
        <f t="shared" si="100"/>
        <v>0.05833074567</v>
      </c>
      <c r="AM80" s="18">
        <f t="shared" si="100"/>
        <v>0.1421356916</v>
      </c>
      <c r="AN80" s="18">
        <f t="shared" si="100"/>
        <v>0.0535819891</v>
      </c>
      <c r="AO80" s="18">
        <f t="shared" si="100"/>
        <v>0.08661178636</v>
      </c>
      <c r="AP80" s="18">
        <f t="shared" si="100"/>
        <v>0.1197385459</v>
      </c>
      <c r="AQ80" s="18">
        <f t="shared" si="100"/>
        <v>0.1116663889</v>
      </c>
      <c r="AR80" s="18">
        <f t="shared" si="100"/>
        <v>0.1061901998</v>
      </c>
      <c r="AS80" s="18">
        <f t="shared" si="100"/>
        <v>0.100740987</v>
      </c>
      <c r="AT80" s="18">
        <f t="shared" si="100"/>
        <v>0.09531861757</v>
      </c>
      <c r="AU80" s="18">
        <f t="shared" si="100"/>
        <v>0.0926342105</v>
      </c>
      <c r="AV80" s="18">
        <f t="shared" si="100"/>
        <v>0.0926342105</v>
      </c>
      <c r="AW80" s="18">
        <f t="shared" si="100"/>
        <v>0.0926342105</v>
      </c>
      <c r="AX80" s="18">
        <f t="shared" si="100"/>
        <v>0.0926342105</v>
      </c>
      <c r="AY80" s="18">
        <f t="shared" si="100"/>
        <v>0.0926342105</v>
      </c>
      <c r="AZ80" s="18">
        <f t="shared" si="100"/>
        <v>0.0926342105</v>
      </c>
      <c r="BA80" s="18">
        <f t="shared" si="100"/>
        <v>0.0926342105</v>
      </c>
      <c r="BB80" s="18">
        <f t="shared" si="100"/>
        <v>0.0926342105</v>
      </c>
      <c r="BC80" s="18">
        <f t="shared" si="100"/>
        <v>0.0926342105</v>
      </c>
      <c r="BD80" s="18">
        <f t="shared" si="100"/>
        <v>0.0926342105</v>
      </c>
      <c r="BE80" s="18">
        <f t="shared" si="100"/>
        <v>0.0926342105</v>
      </c>
      <c r="BF80" s="18">
        <f t="shared" si="100"/>
        <v>0.0926342105</v>
      </c>
      <c r="BG80" s="18">
        <f t="shared" si="100"/>
        <v>0.0926342105</v>
      </c>
      <c r="BH80" s="18">
        <f t="shared" si="100"/>
        <v>0.0926342105</v>
      </c>
      <c r="BI80" s="18">
        <f t="shared" si="100"/>
        <v>0.0926342105</v>
      </c>
      <c r="BJ80" s="18">
        <f t="shared" si="100"/>
        <v>0.0926342105</v>
      </c>
      <c r="BK80" s="18">
        <f t="shared" si="100"/>
        <v>0.0926342105</v>
      </c>
      <c r="BL80" s="18">
        <f t="shared" si="100"/>
        <v>0.0926342105</v>
      </c>
      <c r="BM80" s="18">
        <f t="shared" si="100"/>
        <v>0.0926342105</v>
      </c>
      <c r="BN80" s="18">
        <f t="shared" si="100"/>
        <v>0.0926342105</v>
      </c>
      <c r="BO80" s="18">
        <f t="shared" si="100"/>
        <v>0.0926342105</v>
      </c>
      <c r="BP80" s="18">
        <f t="shared" si="100"/>
        <v>0.0926342105</v>
      </c>
      <c r="BQ80" s="18">
        <f t="shared" si="100"/>
        <v>0.0926342105</v>
      </c>
      <c r="BR80" s="18">
        <f t="shared" si="100"/>
        <v>0.0926342105</v>
      </c>
      <c r="BS80" s="18">
        <f t="shared" si="100"/>
        <v>0.0926342105</v>
      </c>
      <c r="BT80" s="18">
        <f t="shared" si="100"/>
        <v>0.0926342105</v>
      </c>
      <c r="BU80" s="18">
        <f t="shared" si="100"/>
        <v>0.0926342105</v>
      </c>
      <c r="BV80" s="18">
        <f t="shared" si="100"/>
        <v>0.0926342105</v>
      </c>
      <c r="BW80" s="18">
        <f t="shared" si="100"/>
        <v>0.0926342105</v>
      </c>
      <c r="BX80" s="6" t="s">
        <v>35</v>
      </c>
      <c r="BY80" s="19"/>
      <c r="BZ80" s="19"/>
      <c r="CA80" s="19"/>
      <c r="CB80" s="19"/>
      <c r="CC80" s="19"/>
      <c r="CD80" s="19"/>
      <c r="CE80" s="19">
        <f t="shared" ref="CE80:CP80" si="101">CE79/CD79-1</f>
        <v>0.2294502942</v>
      </c>
      <c r="CF80" s="19">
        <f t="shared" si="101"/>
        <v>-0.1170375504</v>
      </c>
      <c r="CG80" s="19">
        <f t="shared" si="101"/>
        <v>0.1801784401</v>
      </c>
      <c r="CH80" s="19">
        <f t="shared" si="101"/>
        <v>0.09267148816</v>
      </c>
      <c r="CI80" s="19">
        <f t="shared" si="101"/>
        <v>0.09855154127</v>
      </c>
      <c r="CJ80" s="19">
        <f t="shared" si="101"/>
        <v>0.0926342105</v>
      </c>
      <c r="CK80" s="19">
        <f t="shared" si="101"/>
        <v>0.0926342105</v>
      </c>
      <c r="CL80" s="19">
        <f t="shared" si="101"/>
        <v>0.0926342105</v>
      </c>
      <c r="CM80" s="19">
        <f t="shared" si="101"/>
        <v>0.0926342105</v>
      </c>
      <c r="CN80" s="19">
        <f t="shared" si="101"/>
        <v>0.0926342105</v>
      </c>
      <c r="CO80" s="19">
        <f t="shared" si="101"/>
        <v>0.0926342105</v>
      </c>
      <c r="CP80" s="19">
        <f t="shared" si="101"/>
        <v>0.0926342105</v>
      </c>
      <c r="CQ80" s="6" t="s">
        <v>35</v>
      </c>
    </row>
    <row r="81" ht="14.25" hidden="1" customHeight="1">
      <c r="B81" s="10" t="s">
        <v>195</v>
      </c>
      <c r="C81" s="9" t="str">
        <f>C58</f>
        <v>[%]</v>
      </c>
      <c r="X81" s="18">
        <f t="shared" ref="X81:BW81" si="102">X79/X$20</f>
        <v>0.1909179023</v>
      </c>
      <c r="Y81" s="18">
        <f t="shared" si="102"/>
        <v>0.1490213519</v>
      </c>
      <c r="Z81" s="18">
        <f t="shared" si="102"/>
        <v>0.1432167913</v>
      </c>
      <c r="AA81" s="18">
        <f t="shared" si="102"/>
        <v>0.1306329625</v>
      </c>
      <c r="AB81" s="18">
        <f t="shared" si="102"/>
        <v>0.1550388807</v>
      </c>
      <c r="AC81" s="18">
        <f t="shared" si="102"/>
        <v>0.1480171669</v>
      </c>
      <c r="AD81" s="18">
        <f t="shared" si="102"/>
        <v>0.1322319275</v>
      </c>
      <c r="AE81" s="18">
        <f t="shared" si="102"/>
        <v>0.1338273258</v>
      </c>
      <c r="AF81" s="18">
        <f t="shared" si="102"/>
        <v>0.1462719824</v>
      </c>
      <c r="AG81" s="18">
        <f t="shared" si="102"/>
        <v>0.1353478058</v>
      </c>
      <c r="AH81" s="18">
        <f t="shared" si="102"/>
        <v>0.08859440026</v>
      </c>
      <c r="AI81" s="18">
        <f t="shared" si="102"/>
        <v>0.08754422057</v>
      </c>
      <c r="AJ81" s="18">
        <f t="shared" si="102"/>
        <v>0.1095325997</v>
      </c>
      <c r="AK81" s="18">
        <f t="shared" si="102"/>
        <v>0.0998081632</v>
      </c>
      <c r="AL81" s="18">
        <f t="shared" si="102"/>
        <v>0.1025056811</v>
      </c>
      <c r="AM81" s="18">
        <f t="shared" si="102"/>
        <v>0.1025056811</v>
      </c>
      <c r="AN81" s="18">
        <f t="shared" si="102"/>
        <v>0.1105736898</v>
      </c>
      <c r="AO81" s="18">
        <f t="shared" si="102"/>
        <v>0.0998081632</v>
      </c>
      <c r="AP81" s="18">
        <f t="shared" si="102"/>
        <v>0.1025056811</v>
      </c>
      <c r="AQ81" s="18">
        <f t="shared" si="102"/>
        <v>0.1025056811</v>
      </c>
      <c r="AR81" s="18">
        <f t="shared" si="102"/>
        <v>0.1105736898</v>
      </c>
      <c r="AS81" s="18">
        <f t="shared" si="102"/>
        <v>0.0998081632</v>
      </c>
      <c r="AT81" s="18">
        <f t="shared" si="102"/>
        <v>0.1025056811</v>
      </c>
      <c r="AU81" s="18">
        <f t="shared" si="102"/>
        <v>0.1025056811</v>
      </c>
      <c r="AV81" s="18">
        <f t="shared" si="102"/>
        <v>0.1105736898</v>
      </c>
      <c r="AW81" s="18">
        <f t="shared" si="102"/>
        <v>0.0998081632</v>
      </c>
      <c r="AX81" s="18">
        <f t="shared" si="102"/>
        <v>0.1025056811</v>
      </c>
      <c r="AY81" s="18">
        <f t="shared" si="102"/>
        <v>0.1025056811</v>
      </c>
      <c r="AZ81" s="18">
        <f t="shared" si="102"/>
        <v>0.1105736898</v>
      </c>
      <c r="BA81" s="18">
        <f t="shared" si="102"/>
        <v>0.0998081632</v>
      </c>
      <c r="BB81" s="18">
        <f t="shared" si="102"/>
        <v>0.1025056811</v>
      </c>
      <c r="BC81" s="18">
        <f t="shared" si="102"/>
        <v>0.1025056811</v>
      </c>
      <c r="BD81" s="18">
        <f t="shared" si="102"/>
        <v>0.1105736898</v>
      </c>
      <c r="BE81" s="18">
        <f t="shared" si="102"/>
        <v>0.0998081632</v>
      </c>
      <c r="BF81" s="18">
        <f t="shared" si="102"/>
        <v>0.1025056811</v>
      </c>
      <c r="BG81" s="18">
        <f t="shared" si="102"/>
        <v>0.1025056811</v>
      </c>
      <c r="BH81" s="18">
        <f t="shared" si="102"/>
        <v>0.1105736898</v>
      </c>
      <c r="BI81" s="18">
        <f t="shared" si="102"/>
        <v>0.0998081632</v>
      </c>
      <c r="BJ81" s="18">
        <f t="shared" si="102"/>
        <v>0.1025056811</v>
      </c>
      <c r="BK81" s="18">
        <f t="shared" si="102"/>
        <v>0.1025056811</v>
      </c>
      <c r="BL81" s="18">
        <f t="shared" si="102"/>
        <v>0.1105736898</v>
      </c>
      <c r="BM81" s="18">
        <f t="shared" si="102"/>
        <v>0.0998081632</v>
      </c>
      <c r="BN81" s="18">
        <f t="shared" si="102"/>
        <v>0.1025056811</v>
      </c>
      <c r="BO81" s="18">
        <f t="shared" si="102"/>
        <v>0.1025056811</v>
      </c>
      <c r="BP81" s="18">
        <f t="shared" si="102"/>
        <v>0.1105736898</v>
      </c>
      <c r="BQ81" s="18">
        <f t="shared" si="102"/>
        <v>0.0998081632</v>
      </c>
      <c r="BR81" s="18">
        <f t="shared" si="102"/>
        <v>0.1025056811</v>
      </c>
      <c r="BS81" s="18">
        <f t="shared" si="102"/>
        <v>0.1025056811</v>
      </c>
      <c r="BT81" s="18">
        <f t="shared" si="102"/>
        <v>0.1105736898</v>
      </c>
      <c r="BU81" s="18">
        <f t="shared" si="102"/>
        <v>0.0998081632</v>
      </c>
      <c r="BV81" s="18">
        <f t="shared" si="102"/>
        <v>0.1025056811</v>
      </c>
      <c r="BW81" s="18">
        <f t="shared" si="102"/>
        <v>0.1025056811</v>
      </c>
      <c r="BX81" s="6" t="s">
        <v>35</v>
      </c>
      <c r="CE81" s="19">
        <f t="shared" ref="CE81:CP81" si="103">CE79/CE$20</f>
        <v>0.1417513061</v>
      </c>
      <c r="CF81" s="19">
        <f t="shared" si="103"/>
        <v>0.1061292812</v>
      </c>
      <c r="CG81" s="19">
        <f t="shared" si="103"/>
        <v>0.1036018942</v>
      </c>
      <c r="CH81" s="19">
        <f t="shared" si="103"/>
        <v>0.1037754928</v>
      </c>
      <c r="CI81" s="19">
        <f t="shared" si="103"/>
        <v>0.1037876397</v>
      </c>
      <c r="CJ81" s="19">
        <f t="shared" si="103"/>
        <v>0.1037876397</v>
      </c>
      <c r="CK81" s="19">
        <f t="shared" si="103"/>
        <v>0.1037876397</v>
      </c>
      <c r="CL81" s="19">
        <f t="shared" si="103"/>
        <v>0.1037876397</v>
      </c>
      <c r="CM81" s="19">
        <f t="shared" si="103"/>
        <v>0.1037876397</v>
      </c>
      <c r="CN81" s="19">
        <f t="shared" si="103"/>
        <v>0.1037876397</v>
      </c>
      <c r="CO81" s="19">
        <f t="shared" si="103"/>
        <v>0.1037876397</v>
      </c>
      <c r="CP81" s="19">
        <f t="shared" si="103"/>
        <v>0.1037876397</v>
      </c>
      <c r="CQ81" s="6" t="s">
        <v>35</v>
      </c>
    </row>
    <row r="82" ht="14.25" customHeight="1">
      <c r="B82" s="10" t="s">
        <v>44</v>
      </c>
      <c r="C82" s="9" t="str">
        <f>C81</f>
        <v>[%]</v>
      </c>
      <c r="X82" s="18">
        <f t="shared" ref="X82:AJ82" si="104">X79/X23</f>
        <v>0.2006953088</v>
      </c>
      <c r="Y82" s="18">
        <f t="shared" si="104"/>
        <v>0.1787229394</v>
      </c>
      <c r="Z82" s="18">
        <f t="shared" si="104"/>
        <v>0.2167202917</v>
      </c>
      <c r="AA82" s="18">
        <f t="shared" si="104"/>
        <v>0.1833419794</v>
      </c>
      <c r="AB82" s="18">
        <f t="shared" si="104"/>
        <v>0.1968042007</v>
      </c>
      <c r="AC82" s="18">
        <f t="shared" si="104"/>
        <v>0.1896423943</v>
      </c>
      <c r="AD82" s="18">
        <f t="shared" si="104"/>
        <v>0.165715184</v>
      </c>
      <c r="AE82" s="18">
        <f t="shared" si="104"/>
        <v>0.1774648416</v>
      </c>
      <c r="AF82" s="18">
        <f t="shared" si="104"/>
        <v>0.1948375277</v>
      </c>
      <c r="AG82" s="18">
        <f t="shared" si="104"/>
        <v>0.1944999362</v>
      </c>
      <c r="AH82" s="18">
        <f t="shared" si="104"/>
        <v>0.1942518654</v>
      </c>
      <c r="AI82" s="18">
        <f t="shared" si="104"/>
        <v>0.1818621728</v>
      </c>
      <c r="AJ82" s="18">
        <f t="shared" si="104"/>
        <v>0.2049545043</v>
      </c>
      <c r="AK82" s="31">
        <v>0.185</v>
      </c>
      <c r="AL82" s="31">
        <v>0.19</v>
      </c>
      <c r="AM82" s="31">
        <v>0.19</v>
      </c>
      <c r="AN82" s="31">
        <f t="shared" ref="AN82:BW82" si="105">AJ82</f>
        <v>0.2049545043</v>
      </c>
      <c r="AO82" s="31">
        <f t="shared" si="105"/>
        <v>0.185</v>
      </c>
      <c r="AP82" s="31">
        <f t="shared" si="105"/>
        <v>0.19</v>
      </c>
      <c r="AQ82" s="31">
        <f t="shared" si="105"/>
        <v>0.19</v>
      </c>
      <c r="AR82" s="31">
        <f t="shared" si="105"/>
        <v>0.2049545043</v>
      </c>
      <c r="AS82" s="31">
        <f t="shared" si="105"/>
        <v>0.185</v>
      </c>
      <c r="AT82" s="31">
        <f t="shared" si="105"/>
        <v>0.19</v>
      </c>
      <c r="AU82" s="31">
        <f t="shared" si="105"/>
        <v>0.19</v>
      </c>
      <c r="AV82" s="31">
        <f t="shared" si="105"/>
        <v>0.2049545043</v>
      </c>
      <c r="AW82" s="31">
        <f t="shared" si="105"/>
        <v>0.185</v>
      </c>
      <c r="AX82" s="31">
        <f t="shared" si="105"/>
        <v>0.19</v>
      </c>
      <c r="AY82" s="31">
        <f t="shared" si="105"/>
        <v>0.19</v>
      </c>
      <c r="AZ82" s="31">
        <f t="shared" si="105"/>
        <v>0.2049545043</v>
      </c>
      <c r="BA82" s="31">
        <f t="shared" si="105"/>
        <v>0.185</v>
      </c>
      <c r="BB82" s="31">
        <f t="shared" si="105"/>
        <v>0.19</v>
      </c>
      <c r="BC82" s="31">
        <f t="shared" si="105"/>
        <v>0.19</v>
      </c>
      <c r="BD82" s="31">
        <f t="shared" si="105"/>
        <v>0.2049545043</v>
      </c>
      <c r="BE82" s="31">
        <f t="shared" si="105"/>
        <v>0.185</v>
      </c>
      <c r="BF82" s="31">
        <f t="shared" si="105"/>
        <v>0.19</v>
      </c>
      <c r="BG82" s="31">
        <f t="shared" si="105"/>
        <v>0.19</v>
      </c>
      <c r="BH82" s="31">
        <f t="shared" si="105"/>
        <v>0.2049545043</v>
      </c>
      <c r="BI82" s="31">
        <f t="shared" si="105"/>
        <v>0.185</v>
      </c>
      <c r="BJ82" s="31">
        <f t="shared" si="105"/>
        <v>0.19</v>
      </c>
      <c r="BK82" s="31">
        <f t="shared" si="105"/>
        <v>0.19</v>
      </c>
      <c r="BL82" s="31">
        <f t="shared" si="105"/>
        <v>0.2049545043</v>
      </c>
      <c r="BM82" s="31">
        <f t="shared" si="105"/>
        <v>0.185</v>
      </c>
      <c r="BN82" s="31">
        <f t="shared" si="105"/>
        <v>0.19</v>
      </c>
      <c r="BO82" s="31">
        <f t="shared" si="105"/>
        <v>0.19</v>
      </c>
      <c r="BP82" s="31">
        <f t="shared" si="105"/>
        <v>0.2049545043</v>
      </c>
      <c r="BQ82" s="31">
        <f t="shared" si="105"/>
        <v>0.185</v>
      </c>
      <c r="BR82" s="31">
        <f t="shared" si="105"/>
        <v>0.19</v>
      </c>
      <c r="BS82" s="31">
        <f t="shared" si="105"/>
        <v>0.19</v>
      </c>
      <c r="BT82" s="31">
        <f t="shared" si="105"/>
        <v>0.2049545043</v>
      </c>
      <c r="BU82" s="31">
        <f t="shared" si="105"/>
        <v>0.185</v>
      </c>
      <c r="BV82" s="31">
        <f t="shared" si="105"/>
        <v>0.19</v>
      </c>
      <c r="BW82" s="31">
        <f t="shared" si="105"/>
        <v>0.19</v>
      </c>
      <c r="BX82" s="6" t="s">
        <v>35</v>
      </c>
      <c r="CE82" s="18">
        <f t="shared" ref="CE82:CP82" si="106">CE79/CE23</f>
        <v>0.1818383851</v>
      </c>
      <c r="CF82" s="18">
        <f t="shared" si="106"/>
        <v>0.1907956345</v>
      </c>
      <c r="CG82" s="18">
        <f t="shared" si="106"/>
        <v>0.1924799294</v>
      </c>
      <c r="CH82" s="18">
        <f t="shared" si="106"/>
        <v>0.1923536668</v>
      </c>
      <c r="CI82" s="18">
        <f t="shared" si="106"/>
        <v>0.1923761817</v>
      </c>
      <c r="CJ82" s="18">
        <f t="shared" si="106"/>
        <v>0.1923761817</v>
      </c>
      <c r="CK82" s="18">
        <f t="shared" si="106"/>
        <v>0.1923761817</v>
      </c>
      <c r="CL82" s="18">
        <f t="shared" si="106"/>
        <v>0.1923761817</v>
      </c>
      <c r="CM82" s="18">
        <f t="shared" si="106"/>
        <v>0.1923761817</v>
      </c>
      <c r="CN82" s="18">
        <f t="shared" si="106"/>
        <v>0.1923761817</v>
      </c>
      <c r="CO82" s="18">
        <f t="shared" si="106"/>
        <v>0.1923761817</v>
      </c>
      <c r="CP82" s="18">
        <f t="shared" si="106"/>
        <v>0.1923761817</v>
      </c>
      <c r="CQ82" s="6" t="s">
        <v>35</v>
      </c>
    </row>
    <row r="83" ht="14.25" customHeight="1">
      <c r="B83" s="10"/>
      <c r="C83" s="60"/>
      <c r="BX83" s="6" t="s">
        <v>35</v>
      </c>
      <c r="CQ83" s="6" t="s">
        <v>35</v>
      </c>
    </row>
    <row r="84" ht="14.25" customHeight="1">
      <c r="B84" s="83" t="str">
        <f t="shared" ref="B84:C84" si="107">B60</f>
        <v>Infraestrutura</v>
      </c>
      <c r="C84" s="78" t="str">
        <f t="shared" si="107"/>
        <v>[BRL 000]</v>
      </c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6">
        <f>Inputs!Z326/1000</f>
        <v>-0.405161</v>
      </c>
      <c r="Y84" s="16">
        <f>Inputs!AA326/1000</f>
        <v>8.192014</v>
      </c>
      <c r="Z84" s="16">
        <f>Inputs!AB326/1000</f>
        <v>37.97</v>
      </c>
      <c r="AA84" s="16">
        <f>Inputs!AC326/1000</f>
        <v>16.988475</v>
      </c>
      <c r="AB84" s="16">
        <f>Inputs!AD326/1000</f>
        <v>6.863</v>
      </c>
      <c r="AC84" s="16">
        <f>Inputs!AE326/1000</f>
        <v>11.98138634</v>
      </c>
      <c r="AD84" s="16">
        <f>Inputs!AF326/1000</f>
        <v>10.72450237</v>
      </c>
      <c r="AE84" s="16">
        <f>Inputs!AG326/1000</f>
        <v>15.05969668</v>
      </c>
      <c r="AF84" s="16">
        <f>Inputs!AH326/1000</f>
        <v>5.68509601</v>
      </c>
      <c r="AG84" s="16">
        <f>Inputs!AI326/1000</f>
        <v>5.17179093</v>
      </c>
      <c r="AH84" s="16">
        <f>Inputs!AJ326/1000</f>
        <v>13.31061193</v>
      </c>
      <c r="AI84" s="16">
        <f>Inputs!AK326/1000</f>
        <v>30.73192568</v>
      </c>
      <c r="AJ84" s="16">
        <f>Inputs!AL326/1000</f>
        <v>8.31427635</v>
      </c>
      <c r="AK84" s="16">
        <f t="shared" ref="AK84:BW84" si="108">AK$27*AK87</f>
        <v>10.86918643</v>
      </c>
      <c r="AL84" s="16">
        <f t="shared" si="108"/>
        <v>11.75570236</v>
      </c>
      <c r="AM84" s="16">
        <f t="shared" si="108"/>
        <v>14.00632237</v>
      </c>
      <c r="AN84" s="16">
        <f t="shared" si="108"/>
        <v>9.623736224</v>
      </c>
      <c r="AO84" s="16">
        <f t="shared" si="108"/>
        <v>11.94241499</v>
      </c>
      <c r="AP84" s="16">
        <f t="shared" si="108"/>
        <v>13.27226068</v>
      </c>
      <c r="AQ84" s="16">
        <f t="shared" si="108"/>
        <v>15.92835734</v>
      </c>
      <c r="AR84" s="16">
        <f t="shared" si="108"/>
        <v>11.07151</v>
      </c>
      <c r="AS84" s="16">
        <f t="shared" si="108"/>
        <v>13.35752995</v>
      </c>
      <c r="AT84" s="16">
        <f t="shared" si="108"/>
        <v>14.75761717</v>
      </c>
      <c r="AU84" s="16">
        <f t="shared" si="108"/>
        <v>17.40386814</v>
      </c>
      <c r="AV84" s="16">
        <f t="shared" si="108"/>
        <v>12.09711059</v>
      </c>
      <c r="AW84" s="16">
        <f t="shared" si="108"/>
        <v>14.59489419</v>
      </c>
      <c r="AX84" s="16">
        <f t="shared" si="108"/>
        <v>16.12467738</v>
      </c>
      <c r="AY84" s="16">
        <f t="shared" si="108"/>
        <v>19.01606173</v>
      </c>
      <c r="AZ84" s="16">
        <f t="shared" si="108"/>
        <v>13.21771688</v>
      </c>
      <c r="BA84" s="16">
        <f t="shared" si="108"/>
        <v>15.94688069</v>
      </c>
      <c r="BB84" s="16">
        <f t="shared" si="108"/>
        <v>17.61837414</v>
      </c>
      <c r="BC84" s="16">
        <f t="shared" si="108"/>
        <v>20.77759959</v>
      </c>
      <c r="BD84" s="16">
        <f t="shared" si="108"/>
        <v>14.44212965</v>
      </c>
      <c r="BE84" s="16">
        <f t="shared" si="108"/>
        <v>17.42410739</v>
      </c>
      <c r="BF84" s="16">
        <f t="shared" si="108"/>
        <v>19.25043832</v>
      </c>
      <c r="BG84" s="16">
        <f t="shared" si="108"/>
        <v>22.70231613</v>
      </c>
      <c r="BH84" s="16">
        <f t="shared" si="108"/>
        <v>15.77996493</v>
      </c>
      <c r="BI84" s="16">
        <f t="shared" si="108"/>
        <v>19.03817582</v>
      </c>
      <c r="BJ84" s="16">
        <f t="shared" si="108"/>
        <v>21.03368747</v>
      </c>
      <c r="BK84" s="16">
        <f t="shared" si="108"/>
        <v>24.80532726</v>
      </c>
      <c r="BL84" s="16">
        <f t="shared" si="108"/>
        <v>17.24172952</v>
      </c>
      <c r="BM84" s="16">
        <f t="shared" si="108"/>
        <v>20.80176221</v>
      </c>
      <c r="BN84" s="16">
        <f t="shared" si="108"/>
        <v>22.98212651</v>
      </c>
      <c r="BO84" s="16">
        <f t="shared" si="108"/>
        <v>27.10314917</v>
      </c>
      <c r="BP84" s="16">
        <f t="shared" si="108"/>
        <v>18.83890352</v>
      </c>
      <c r="BQ84" s="16">
        <f t="shared" si="108"/>
        <v>22.72871703</v>
      </c>
      <c r="BR84" s="16">
        <f t="shared" si="108"/>
        <v>25.11105765</v>
      </c>
      <c r="BS84" s="16">
        <f t="shared" si="108"/>
        <v>29.61382799</v>
      </c>
      <c r="BT84" s="16">
        <f t="shared" si="108"/>
        <v>20.58403048</v>
      </c>
      <c r="BU84" s="16">
        <f t="shared" si="108"/>
        <v>24.83417378</v>
      </c>
      <c r="BV84" s="16">
        <f t="shared" si="108"/>
        <v>27.43720065</v>
      </c>
      <c r="BW84" s="16">
        <f t="shared" si="108"/>
        <v>32.35708157</v>
      </c>
      <c r="BX84" s="6" t="s">
        <v>35</v>
      </c>
      <c r="BY84" s="17">
        <f>SUM(D84:G84)</f>
        <v>0</v>
      </c>
      <c r="BZ84" s="17">
        <f>SUM(H84:K84)</f>
        <v>0</v>
      </c>
      <c r="CA84" s="17">
        <f>SUM(L84:O84)</f>
        <v>0</v>
      </c>
      <c r="CB84" s="17">
        <f>SUM(P84:S84)</f>
        <v>0</v>
      </c>
      <c r="CC84" s="17">
        <f>SUM(T84:W84)</f>
        <v>0</v>
      </c>
      <c r="CD84" s="17">
        <f>SUM(X84:AA84)</f>
        <v>62.745328</v>
      </c>
      <c r="CE84" s="17">
        <f>SUM(AB84:AE84)</f>
        <v>44.62858539</v>
      </c>
      <c r="CF84" s="17">
        <f>SUM(AF84:AI84)</f>
        <v>54.89942455</v>
      </c>
      <c r="CG84" s="17">
        <f>SUM(AJ84:AM84)</f>
        <v>44.94548752</v>
      </c>
      <c r="CH84" s="17">
        <f>SUM(AN84:AQ84)</f>
        <v>50.76676923</v>
      </c>
      <c r="CI84" s="17">
        <f>SUM(AR84:AU84)</f>
        <v>56.59052526</v>
      </c>
      <c r="CJ84" s="17">
        <f>SUM(AV84:AY84)</f>
        <v>61.83274389</v>
      </c>
      <c r="CK84" s="17">
        <f>SUM(AZ84:BC84)</f>
        <v>67.5605713</v>
      </c>
      <c r="CL84" s="17">
        <f>SUM(BD84:BG84)</f>
        <v>73.81899148</v>
      </c>
      <c r="CM84" s="17">
        <f>SUM(BH84:BK84)</f>
        <v>80.65715548</v>
      </c>
      <c r="CN84" s="17">
        <f>SUM(BL84:BO84)</f>
        <v>88.1287674</v>
      </c>
      <c r="CO84" s="17">
        <f>SUM(BP84:BS84)</f>
        <v>96.29250619</v>
      </c>
      <c r="CP84" s="17">
        <f>SUM(BT84:BW84)</f>
        <v>105.2124865</v>
      </c>
      <c r="CQ84" s="6" t="s">
        <v>35</v>
      </c>
    </row>
    <row r="85" ht="14.25" customHeight="1">
      <c r="B85" s="10" t="str">
        <f t="shared" ref="B85:C85" si="109">B61</f>
        <v>a/a %</v>
      </c>
      <c r="C85" s="9" t="str">
        <f t="shared" si="109"/>
        <v>[%]</v>
      </c>
      <c r="AB85" s="18">
        <f t="shared" ref="AB85:BW85" si="110">AB84/X84-1</f>
        <v>-17.93894526</v>
      </c>
      <c r="AC85" s="18">
        <f t="shared" si="110"/>
        <v>0.4625690752</v>
      </c>
      <c r="AD85" s="18">
        <f t="shared" si="110"/>
        <v>-0.7175532692</v>
      </c>
      <c r="AE85" s="18">
        <f t="shared" si="110"/>
        <v>-0.113534518</v>
      </c>
      <c r="AF85" s="18">
        <f t="shared" si="110"/>
        <v>-0.1716310637</v>
      </c>
      <c r="AG85" s="18">
        <f t="shared" si="110"/>
        <v>-0.5683478703</v>
      </c>
      <c r="AH85" s="18">
        <f t="shared" si="110"/>
        <v>0.2411402852</v>
      </c>
      <c r="AI85" s="18">
        <f t="shared" si="110"/>
        <v>1.040673616</v>
      </c>
      <c r="AJ85" s="18">
        <f t="shared" si="110"/>
        <v>0.4624689425</v>
      </c>
      <c r="AK85" s="18">
        <f t="shared" si="110"/>
        <v>1.101629122</v>
      </c>
      <c r="AL85" s="18">
        <f t="shared" si="110"/>
        <v>-0.1168172866</v>
      </c>
      <c r="AM85" s="18">
        <f t="shared" si="110"/>
        <v>-0.5442419548</v>
      </c>
      <c r="AN85" s="18">
        <f t="shared" si="110"/>
        <v>0.1574953513</v>
      </c>
      <c r="AO85" s="18">
        <f t="shared" si="110"/>
        <v>0.0987404682</v>
      </c>
      <c r="AP85" s="18">
        <f t="shared" si="110"/>
        <v>0.1290061856</v>
      </c>
      <c r="AQ85" s="18">
        <f t="shared" si="110"/>
        <v>0.1372262405</v>
      </c>
      <c r="AR85" s="18">
        <f t="shared" si="110"/>
        <v>0.1504378078</v>
      </c>
      <c r="AS85" s="18">
        <f t="shared" si="110"/>
        <v>0.1184948739</v>
      </c>
      <c r="AT85" s="18">
        <f t="shared" si="110"/>
        <v>0.1119143542</v>
      </c>
      <c r="AU85" s="18">
        <f t="shared" si="110"/>
        <v>0.0926342105</v>
      </c>
      <c r="AV85" s="18">
        <f t="shared" si="110"/>
        <v>0.0926342105</v>
      </c>
      <c r="AW85" s="18">
        <f t="shared" si="110"/>
        <v>0.0926342105</v>
      </c>
      <c r="AX85" s="18">
        <f t="shared" si="110"/>
        <v>0.0926342105</v>
      </c>
      <c r="AY85" s="18">
        <f t="shared" si="110"/>
        <v>0.0926342105</v>
      </c>
      <c r="AZ85" s="18">
        <f t="shared" si="110"/>
        <v>0.0926342105</v>
      </c>
      <c r="BA85" s="18">
        <f t="shared" si="110"/>
        <v>0.0926342105</v>
      </c>
      <c r="BB85" s="18">
        <f t="shared" si="110"/>
        <v>0.0926342105</v>
      </c>
      <c r="BC85" s="18">
        <f t="shared" si="110"/>
        <v>0.0926342105</v>
      </c>
      <c r="BD85" s="18">
        <f t="shared" si="110"/>
        <v>0.0926342105</v>
      </c>
      <c r="BE85" s="18">
        <f t="shared" si="110"/>
        <v>0.0926342105</v>
      </c>
      <c r="BF85" s="18">
        <f t="shared" si="110"/>
        <v>0.0926342105</v>
      </c>
      <c r="BG85" s="18">
        <f t="shared" si="110"/>
        <v>0.0926342105</v>
      </c>
      <c r="BH85" s="18">
        <f t="shared" si="110"/>
        <v>0.0926342105</v>
      </c>
      <c r="BI85" s="18">
        <f t="shared" si="110"/>
        <v>0.0926342105</v>
      </c>
      <c r="BJ85" s="18">
        <f t="shared" si="110"/>
        <v>0.0926342105</v>
      </c>
      <c r="BK85" s="18">
        <f t="shared" si="110"/>
        <v>0.0926342105</v>
      </c>
      <c r="BL85" s="18">
        <f t="shared" si="110"/>
        <v>0.0926342105</v>
      </c>
      <c r="BM85" s="18">
        <f t="shared" si="110"/>
        <v>0.0926342105</v>
      </c>
      <c r="BN85" s="18">
        <f t="shared" si="110"/>
        <v>0.0926342105</v>
      </c>
      <c r="BO85" s="18">
        <f t="shared" si="110"/>
        <v>0.0926342105</v>
      </c>
      <c r="BP85" s="18">
        <f t="shared" si="110"/>
        <v>0.0926342105</v>
      </c>
      <c r="BQ85" s="18">
        <f t="shared" si="110"/>
        <v>0.0926342105</v>
      </c>
      <c r="BR85" s="18">
        <f t="shared" si="110"/>
        <v>0.0926342105</v>
      </c>
      <c r="BS85" s="18">
        <f t="shared" si="110"/>
        <v>0.0926342105</v>
      </c>
      <c r="BT85" s="18">
        <f t="shared" si="110"/>
        <v>0.0926342105</v>
      </c>
      <c r="BU85" s="18">
        <f t="shared" si="110"/>
        <v>0.0926342105</v>
      </c>
      <c r="BV85" s="18">
        <f t="shared" si="110"/>
        <v>0.0926342105</v>
      </c>
      <c r="BW85" s="18">
        <f t="shared" si="110"/>
        <v>0.0926342105</v>
      </c>
      <c r="BX85" s="6" t="s">
        <v>35</v>
      </c>
      <c r="BY85" s="19"/>
      <c r="BZ85" s="19"/>
      <c r="CA85" s="19"/>
      <c r="CB85" s="19"/>
      <c r="CC85" s="19"/>
      <c r="CD85" s="19"/>
      <c r="CE85" s="19">
        <f t="shared" ref="CE85:CP85" si="111">CE84/CD84-1</f>
        <v>-0.2887345271</v>
      </c>
      <c r="CF85" s="19">
        <f t="shared" si="111"/>
        <v>0.2301403701</v>
      </c>
      <c r="CG85" s="19">
        <f t="shared" si="111"/>
        <v>-0.181312229</v>
      </c>
      <c r="CH85" s="19">
        <f t="shared" si="111"/>
        <v>0.1295187134</v>
      </c>
      <c r="CI85" s="19">
        <f t="shared" si="111"/>
        <v>0.114715908</v>
      </c>
      <c r="CJ85" s="19">
        <f t="shared" si="111"/>
        <v>0.0926342105</v>
      </c>
      <c r="CK85" s="19">
        <f t="shared" si="111"/>
        <v>0.0926342105</v>
      </c>
      <c r="CL85" s="19">
        <f t="shared" si="111"/>
        <v>0.0926342105</v>
      </c>
      <c r="CM85" s="19">
        <f t="shared" si="111"/>
        <v>0.0926342105</v>
      </c>
      <c r="CN85" s="19">
        <f t="shared" si="111"/>
        <v>0.0926342105</v>
      </c>
      <c r="CO85" s="19">
        <f t="shared" si="111"/>
        <v>0.0926342105</v>
      </c>
      <c r="CP85" s="19">
        <f t="shared" si="111"/>
        <v>0.0926342105</v>
      </c>
      <c r="CQ85" s="6" t="s">
        <v>35</v>
      </c>
    </row>
    <row r="86" ht="14.25" hidden="1" customHeight="1">
      <c r="B86" s="10" t="s">
        <v>195</v>
      </c>
      <c r="C86" s="9" t="str">
        <f>C62</f>
        <v>[%]</v>
      </c>
      <c r="X86" s="18">
        <f t="shared" ref="X86:BW86" si="112">X84/X$20</f>
        <v>-0.003133786935</v>
      </c>
      <c r="Y86" s="18">
        <f t="shared" si="112"/>
        <v>0.04453587078</v>
      </c>
      <c r="Z86" s="18">
        <f t="shared" si="112"/>
        <v>0.14923001</v>
      </c>
      <c r="AA86" s="18">
        <f t="shared" si="112"/>
        <v>0.06910796491</v>
      </c>
      <c r="AB86" s="18">
        <f t="shared" si="112"/>
        <v>0.02844624618</v>
      </c>
      <c r="AC86" s="18">
        <f t="shared" si="112"/>
        <v>0.04718297742</v>
      </c>
      <c r="AD86" s="18">
        <f t="shared" si="112"/>
        <v>0.03987448626</v>
      </c>
      <c r="AE86" s="18">
        <f t="shared" si="112"/>
        <v>0.05335435684</v>
      </c>
      <c r="AF86" s="18">
        <f t="shared" si="112"/>
        <v>0.02626746386</v>
      </c>
      <c r="AG86" s="18">
        <f t="shared" si="112"/>
        <v>0.02519621599</v>
      </c>
      <c r="AH86" s="18">
        <f t="shared" si="112"/>
        <v>0.03389716965</v>
      </c>
      <c r="AI86" s="18">
        <f t="shared" si="112"/>
        <v>0.07322486027</v>
      </c>
      <c r="AJ86" s="18">
        <f t="shared" si="112"/>
        <v>0.02254138956</v>
      </c>
      <c r="AK86" s="18">
        <f t="shared" si="112"/>
        <v>0.03065779986</v>
      </c>
      <c r="AL86" s="18">
        <f t="shared" si="112"/>
        <v>0.03272911387</v>
      </c>
      <c r="AM86" s="18">
        <f t="shared" si="112"/>
        <v>0.03421335371</v>
      </c>
      <c r="AN86" s="18">
        <f t="shared" si="112"/>
        <v>0.025</v>
      </c>
      <c r="AO86" s="18">
        <f t="shared" si="112"/>
        <v>0.031</v>
      </c>
      <c r="AP86" s="18">
        <f t="shared" si="112"/>
        <v>0.033</v>
      </c>
      <c r="AQ86" s="18">
        <f t="shared" si="112"/>
        <v>0.035</v>
      </c>
      <c r="AR86" s="18">
        <f t="shared" si="112"/>
        <v>0.026</v>
      </c>
      <c r="AS86" s="18">
        <f t="shared" si="112"/>
        <v>0.0315</v>
      </c>
      <c r="AT86" s="18">
        <f t="shared" si="112"/>
        <v>0.0335</v>
      </c>
      <c r="AU86" s="18">
        <f t="shared" si="112"/>
        <v>0.035</v>
      </c>
      <c r="AV86" s="18">
        <f t="shared" si="112"/>
        <v>0.026</v>
      </c>
      <c r="AW86" s="18">
        <f t="shared" si="112"/>
        <v>0.0315</v>
      </c>
      <c r="AX86" s="18">
        <f t="shared" si="112"/>
        <v>0.0335</v>
      </c>
      <c r="AY86" s="18">
        <f t="shared" si="112"/>
        <v>0.035</v>
      </c>
      <c r="AZ86" s="18">
        <f t="shared" si="112"/>
        <v>0.026</v>
      </c>
      <c r="BA86" s="18">
        <f t="shared" si="112"/>
        <v>0.0315</v>
      </c>
      <c r="BB86" s="18">
        <f t="shared" si="112"/>
        <v>0.0335</v>
      </c>
      <c r="BC86" s="18">
        <f t="shared" si="112"/>
        <v>0.035</v>
      </c>
      <c r="BD86" s="18">
        <f t="shared" si="112"/>
        <v>0.026</v>
      </c>
      <c r="BE86" s="18">
        <f t="shared" si="112"/>
        <v>0.0315</v>
      </c>
      <c r="BF86" s="18">
        <f t="shared" si="112"/>
        <v>0.0335</v>
      </c>
      <c r="BG86" s="18">
        <f t="shared" si="112"/>
        <v>0.035</v>
      </c>
      <c r="BH86" s="18">
        <f t="shared" si="112"/>
        <v>0.026</v>
      </c>
      <c r="BI86" s="18">
        <f t="shared" si="112"/>
        <v>0.0315</v>
      </c>
      <c r="BJ86" s="18">
        <f t="shared" si="112"/>
        <v>0.0335</v>
      </c>
      <c r="BK86" s="18">
        <f t="shared" si="112"/>
        <v>0.035</v>
      </c>
      <c r="BL86" s="18">
        <f t="shared" si="112"/>
        <v>0.026</v>
      </c>
      <c r="BM86" s="18">
        <f t="shared" si="112"/>
        <v>0.0315</v>
      </c>
      <c r="BN86" s="18">
        <f t="shared" si="112"/>
        <v>0.0335</v>
      </c>
      <c r="BO86" s="18">
        <f t="shared" si="112"/>
        <v>0.035</v>
      </c>
      <c r="BP86" s="18">
        <f t="shared" si="112"/>
        <v>0.026</v>
      </c>
      <c r="BQ86" s="18">
        <f t="shared" si="112"/>
        <v>0.0315</v>
      </c>
      <c r="BR86" s="18">
        <f t="shared" si="112"/>
        <v>0.0335</v>
      </c>
      <c r="BS86" s="18">
        <f t="shared" si="112"/>
        <v>0.035</v>
      </c>
      <c r="BT86" s="18">
        <f t="shared" si="112"/>
        <v>0.026</v>
      </c>
      <c r="BU86" s="18">
        <f t="shared" si="112"/>
        <v>0.0315</v>
      </c>
      <c r="BV86" s="18">
        <f t="shared" si="112"/>
        <v>0.0335</v>
      </c>
      <c r="BW86" s="18">
        <f t="shared" si="112"/>
        <v>0.035</v>
      </c>
      <c r="BX86" s="6" t="s">
        <v>35</v>
      </c>
      <c r="CE86" s="19">
        <f t="shared" ref="CE86:CP86" si="113">CE84/CE$20</f>
        <v>0.04264918855</v>
      </c>
      <c r="CF86" s="19">
        <f t="shared" si="113"/>
        <v>0.04448682006</v>
      </c>
      <c r="CG86" s="19">
        <f t="shared" si="113"/>
        <v>0.03012551383</v>
      </c>
      <c r="CH86" s="19">
        <f t="shared" si="113"/>
        <v>0.03119359227</v>
      </c>
      <c r="CI86" s="19">
        <f t="shared" si="113"/>
        <v>0.03165628763</v>
      </c>
      <c r="CJ86" s="19">
        <f t="shared" si="113"/>
        <v>0.03165628763</v>
      </c>
      <c r="CK86" s="19">
        <f t="shared" si="113"/>
        <v>0.03165628763</v>
      </c>
      <c r="CL86" s="19">
        <f t="shared" si="113"/>
        <v>0.03165628763</v>
      </c>
      <c r="CM86" s="19">
        <f t="shared" si="113"/>
        <v>0.03165628763</v>
      </c>
      <c r="CN86" s="19">
        <f t="shared" si="113"/>
        <v>0.03165628763</v>
      </c>
      <c r="CO86" s="19">
        <f t="shared" si="113"/>
        <v>0.03165628763</v>
      </c>
      <c r="CP86" s="19">
        <f t="shared" si="113"/>
        <v>0.03165628763</v>
      </c>
      <c r="CQ86" s="6" t="s">
        <v>35</v>
      </c>
    </row>
    <row r="87" ht="14.25" customHeight="1">
      <c r="B87" s="10" t="s">
        <v>44</v>
      </c>
      <c r="C87" s="9" t="str">
        <f>C86</f>
        <v>[%]</v>
      </c>
      <c r="X87" s="18">
        <f t="shared" ref="X87:AJ87" si="114">X84/X27</f>
        <v>-4.245769017</v>
      </c>
      <c r="Y87" s="18">
        <f t="shared" si="114"/>
        <v>0.4333775933</v>
      </c>
      <c r="Z87" s="18">
        <f t="shared" si="114"/>
        <v>0.5131219763</v>
      </c>
      <c r="AA87" s="18">
        <f t="shared" si="114"/>
        <v>0.3388944812</v>
      </c>
      <c r="AB87" s="18">
        <f t="shared" si="114"/>
        <v>0.2042924332</v>
      </c>
      <c r="AC87" s="18">
        <f t="shared" si="114"/>
        <v>0.3300295725</v>
      </c>
      <c r="AD87" s="18">
        <f t="shared" si="114"/>
        <v>0.3102343936</v>
      </c>
      <c r="AE87" s="18">
        <f t="shared" si="114"/>
        <v>0.3453725929</v>
      </c>
      <c r="AF87" s="18">
        <f t="shared" si="114"/>
        <v>0.1867698022</v>
      </c>
      <c r="AG87" s="18">
        <f t="shared" si="114"/>
        <v>0.1563268301</v>
      </c>
      <c r="AH87" s="18">
        <f t="shared" si="114"/>
        <v>0.3443478839</v>
      </c>
      <c r="AI87" s="18">
        <f t="shared" si="114"/>
        <v>0.5524632774</v>
      </c>
      <c r="AJ87" s="18">
        <f t="shared" si="114"/>
        <v>0.2728035629</v>
      </c>
      <c r="AK87" s="31">
        <f>AVERAGE(AG87,AC87,Y87)</f>
        <v>0.3065779986</v>
      </c>
      <c r="AL87" s="31">
        <f>AVERAGE(AH87,AD87)</f>
        <v>0.3272911387</v>
      </c>
      <c r="AM87" s="31">
        <f>AVERAGE(AE87,AA87)</f>
        <v>0.3421335371</v>
      </c>
      <c r="AN87" s="31">
        <v>0.25</v>
      </c>
      <c r="AO87" s="31">
        <v>0.31</v>
      </c>
      <c r="AP87" s="31">
        <v>0.33</v>
      </c>
      <c r="AQ87" s="31">
        <v>0.35</v>
      </c>
      <c r="AR87" s="31">
        <v>0.26</v>
      </c>
      <c r="AS87" s="31">
        <v>0.315</v>
      </c>
      <c r="AT87" s="31">
        <v>0.335</v>
      </c>
      <c r="AU87" s="31">
        <v>0.35</v>
      </c>
      <c r="AV87" s="31">
        <f t="shared" ref="AV87:BW87" si="115">AR87</f>
        <v>0.26</v>
      </c>
      <c r="AW87" s="31">
        <f t="shared" si="115"/>
        <v>0.315</v>
      </c>
      <c r="AX87" s="31">
        <f t="shared" si="115"/>
        <v>0.335</v>
      </c>
      <c r="AY87" s="31">
        <f t="shared" si="115"/>
        <v>0.35</v>
      </c>
      <c r="AZ87" s="31">
        <f t="shared" si="115"/>
        <v>0.26</v>
      </c>
      <c r="BA87" s="31">
        <f t="shared" si="115"/>
        <v>0.315</v>
      </c>
      <c r="BB87" s="31">
        <f t="shared" si="115"/>
        <v>0.335</v>
      </c>
      <c r="BC87" s="31">
        <f t="shared" si="115"/>
        <v>0.35</v>
      </c>
      <c r="BD87" s="31">
        <f t="shared" si="115"/>
        <v>0.26</v>
      </c>
      <c r="BE87" s="31">
        <f t="shared" si="115"/>
        <v>0.315</v>
      </c>
      <c r="BF87" s="31">
        <f t="shared" si="115"/>
        <v>0.335</v>
      </c>
      <c r="BG87" s="31">
        <f t="shared" si="115"/>
        <v>0.35</v>
      </c>
      <c r="BH87" s="31">
        <f t="shared" si="115"/>
        <v>0.26</v>
      </c>
      <c r="BI87" s="31">
        <f t="shared" si="115"/>
        <v>0.315</v>
      </c>
      <c r="BJ87" s="31">
        <f t="shared" si="115"/>
        <v>0.335</v>
      </c>
      <c r="BK87" s="31">
        <f t="shared" si="115"/>
        <v>0.35</v>
      </c>
      <c r="BL87" s="31">
        <f t="shared" si="115"/>
        <v>0.26</v>
      </c>
      <c r="BM87" s="31">
        <f t="shared" si="115"/>
        <v>0.315</v>
      </c>
      <c r="BN87" s="31">
        <f t="shared" si="115"/>
        <v>0.335</v>
      </c>
      <c r="BO87" s="31">
        <f t="shared" si="115"/>
        <v>0.35</v>
      </c>
      <c r="BP87" s="31">
        <f t="shared" si="115"/>
        <v>0.26</v>
      </c>
      <c r="BQ87" s="31">
        <f t="shared" si="115"/>
        <v>0.315</v>
      </c>
      <c r="BR87" s="31">
        <f t="shared" si="115"/>
        <v>0.335</v>
      </c>
      <c r="BS87" s="31">
        <f t="shared" si="115"/>
        <v>0.35</v>
      </c>
      <c r="BT87" s="31">
        <f t="shared" si="115"/>
        <v>0.26</v>
      </c>
      <c r="BU87" s="31">
        <f t="shared" si="115"/>
        <v>0.315</v>
      </c>
      <c r="BV87" s="31">
        <f t="shared" si="115"/>
        <v>0.335</v>
      </c>
      <c r="BW87" s="31">
        <f t="shared" si="115"/>
        <v>0.35</v>
      </c>
      <c r="BX87" s="6" t="s">
        <v>35</v>
      </c>
      <c r="CE87" s="18">
        <f t="shared" ref="CE87:CP87" si="116">CE84/CE27</f>
        <v>0.3013994737</v>
      </c>
      <c r="CF87" s="18">
        <f t="shared" si="116"/>
        <v>0.3478965254</v>
      </c>
      <c r="CG87" s="18">
        <f t="shared" si="116"/>
        <v>0.3147734955</v>
      </c>
      <c r="CH87" s="18">
        <f t="shared" si="116"/>
        <v>0.3119359227</v>
      </c>
      <c r="CI87" s="18">
        <f t="shared" si="116"/>
        <v>0.3165628763</v>
      </c>
      <c r="CJ87" s="18">
        <f t="shared" si="116"/>
        <v>0.3165628763</v>
      </c>
      <c r="CK87" s="18">
        <f t="shared" si="116"/>
        <v>0.3165628763</v>
      </c>
      <c r="CL87" s="18">
        <f t="shared" si="116"/>
        <v>0.3165628763</v>
      </c>
      <c r="CM87" s="18">
        <f t="shared" si="116"/>
        <v>0.3165628763</v>
      </c>
      <c r="CN87" s="18">
        <f t="shared" si="116"/>
        <v>0.3165628763</v>
      </c>
      <c r="CO87" s="18">
        <f t="shared" si="116"/>
        <v>0.3165628763</v>
      </c>
      <c r="CP87" s="18">
        <f t="shared" si="116"/>
        <v>0.3165628763</v>
      </c>
      <c r="CQ87" s="6" t="s">
        <v>35</v>
      </c>
    </row>
    <row r="88" ht="14.25" customHeight="1">
      <c r="B88" s="10" t="s">
        <v>200</v>
      </c>
      <c r="C88" s="9"/>
      <c r="X88" s="18"/>
      <c r="Y88" s="18"/>
      <c r="Z88" s="18"/>
      <c r="AA88" s="18"/>
      <c r="AB88" s="125"/>
      <c r="AC88" s="125">
        <f t="shared" ref="AC88:AJ88" si="117">(AC87-Y87)*100</f>
        <v>-10.33480208</v>
      </c>
      <c r="AD88" s="125">
        <f t="shared" si="117"/>
        <v>-20.28875827</v>
      </c>
      <c r="AE88" s="125">
        <f t="shared" si="117"/>
        <v>0.6478111694</v>
      </c>
      <c r="AF88" s="125">
        <f t="shared" si="117"/>
        <v>-1.7522631</v>
      </c>
      <c r="AG88" s="125">
        <f t="shared" si="117"/>
        <v>-17.37027424</v>
      </c>
      <c r="AH88" s="125">
        <f t="shared" si="117"/>
        <v>3.411349027</v>
      </c>
      <c r="AI88" s="125">
        <f t="shared" si="117"/>
        <v>20.70906845</v>
      </c>
      <c r="AJ88" s="125">
        <f t="shared" si="117"/>
        <v>8.603376069</v>
      </c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6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6"/>
    </row>
    <row r="89" ht="14.25" customHeight="1">
      <c r="B89" s="10"/>
      <c r="C89" s="9"/>
      <c r="BX89" s="6" t="s">
        <v>35</v>
      </c>
      <c r="CQ89" s="6" t="s">
        <v>35</v>
      </c>
    </row>
    <row r="90" ht="14.25" customHeight="1">
      <c r="B90" s="83" t="str">
        <f t="shared" ref="B90:C90" si="118">B64</f>
        <v>Engenharia de Integridade e Inspeção</v>
      </c>
      <c r="C90" s="78" t="str">
        <f t="shared" si="118"/>
        <v>[BRL 000]</v>
      </c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6">
        <f>Inputs!Z327/1000</f>
        <v>1.244025</v>
      </c>
      <c r="Y90" s="16">
        <f>Inputs!AA327/1000</f>
        <v>3.802363</v>
      </c>
      <c r="Z90" s="16">
        <f>Inputs!AB327/1000</f>
        <v>3.661</v>
      </c>
      <c r="AA90" s="16">
        <f>Inputs!AC327/1000</f>
        <v>6.481359</v>
      </c>
      <c r="AB90" s="16">
        <f>Inputs!AD327/1000</f>
        <v>5.323</v>
      </c>
      <c r="AC90" s="16">
        <f>Inputs!AE327/1000</f>
        <v>5.28463516</v>
      </c>
      <c r="AD90" s="16">
        <f>Inputs!AF327/1000</f>
        <v>5.22267843</v>
      </c>
      <c r="AE90" s="16">
        <f>Inputs!AG327/1000</f>
        <v>6.782178318</v>
      </c>
      <c r="AF90" s="16">
        <f>Inputs!AH327/1000</f>
        <v>6.171624477</v>
      </c>
      <c r="AG90" s="16">
        <f>Inputs!AI327/1000</f>
        <v>6.03513692</v>
      </c>
      <c r="AH90" s="16">
        <f>Inputs!AJ327/1000</f>
        <v>13.6559752</v>
      </c>
      <c r="AI90" s="16">
        <f>Inputs!AK327/1000</f>
        <v>5.80024301</v>
      </c>
      <c r="AJ90" s="16">
        <f>Inputs!AL327/1000</f>
        <v>9.60595948</v>
      </c>
      <c r="AK90" s="16">
        <f t="shared" ref="AK90:BW90" si="119">AK$31*AK93</f>
        <v>9.021367745</v>
      </c>
      <c r="AL90" s="16">
        <f t="shared" si="119"/>
        <v>10.13694909</v>
      </c>
      <c r="AM90" s="16">
        <f t="shared" si="119"/>
        <v>9.538707904</v>
      </c>
      <c r="AN90" s="16">
        <f t="shared" si="119"/>
        <v>8.109007235</v>
      </c>
      <c r="AO90" s="16">
        <f t="shared" si="119"/>
        <v>9.802724521</v>
      </c>
      <c r="AP90" s="16">
        <f t="shared" si="119"/>
        <v>11.35073263</v>
      </c>
      <c r="AQ90" s="16">
        <f t="shared" si="119"/>
        <v>10.60386097</v>
      </c>
      <c r="AR90" s="16">
        <f t="shared" si="119"/>
        <v>8.970104333</v>
      </c>
      <c r="AS90" s="16">
        <f t="shared" si="119"/>
        <v>10.79026066</v>
      </c>
      <c r="AT90" s="16">
        <f t="shared" si="119"/>
        <v>12.43266878</v>
      </c>
      <c r="AU90" s="16">
        <f t="shared" si="119"/>
        <v>11.58614126</v>
      </c>
      <c r="AV90" s="16">
        <f t="shared" si="119"/>
        <v>9.801042866</v>
      </c>
      <c r="AW90" s="16">
        <f t="shared" si="119"/>
        <v>11.78980794</v>
      </c>
      <c r="AX90" s="16">
        <f t="shared" si="119"/>
        <v>13.58435923</v>
      </c>
      <c r="AY90" s="16">
        <f t="shared" si="119"/>
        <v>12.65941431</v>
      </c>
      <c r="AZ90" s="16">
        <f t="shared" si="119"/>
        <v>10.70895473</v>
      </c>
      <c r="BA90" s="16">
        <f t="shared" si="119"/>
        <v>12.88194749</v>
      </c>
      <c r="BB90" s="16">
        <f t="shared" si="119"/>
        <v>14.84273563</v>
      </c>
      <c r="BC90" s="16">
        <f t="shared" si="119"/>
        <v>13.83210916</v>
      </c>
      <c r="BD90" s="16">
        <f t="shared" si="119"/>
        <v>11.7009703</v>
      </c>
      <c r="BE90" s="16">
        <f t="shared" si="119"/>
        <v>14.07525653</v>
      </c>
      <c r="BF90" s="16">
        <f t="shared" si="119"/>
        <v>16.21768072</v>
      </c>
      <c r="BG90" s="16">
        <f t="shared" si="119"/>
        <v>15.11343567</v>
      </c>
      <c r="BH90" s="16">
        <f t="shared" si="119"/>
        <v>12.78488045</v>
      </c>
      <c r="BI90" s="16">
        <f t="shared" si="119"/>
        <v>15.3791068</v>
      </c>
      <c r="BJ90" s="16">
        <f t="shared" si="119"/>
        <v>17.71999277</v>
      </c>
      <c r="BK90" s="16">
        <f t="shared" si="119"/>
        <v>16.51345685</v>
      </c>
      <c r="BL90" s="16">
        <f t="shared" si="119"/>
        <v>13.96919775</v>
      </c>
      <c r="BM90" s="16">
        <f t="shared" si="119"/>
        <v>16.80373822</v>
      </c>
      <c r="BN90" s="16">
        <f t="shared" si="119"/>
        <v>19.36147031</v>
      </c>
      <c r="BO90" s="16">
        <f t="shared" si="119"/>
        <v>18.04316789</v>
      </c>
      <c r="BP90" s="16">
        <f t="shared" si="119"/>
        <v>15.26322336</v>
      </c>
      <c r="BQ90" s="16">
        <f t="shared" si="119"/>
        <v>18.36033924</v>
      </c>
      <c r="BR90" s="16">
        <f t="shared" si="119"/>
        <v>21.15500483</v>
      </c>
      <c r="BS90" s="16">
        <f t="shared" si="119"/>
        <v>19.7145825</v>
      </c>
      <c r="BT90" s="16">
        <f t="shared" si="119"/>
        <v>16.67712001</v>
      </c>
      <c r="BU90" s="16">
        <f t="shared" si="119"/>
        <v>20.06113478</v>
      </c>
      <c r="BV90" s="16">
        <f t="shared" si="119"/>
        <v>23.114682</v>
      </c>
      <c r="BW90" s="16">
        <f t="shared" si="119"/>
        <v>21.54082728</v>
      </c>
      <c r="BX90" s="6" t="s">
        <v>35</v>
      </c>
      <c r="BY90" s="17">
        <f>SUM(D90:G90)</f>
        <v>0</v>
      </c>
      <c r="BZ90" s="17">
        <f>SUM(H90:K90)</f>
        <v>0</v>
      </c>
      <c r="CA90" s="17">
        <f>SUM(L90:O90)</f>
        <v>0</v>
      </c>
      <c r="CB90" s="17">
        <f>SUM(P90:S90)</f>
        <v>0</v>
      </c>
      <c r="CC90" s="17">
        <f>SUM(T90:W90)</f>
        <v>0</v>
      </c>
      <c r="CD90" s="17">
        <f>SUM(X90:AA90)</f>
        <v>15.188747</v>
      </c>
      <c r="CE90" s="17">
        <f>SUM(AB90:AE90)</f>
        <v>22.61249191</v>
      </c>
      <c r="CF90" s="17">
        <f>SUM(AF90:AI90)</f>
        <v>31.66297961</v>
      </c>
      <c r="CG90" s="17">
        <f>SUM(AJ90:AM90)</f>
        <v>38.30298422</v>
      </c>
      <c r="CH90" s="17">
        <f>SUM(AN90:AQ90)</f>
        <v>39.86632536</v>
      </c>
      <c r="CI90" s="17">
        <f>SUM(AR90:AU90)</f>
        <v>43.77917503</v>
      </c>
      <c r="CJ90" s="17">
        <f>SUM(AV90:AY90)</f>
        <v>47.83462435</v>
      </c>
      <c r="CK90" s="17">
        <f>SUM(AZ90:BC90)</f>
        <v>52.26574701</v>
      </c>
      <c r="CL90" s="17">
        <f>SUM(BD90:BG90)</f>
        <v>57.10734322</v>
      </c>
      <c r="CM90" s="17">
        <f>SUM(BH90:BK90)</f>
        <v>62.39743688</v>
      </c>
      <c r="CN90" s="17">
        <f>SUM(BL90:BO90)</f>
        <v>68.17757418</v>
      </c>
      <c r="CO90" s="17">
        <f>SUM(BP90:BS90)</f>
        <v>74.49314994</v>
      </c>
      <c r="CP90" s="17">
        <f>SUM(BT90:BW90)</f>
        <v>81.39376407</v>
      </c>
      <c r="CQ90" s="6" t="s">
        <v>35</v>
      </c>
    </row>
    <row r="91" ht="14.25" customHeight="1">
      <c r="B91" s="10" t="str">
        <f t="shared" ref="B91:C91" si="120">B65</f>
        <v>a/a %</v>
      </c>
      <c r="C91" s="9" t="str">
        <f t="shared" si="120"/>
        <v>[%]</v>
      </c>
      <c r="AB91" s="18">
        <f t="shared" ref="AB91:BW91" si="121">AB90/X90-1</f>
        <v>3.278852917</v>
      </c>
      <c r="AC91" s="18">
        <f t="shared" si="121"/>
        <v>0.3898292088</v>
      </c>
      <c r="AD91" s="18">
        <f t="shared" si="121"/>
        <v>0.426571546</v>
      </c>
      <c r="AE91" s="18">
        <f t="shared" si="121"/>
        <v>0.04641300045</v>
      </c>
      <c r="AF91" s="18">
        <f t="shared" si="121"/>
        <v>0.1594259772</v>
      </c>
      <c r="AG91" s="18">
        <f t="shared" si="121"/>
        <v>0.1420158133</v>
      </c>
      <c r="AH91" s="18">
        <f t="shared" si="121"/>
        <v>1.614745553</v>
      </c>
      <c r="AI91" s="18">
        <f t="shared" si="121"/>
        <v>-0.1447817002</v>
      </c>
      <c r="AJ91" s="18">
        <f t="shared" si="121"/>
        <v>0.5564718035</v>
      </c>
      <c r="AK91" s="18">
        <f t="shared" si="121"/>
        <v>0.4948074691</v>
      </c>
      <c r="AL91" s="18">
        <f t="shared" si="121"/>
        <v>-0.2576913079</v>
      </c>
      <c r="AM91" s="18">
        <f t="shared" si="121"/>
        <v>0.6445359078</v>
      </c>
      <c r="AN91" s="18">
        <f t="shared" si="121"/>
        <v>-0.1558357859</v>
      </c>
      <c r="AO91" s="18">
        <f t="shared" si="121"/>
        <v>0.08661178636</v>
      </c>
      <c r="AP91" s="18">
        <f t="shared" si="121"/>
        <v>0.1197385459</v>
      </c>
      <c r="AQ91" s="18">
        <f t="shared" si="121"/>
        <v>0.1116663889</v>
      </c>
      <c r="AR91" s="18">
        <f t="shared" si="121"/>
        <v>0.1061901998</v>
      </c>
      <c r="AS91" s="18">
        <f t="shared" si="121"/>
        <v>0.100740987</v>
      </c>
      <c r="AT91" s="18">
        <f t="shared" si="121"/>
        <v>0.09531861757</v>
      </c>
      <c r="AU91" s="18">
        <f t="shared" si="121"/>
        <v>0.0926342105</v>
      </c>
      <c r="AV91" s="18">
        <f t="shared" si="121"/>
        <v>0.0926342105</v>
      </c>
      <c r="AW91" s="18">
        <f t="shared" si="121"/>
        <v>0.0926342105</v>
      </c>
      <c r="AX91" s="18">
        <f t="shared" si="121"/>
        <v>0.0926342105</v>
      </c>
      <c r="AY91" s="18">
        <f t="shared" si="121"/>
        <v>0.0926342105</v>
      </c>
      <c r="AZ91" s="18">
        <f t="shared" si="121"/>
        <v>0.0926342105</v>
      </c>
      <c r="BA91" s="18">
        <f t="shared" si="121"/>
        <v>0.0926342105</v>
      </c>
      <c r="BB91" s="18">
        <f t="shared" si="121"/>
        <v>0.0926342105</v>
      </c>
      <c r="BC91" s="18">
        <f t="shared" si="121"/>
        <v>0.0926342105</v>
      </c>
      <c r="BD91" s="18">
        <f t="shared" si="121"/>
        <v>0.0926342105</v>
      </c>
      <c r="BE91" s="18">
        <f t="shared" si="121"/>
        <v>0.0926342105</v>
      </c>
      <c r="BF91" s="18">
        <f t="shared" si="121"/>
        <v>0.0926342105</v>
      </c>
      <c r="BG91" s="18">
        <f t="shared" si="121"/>
        <v>0.0926342105</v>
      </c>
      <c r="BH91" s="18">
        <f t="shared" si="121"/>
        <v>0.0926342105</v>
      </c>
      <c r="BI91" s="18">
        <f t="shared" si="121"/>
        <v>0.0926342105</v>
      </c>
      <c r="BJ91" s="18">
        <f t="shared" si="121"/>
        <v>0.0926342105</v>
      </c>
      <c r="BK91" s="18">
        <f t="shared" si="121"/>
        <v>0.0926342105</v>
      </c>
      <c r="BL91" s="18">
        <f t="shared" si="121"/>
        <v>0.0926342105</v>
      </c>
      <c r="BM91" s="18">
        <f t="shared" si="121"/>
        <v>0.0926342105</v>
      </c>
      <c r="BN91" s="18">
        <f t="shared" si="121"/>
        <v>0.0926342105</v>
      </c>
      <c r="BO91" s="18">
        <f t="shared" si="121"/>
        <v>0.0926342105</v>
      </c>
      <c r="BP91" s="18">
        <f t="shared" si="121"/>
        <v>0.0926342105</v>
      </c>
      <c r="BQ91" s="18">
        <f t="shared" si="121"/>
        <v>0.0926342105</v>
      </c>
      <c r="BR91" s="18">
        <f t="shared" si="121"/>
        <v>0.0926342105</v>
      </c>
      <c r="BS91" s="18">
        <f t="shared" si="121"/>
        <v>0.0926342105</v>
      </c>
      <c r="BT91" s="18">
        <f t="shared" si="121"/>
        <v>0.0926342105</v>
      </c>
      <c r="BU91" s="18">
        <f t="shared" si="121"/>
        <v>0.0926342105</v>
      </c>
      <c r="BV91" s="18">
        <f t="shared" si="121"/>
        <v>0.0926342105</v>
      </c>
      <c r="BW91" s="18">
        <f t="shared" si="121"/>
        <v>0.0926342105</v>
      </c>
      <c r="BX91" s="6" t="s">
        <v>35</v>
      </c>
      <c r="BY91" s="19"/>
      <c r="BZ91" s="19"/>
      <c r="CA91" s="19"/>
      <c r="CB91" s="19"/>
      <c r="CC91" s="19"/>
      <c r="CD91" s="19"/>
      <c r="CE91" s="19">
        <f t="shared" ref="CE91:CP91" si="122">CE90/CD90-1</f>
        <v>0.488766118</v>
      </c>
      <c r="CF91" s="19">
        <f t="shared" si="122"/>
        <v>0.4002428275</v>
      </c>
      <c r="CG91" s="19">
        <f t="shared" si="122"/>
        <v>0.2097087733</v>
      </c>
      <c r="CH91" s="19">
        <f t="shared" si="122"/>
        <v>0.04081512637</v>
      </c>
      <c r="CI91" s="19">
        <f t="shared" si="122"/>
        <v>0.09814924346</v>
      </c>
      <c r="CJ91" s="19">
        <f t="shared" si="122"/>
        <v>0.0926342105</v>
      </c>
      <c r="CK91" s="19">
        <f t="shared" si="122"/>
        <v>0.0926342105</v>
      </c>
      <c r="CL91" s="19">
        <f t="shared" si="122"/>
        <v>0.0926342105</v>
      </c>
      <c r="CM91" s="19">
        <f t="shared" si="122"/>
        <v>0.0926342105</v>
      </c>
      <c r="CN91" s="19">
        <f t="shared" si="122"/>
        <v>0.0926342105</v>
      </c>
      <c r="CO91" s="19">
        <f t="shared" si="122"/>
        <v>0.0926342105</v>
      </c>
      <c r="CP91" s="19">
        <f t="shared" si="122"/>
        <v>0.0926342105</v>
      </c>
      <c r="CQ91" s="6" t="s">
        <v>35</v>
      </c>
    </row>
    <row r="92" ht="14.25" hidden="1" customHeight="1">
      <c r="B92" s="10" t="s">
        <v>195</v>
      </c>
      <c r="C92" s="9" t="str">
        <f>C66</f>
        <v>[%]</v>
      </c>
      <c r="X92" s="18">
        <f t="shared" ref="X92:BW92" si="123">X90/X$20</f>
        <v>0.009622123778</v>
      </c>
      <c r="Y92" s="18">
        <f t="shared" si="123"/>
        <v>0.02067154026</v>
      </c>
      <c r="Z92" s="18">
        <f t="shared" si="123"/>
        <v>0.01438849267</v>
      </c>
      <c r="AA92" s="18">
        <f t="shared" si="123"/>
        <v>0.02636572914</v>
      </c>
      <c r="AB92" s="18">
        <f t="shared" si="123"/>
        <v>0.02206314562</v>
      </c>
      <c r="AC92" s="18">
        <f t="shared" si="123"/>
        <v>0.02081101588</v>
      </c>
      <c r="AD92" s="18">
        <f t="shared" si="123"/>
        <v>0.01941830139</v>
      </c>
      <c r="AE92" s="18">
        <f t="shared" si="123"/>
        <v>0.0240282902</v>
      </c>
      <c r="AF92" s="18">
        <f t="shared" si="123"/>
        <v>0.02851542395</v>
      </c>
      <c r="AG92" s="18">
        <f t="shared" si="123"/>
        <v>0.02940231255</v>
      </c>
      <c r="AH92" s="18">
        <f t="shared" si="123"/>
        <v>0.03477668123</v>
      </c>
      <c r="AI92" s="18">
        <f t="shared" si="123"/>
        <v>0.01382022033</v>
      </c>
      <c r="AJ92" s="18">
        <f t="shared" si="123"/>
        <v>0.02604335791</v>
      </c>
      <c r="AK92" s="18">
        <f t="shared" si="123"/>
        <v>0.02544581313</v>
      </c>
      <c r="AL92" s="18">
        <f t="shared" si="123"/>
        <v>0.02822233423</v>
      </c>
      <c r="AM92" s="18">
        <f t="shared" si="123"/>
        <v>0.02330027674</v>
      </c>
      <c r="AN92" s="18">
        <f t="shared" si="123"/>
        <v>0.02106512233</v>
      </c>
      <c r="AO92" s="18">
        <f t="shared" si="123"/>
        <v>0.02544581313</v>
      </c>
      <c r="AP92" s="18">
        <f t="shared" si="123"/>
        <v>0.02822233423</v>
      </c>
      <c r="AQ92" s="18">
        <f t="shared" si="123"/>
        <v>0.02330027674</v>
      </c>
      <c r="AR92" s="18">
        <f t="shared" si="123"/>
        <v>0.02106512233</v>
      </c>
      <c r="AS92" s="18">
        <f t="shared" si="123"/>
        <v>0.02544581313</v>
      </c>
      <c r="AT92" s="18">
        <f t="shared" si="123"/>
        <v>0.02822233423</v>
      </c>
      <c r="AU92" s="18">
        <f t="shared" si="123"/>
        <v>0.02330027674</v>
      </c>
      <c r="AV92" s="18">
        <f t="shared" si="123"/>
        <v>0.02106512233</v>
      </c>
      <c r="AW92" s="18">
        <f t="shared" si="123"/>
        <v>0.02544581313</v>
      </c>
      <c r="AX92" s="18">
        <f t="shared" si="123"/>
        <v>0.02822233423</v>
      </c>
      <c r="AY92" s="18">
        <f t="shared" si="123"/>
        <v>0.02330027674</v>
      </c>
      <c r="AZ92" s="18">
        <f t="shared" si="123"/>
        <v>0.02106512233</v>
      </c>
      <c r="BA92" s="18">
        <f t="shared" si="123"/>
        <v>0.02544581313</v>
      </c>
      <c r="BB92" s="18">
        <f t="shared" si="123"/>
        <v>0.02822233423</v>
      </c>
      <c r="BC92" s="18">
        <f t="shared" si="123"/>
        <v>0.02330027674</v>
      </c>
      <c r="BD92" s="18">
        <f t="shared" si="123"/>
        <v>0.02106512233</v>
      </c>
      <c r="BE92" s="18">
        <f t="shared" si="123"/>
        <v>0.02544581313</v>
      </c>
      <c r="BF92" s="18">
        <f t="shared" si="123"/>
        <v>0.02822233423</v>
      </c>
      <c r="BG92" s="18">
        <f t="shared" si="123"/>
        <v>0.02330027674</v>
      </c>
      <c r="BH92" s="18">
        <f t="shared" si="123"/>
        <v>0.02106512233</v>
      </c>
      <c r="BI92" s="18">
        <f t="shared" si="123"/>
        <v>0.02544581313</v>
      </c>
      <c r="BJ92" s="18">
        <f t="shared" si="123"/>
        <v>0.02822233423</v>
      </c>
      <c r="BK92" s="18">
        <f t="shared" si="123"/>
        <v>0.02330027674</v>
      </c>
      <c r="BL92" s="18">
        <f t="shared" si="123"/>
        <v>0.02106512233</v>
      </c>
      <c r="BM92" s="18">
        <f t="shared" si="123"/>
        <v>0.02544581313</v>
      </c>
      <c r="BN92" s="18">
        <f t="shared" si="123"/>
        <v>0.02822233423</v>
      </c>
      <c r="BO92" s="18">
        <f t="shared" si="123"/>
        <v>0.02330027674</v>
      </c>
      <c r="BP92" s="18">
        <f t="shared" si="123"/>
        <v>0.02106512233</v>
      </c>
      <c r="BQ92" s="18">
        <f t="shared" si="123"/>
        <v>0.02544581313</v>
      </c>
      <c r="BR92" s="18">
        <f t="shared" si="123"/>
        <v>0.02822233423</v>
      </c>
      <c r="BS92" s="18">
        <f t="shared" si="123"/>
        <v>0.02330027674</v>
      </c>
      <c r="BT92" s="18">
        <f t="shared" si="123"/>
        <v>0.02106512233</v>
      </c>
      <c r="BU92" s="18">
        <f t="shared" si="123"/>
        <v>0.02544581313</v>
      </c>
      <c r="BV92" s="18">
        <f t="shared" si="123"/>
        <v>0.02822233423</v>
      </c>
      <c r="BW92" s="18">
        <f t="shared" si="123"/>
        <v>0.02330027674</v>
      </c>
      <c r="BX92" s="6" t="s">
        <v>35</v>
      </c>
      <c r="CE92" s="19">
        <f t="shared" ref="CE92:CP92" si="124">CE90/CE$20</f>
        <v>0.02160956756</v>
      </c>
      <c r="CF92" s="19">
        <f t="shared" si="124"/>
        <v>0.02565755994</v>
      </c>
      <c r="CG92" s="19">
        <f t="shared" si="124"/>
        <v>0.02567325765</v>
      </c>
      <c r="CH92" s="19">
        <f t="shared" si="124"/>
        <v>0.02449582507</v>
      </c>
      <c r="CI92" s="19">
        <f t="shared" si="124"/>
        <v>0.02448972069</v>
      </c>
      <c r="CJ92" s="19">
        <f t="shared" si="124"/>
        <v>0.02448972069</v>
      </c>
      <c r="CK92" s="19">
        <f t="shared" si="124"/>
        <v>0.02448972069</v>
      </c>
      <c r="CL92" s="19">
        <f t="shared" si="124"/>
        <v>0.02448972069</v>
      </c>
      <c r="CM92" s="19">
        <f t="shared" si="124"/>
        <v>0.02448972069</v>
      </c>
      <c r="CN92" s="19">
        <f t="shared" si="124"/>
        <v>0.02448972069</v>
      </c>
      <c r="CO92" s="19">
        <f t="shared" si="124"/>
        <v>0.02448972069</v>
      </c>
      <c r="CP92" s="19">
        <f t="shared" si="124"/>
        <v>0.02448972069</v>
      </c>
      <c r="CQ92" s="6" t="s">
        <v>35</v>
      </c>
    </row>
    <row r="93" ht="14.25" customHeight="1">
      <c r="B93" s="10" t="s">
        <v>44</v>
      </c>
      <c r="C93" s="9" t="str">
        <f>C92</f>
        <v>[%]</v>
      </c>
      <c r="X93" s="18">
        <f t="shared" ref="X93:AJ93" si="125">X90/X31</f>
        <v>0.2005516995</v>
      </c>
      <c r="Y93" s="18">
        <f t="shared" si="125"/>
        <v>0.325919557</v>
      </c>
      <c r="Z93" s="18">
        <f t="shared" si="125"/>
        <v>0.2976906814</v>
      </c>
      <c r="AA93" s="18">
        <f t="shared" si="125"/>
        <v>0.315500963</v>
      </c>
      <c r="AB93" s="18">
        <f t="shared" si="125"/>
        <v>0.3023401113</v>
      </c>
      <c r="AC93" s="18">
        <f t="shared" si="125"/>
        <v>0.271945226</v>
      </c>
      <c r="AD93" s="18">
        <f t="shared" si="125"/>
        <v>0.2641054378</v>
      </c>
      <c r="AE93" s="18">
        <f t="shared" si="125"/>
        <v>0.2628713197</v>
      </c>
      <c r="AF93" s="18">
        <f t="shared" si="125"/>
        <v>0.262527604</v>
      </c>
      <c r="AG93" s="18">
        <f t="shared" si="125"/>
        <v>0.2056872108</v>
      </c>
      <c r="AH93" s="18">
        <f t="shared" si="125"/>
        <v>0.329435488</v>
      </c>
      <c r="AI93" s="18">
        <f t="shared" si="125"/>
        <v>0.15742593</v>
      </c>
      <c r="AJ93" s="18">
        <f t="shared" si="125"/>
        <v>0.2217381298</v>
      </c>
      <c r="AK93" s="31">
        <f t="shared" ref="AK93:AM93" si="126">AVERAGE(AG93,AC93,Y93)</f>
        <v>0.2678506646</v>
      </c>
      <c r="AL93" s="31">
        <f t="shared" si="126"/>
        <v>0.2970772024</v>
      </c>
      <c r="AM93" s="31">
        <f t="shared" si="126"/>
        <v>0.2452660709</v>
      </c>
      <c r="AN93" s="31">
        <f t="shared" ref="AN93:BW93" si="127">AJ93</f>
        <v>0.2217381298</v>
      </c>
      <c r="AO93" s="31">
        <f t="shared" si="127"/>
        <v>0.2678506646</v>
      </c>
      <c r="AP93" s="31">
        <f t="shared" si="127"/>
        <v>0.2970772024</v>
      </c>
      <c r="AQ93" s="31">
        <f t="shared" si="127"/>
        <v>0.2452660709</v>
      </c>
      <c r="AR93" s="31">
        <f t="shared" si="127"/>
        <v>0.2217381298</v>
      </c>
      <c r="AS93" s="31">
        <f t="shared" si="127"/>
        <v>0.2678506646</v>
      </c>
      <c r="AT93" s="31">
        <f t="shared" si="127"/>
        <v>0.2970772024</v>
      </c>
      <c r="AU93" s="31">
        <f t="shared" si="127"/>
        <v>0.2452660709</v>
      </c>
      <c r="AV93" s="31">
        <f t="shared" si="127"/>
        <v>0.2217381298</v>
      </c>
      <c r="AW93" s="31">
        <f t="shared" si="127"/>
        <v>0.2678506646</v>
      </c>
      <c r="AX93" s="31">
        <f t="shared" si="127"/>
        <v>0.2970772024</v>
      </c>
      <c r="AY93" s="31">
        <f t="shared" si="127"/>
        <v>0.2452660709</v>
      </c>
      <c r="AZ93" s="31">
        <f t="shared" si="127"/>
        <v>0.2217381298</v>
      </c>
      <c r="BA93" s="31">
        <f t="shared" si="127"/>
        <v>0.2678506646</v>
      </c>
      <c r="BB93" s="31">
        <f t="shared" si="127"/>
        <v>0.2970772024</v>
      </c>
      <c r="BC93" s="31">
        <f t="shared" si="127"/>
        <v>0.2452660709</v>
      </c>
      <c r="BD93" s="31">
        <f t="shared" si="127"/>
        <v>0.2217381298</v>
      </c>
      <c r="BE93" s="31">
        <f t="shared" si="127"/>
        <v>0.2678506646</v>
      </c>
      <c r="BF93" s="31">
        <f t="shared" si="127"/>
        <v>0.2970772024</v>
      </c>
      <c r="BG93" s="31">
        <f t="shared" si="127"/>
        <v>0.2452660709</v>
      </c>
      <c r="BH93" s="31">
        <f t="shared" si="127"/>
        <v>0.2217381298</v>
      </c>
      <c r="BI93" s="31">
        <f t="shared" si="127"/>
        <v>0.2678506646</v>
      </c>
      <c r="BJ93" s="31">
        <f t="shared" si="127"/>
        <v>0.2970772024</v>
      </c>
      <c r="BK93" s="31">
        <f t="shared" si="127"/>
        <v>0.2452660709</v>
      </c>
      <c r="BL93" s="31">
        <f t="shared" si="127"/>
        <v>0.2217381298</v>
      </c>
      <c r="BM93" s="31">
        <f t="shared" si="127"/>
        <v>0.2678506646</v>
      </c>
      <c r="BN93" s="31">
        <f t="shared" si="127"/>
        <v>0.2970772024</v>
      </c>
      <c r="BO93" s="31">
        <f t="shared" si="127"/>
        <v>0.2452660709</v>
      </c>
      <c r="BP93" s="31">
        <f t="shared" si="127"/>
        <v>0.2217381298</v>
      </c>
      <c r="BQ93" s="31">
        <f t="shared" si="127"/>
        <v>0.2678506646</v>
      </c>
      <c r="BR93" s="31">
        <f t="shared" si="127"/>
        <v>0.2970772024</v>
      </c>
      <c r="BS93" s="31">
        <f t="shared" si="127"/>
        <v>0.2452660709</v>
      </c>
      <c r="BT93" s="31">
        <f t="shared" si="127"/>
        <v>0.2217381298</v>
      </c>
      <c r="BU93" s="31">
        <f t="shared" si="127"/>
        <v>0.2678506646</v>
      </c>
      <c r="BV93" s="31">
        <f t="shared" si="127"/>
        <v>0.2970772024</v>
      </c>
      <c r="BW93" s="31">
        <f t="shared" si="127"/>
        <v>0.2452660709</v>
      </c>
      <c r="BX93" s="6" t="s">
        <v>35</v>
      </c>
      <c r="CE93" s="18">
        <f t="shared" ref="CE93:CP93" si="128">CE90/CE31</f>
        <v>0.2737123653</v>
      </c>
      <c r="CF93" s="18">
        <f t="shared" si="128"/>
        <v>0.2414317089</v>
      </c>
      <c r="CG93" s="18">
        <f t="shared" si="128"/>
        <v>0.2553271605</v>
      </c>
      <c r="CH93" s="18">
        <f t="shared" si="128"/>
        <v>0.2578507902</v>
      </c>
      <c r="CI93" s="18">
        <f t="shared" si="128"/>
        <v>0.2577865336</v>
      </c>
      <c r="CJ93" s="18">
        <f t="shared" si="128"/>
        <v>0.2577865336</v>
      </c>
      <c r="CK93" s="18">
        <f t="shared" si="128"/>
        <v>0.2577865336</v>
      </c>
      <c r="CL93" s="18">
        <f t="shared" si="128"/>
        <v>0.2577865336</v>
      </c>
      <c r="CM93" s="18">
        <f t="shared" si="128"/>
        <v>0.2577865336</v>
      </c>
      <c r="CN93" s="18">
        <f t="shared" si="128"/>
        <v>0.2577865336</v>
      </c>
      <c r="CO93" s="18">
        <f t="shared" si="128"/>
        <v>0.2577865336</v>
      </c>
      <c r="CP93" s="18">
        <f t="shared" si="128"/>
        <v>0.2577865336</v>
      </c>
      <c r="CQ93" s="6" t="s">
        <v>35</v>
      </c>
    </row>
    <row r="94" ht="14.25" customHeight="1">
      <c r="BX94" s="6" t="s">
        <v>35</v>
      </c>
      <c r="CQ94" s="6" t="s">
        <v>35</v>
      </c>
    </row>
    <row r="95" ht="14.25" customHeight="1">
      <c r="B95" s="83" t="str">
        <f t="shared" ref="B95:C95" si="129">B68</f>
        <v>Montagem</v>
      </c>
      <c r="C95" s="78" t="str">
        <f t="shared" si="129"/>
        <v>[BRL 000]</v>
      </c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6">
        <f>Inputs!AJ328/1000</f>
        <v>27.09605869</v>
      </c>
      <c r="AI95" s="16">
        <f>Inputs!AK328/1000</f>
        <v>28.96624329</v>
      </c>
      <c r="AJ95" s="16">
        <f>Inputs!AL328/1000</f>
        <v>15.51903908</v>
      </c>
      <c r="AK95" s="16">
        <f t="shared" ref="AK95:BW95" si="130">AK$35*AK98</f>
        <v>19.76669264</v>
      </c>
      <c r="AL95" s="16">
        <f t="shared" si="130"/>
        <v>20.02591142</v>
      </c>
      <c r="AM95" s="16">
        <f t="shared" si="130"/>
        <v>22.82477089</v>
      </c>
      <c r="AN95" s="16">
        <f t="shared" si="130"/>
        <v>22.48459372</v>
      </c>
      <c r="AO95" s="16">
        <f t="shared" si="130"/>
        <v>22.50151745</v>
      </c>
      <c r="AP95" s="16">
        <f t="shared" si="130"/>
        <v>23.49158421</v>
      </c>
      <c r="AQ95" s="16">
        <f t="shared" si="130"/>
        <v>26.581794</v>
      </c>
      <c r="AR95" s="16">
        <f t="shared" si="130"/>
        <v>25.43751533</v>
      </c>
      <c r="AS95" s="16">
        <f t="shared" si="130"/>
        <v>25.3312594</v>
      </c>
      <c r="AT95" s="16">
        <f t="shared" si="130"/>
        <v>26.31555976</v>
      </c>
      <c r="AU95" s="16">
        <f t="shared" si="130"/>
        <v>29.70427244</v>
      </c>
      <c r="AV95" s="16">
        <f t="shared" si="130"/>
        <v>27.79389948</v>
      </c>
      <c r="AW95" s="16">
        <f t="shared" si="130"/>
        <v>27.67780061</v>
      </c>
      <c r="AX95" s="16">
        <f t="shared" si="130"/>
        <v>28.75328087</v>
      </c>
      <c r="AY95" s="16">
        <f t="shared" si="130"/>
        <v>32.45590427</v>
      </c>
      <c r="AZ95" s="16">
        <f t="shared" si="130"/>
        <v>30.36856542</v>
      </c>
      <c r="BA95" s="16">
        <f t="shared" si="130"/>
        <v>30.24171182</v>
      </c>
      <c r="BB95" s="16">
        <f t="shared" si="130"/>
        <v>31.41681834</v>
      </c>
      <c r="BC95" s="16">
        <f t="shared" si="130"/>
        <v>35.46243133</v>
      </c>
      <c r="BD95" s="16">
        <f t="shared" si="130"/>
        <v>33.1817335</v>
      </c>
      <c r="BE95" s="16">
        <f t="shared" si="130"/>
        <v>33.04312892</v>
      </c>
      <c r="BF95" s="16">
        <f t="shared" si="130"/>
        <v>34.3270905</v>
      </c>
      <c r="BG95" s="16">
        <f t="shared" si="130"/>
        <v>38.74746566</v>
      </c>
      <c r="BH95" s="16">
        <f t="shared" si="130"/>
        <v>36.25549719</v>
      </c>
      <c r="BI95" s="16">
        <f t="shared" si="130"/>
        <v>36.10405308</v>
      </c>
      <c r="BJ95" s="16">
        <f t="shared" si="130"/>
        <v>37.50695343</v>
      </c>
      <c r="BK95" s="16">
        <f t="shared" si="130"/>
        <v>42.33680655</v>
      </c>
      <c r="BL95" s="16">
        <f t="shared" si="130"/>
        <v>39.61399655</v>
      </c>
      <c r="BM95" s="16">
        <f t="shared" si="130"/>
        <v>39.44852353</v>
      </c>
      <c r="BN95" s="16">
        <f t="shared" si="130"/>
        <v>40.98138045</v>
      </c>
      <c r="BO95" s="16">
        <f t="shared" si="130"/>
        <v>46.2586432</v>
      </c>
      <c r="BP95" s="16">
        <f t="shared" si="130"/>
        <v>43.28360784</v>
      </c>
      <c r="BQ95" s="16">
        <f t="shared" si="130"/>
        <v>43.10280636</v>
      </c>
      <c r="BR95" s="16">
        <f t="shared" si="130"/>
        <v>44.77765827</v>
      </c>
      <c r="BS95" s="16">
        <f t="shared" si="130"/>
        <v>50.54377609</v>
      </c>
      <c r="BT95" s="16">
        <f t="shared" si="130"/>
        <v>47.29315068</v>
      </c>
      <c r="BU95" s="16">
        <f t="shared" si="130"/>
        <v>47.0956008</v>
      </c>
      <c r="BV95" s="16">
        <f t="shared" si="130"/>
        <v>48.92560129</v>
      </c>
      <c r="BW95" s="16">
        <f t="shared" si="130"/>
        <v>55.22585889</v>
      </c>
      <c r="BX95" s="6" t="s">
        <v>35</v>
      </c>
      <c r="BY95" s="17">
        <f>SUM(D95:G95)</f>
        <v>0</v>
      </c>
      <c r="BZ95" s="17">
        <f>SUM(H95:K95)</f>
        <v>0</v>
      </c>
      <c r="CA95" s="17">
        <f>SUM(L95:O95)</f>
        <v>0</v>
      </c>
      <c r="CB95" s="17">
        <f>SUM(P95:S95)</f>
        <v>0</v>
      </c>
      <c r="CC95" s="17">
        <f>SUM(T95:W95)</f>
        <v>0</v>
      </c>
      <c r="CD95" s="17">
        <f>SUM(X95:AA95)</f>
        <v>0</v>
      </c>
      <c r="CE95" s="17">
        <f>SUM(AB95:AE95)</f>
        <v>0</v>
      </c>
      <c r="CF95" s="17">
        <f>SUM(AF95:AI95)</f>
        <v>56.06230198</v>
      </c>
      <c r="CG95" s="17">
        <f>SUM(AJ95:AM95)</f>
        <v>78.13641403</v>
      </c>
      <c r="CH95" s="17">
        <f>SUM(AN95:AQ95)</f>
        <v>95.05948937</v>
      </c>
      <c r="CI95" s="17">
        <f>SUM(AR95:AU95)</f>
        <v>106.7886069</v>
      </c>
      <c r="CJ95" s="17">
        <f>SUM(AV95:AY95)</f>
        <v>116.6808852</v>
      </c>
      <c r="CK95" s="17">
        <f>SUM(AZ95:BC95)</f>
        <v>127.4895269</v>
      </c>
      <c r="CL95" s="17">
        <f>SUM(BD95:BG95)</f>
        <v>139.2994186</v>
      </c>
      <c r="CM95" s="17">
        <f>SUM(BH95:BK95)</f>
        <v>152.2033102</v>
      </c>
      <c r="CN95" s="17">
        <f>SUM(BL95:BO95)</f>
        <v>166.3025437</v>
      </c>
      <c r="CO95" s="17">
        <f>SUM(BP95:BS95)</f>
        <v>181.7078486</v>
      </c>
      <c r="CP95" s="17">
        <f>SUM(BT95:BW95)</f>
        <v>198.5402117</v>
      </c>
      <c r="CQ95" s="6" t="s">
        <v>35</v>
      </c>
    </row>
    <row r="96" ht="14.25" customHeight="1">
      <c r="B96" s="10" t="str">
        <f t="shared" ref="B96:C96" si="131">B69</f>
        <v>a/a %</v>
      </c>
      <c r="C96" s="9" t="str">
        <f t="shared" si="131"/>
        <v>[%]</v>
      </c>
      <c r="BX96" s="6" t="s">
        <v>35</v>
      </c>
      <c r="BY96" s="19"/>
      <c r="BZ96" s="19"/>
      <c r="CA96" s="19"/>
      <c r="CB96" s="19"/>
      <c r="CC96" s="19"/>
      <c r="CD96" s="19"/>
      <c r="CE96" s="19"/>
      <c r="CF96" s="19"/>
      <c r="CG96" s="19">
        <f t="shared" ref="CG96:CP96" si="132">CG95/CF95-1</f>
        <v>0.3937425199</v>
      </c>
      <c r="CH96" s="19">
        <f t="shared" si="132"/>
        <v>0.2165837217</v>
      </c>
      <c r="CI96" s="19">
        <f t="shared" si="132"/>
        <v>0.1233871299</v>
      </c>
      <c r="CJ96" s="19">
        <f t="shared" si="132"/>
        <v>0.0926342105</v>
      </c>
      <c r="CK96" s="19">
        <f t="shared" si="132"/>
        <v>0.0926342105</v>
      </c>
      <c r="CL96" s="19">
        <f t="shared" si="132"/>
        <v>0.0926342105</v>
      </c>
      <c r="CM96" s="19">
        <f t="shared" si="132"/>
        <v>0.0926342105</v>
      </c>
      <c r="CN96" s="19">
        <f t="shared" si="132"/>
        <v>0.0926342105</v>
      </c>
      <c r="CO96" s="19">
        <f t="shared" si="132"/>
        <v>0.0926342105</v>
      </c>
      <c r="CP96" s="19">
        <f t="shared" si="132"/>
        <v>0.0926342105</v>
      </c>
      <c r="CQ96" s="6" t="s">
        <v>35</v>
      </c>
    </row>
    <row r="97" ht="14.25" hidden="1" customHeight="1">
      <c r="B97" s="10" t="s">
        <v>195</v>
      </c>
      <c r="C97" s="9" t="str">
        <f>C70</f>
        <v>[%]</v>
      </c>
      <c r="AH97" s="18">
        <f t="shared" ref="AH97:BW97" si="133">AH95/AH$20</f>
        <v>0.06900356671</v>
      </c>
      <c r="AI97" s="18">
        <f t="shared" si="133"/>
        <v>0.06901777452</v>
      </c>
      <c r="AJ97" s="18">
        <f t="shared" si="133"/>
        <v>0.04207470268</v>
      </c>
      <c r="AK97" s="18">
        <f t="shared" si="133"/>
        <v>0.05575424718</v>
      </c>
      <c r="AL97" s="18">
        <f t="shared" si="133"/>
        <v>0.05575424718</v>
      </c>
      <c r="AM97" s="18">
        <f t="shared" si="133"/>
        <v>0.05575424718</v>
      </c>
      <c r="AN97" s="18">
        <f t="shared" si="133"/>
        <v>0.05840921133</v>
      </c>
      <c r="AO97" s="18">
        <f t="shared" si="133"/>
        <v>0.05840921133</v>
      </c>
      <c r="AP97" s="18">
        <f t="shared" si="133"/>
        <v>0.05840921133</v>
      </c>
      <c r="AQ97" s="18">
        <f t="shared" si="133"/>
        <v>0.05840921133</v>
      </c>
      <c r="AR97" s="18">
        <f t="shared" si="133"/>
        <v>0.05973669341</v>
      </c>
      <c r="AS97" s="18">
        <f t="shared" si="133"/>
        <v>0.05973669341</v>
      </c>
      <c r="AT97" s="18">
        <f t="shared" si="133"/>
        <v>0.05973669341</v>
      </c>
      <c r="AU97" s="18">
        <f t="shared" si="133"/>
        <v>0.05973669341</v>
      </c>
      <c r="AV97" s="18">
        <f t="shared" si="133"/>
        <v>0.05973669341</v>
      </c>
      <c r="AW97" s="18">
        <f t="shared" si="133"/>
        <v>0.05973669341</v>
      </c>
      <c r="AX97" s="18">
        <f t="shared" si="133"/>
        <v>0.05973669341</v>
      </c>
      <c r="AY97" s="18">
        <f t="shared" si="133"/>
        <v>0.05973669341</v>
      </c>
      <c r="AZ97" s="18">
        <f t="shared" si="133"/>
        <v>0.05973669341</v>
      </c>
      <c r="BA97" s="18">
        <f t="shared" si="133"/>
        <v>0.05973669341</v>
      </c>
      <c r="BB97" s="18">
        <f t="shared" si="133"/>
        <v>0.05973669341</v>
      </c>
      <c r="BC97" s="18">
        <f t="shared" si="133"/>
        <v>0.05973669341</v>
      </c>
      <c r="BD97" s="18">
        <f t="shared" si="133"/>
        <v>0.05973669341</v>
      </c>
      <c r="BE97" s="18">
        <f t="shared" si="133"/>
        <v>0.05973669341</v>
      </c>
      <c r="BF97" s="18">
        <f t="shared" si="133"/>
        <v>0.05973669341</v>
      </c>
      <c r="BG97" s="18">
        <f t="shared" si="133"/>
        <v>0.05973669341</v>
      </c>
      <c r="BH97" s="18">
        <f t="shared" si="133"/>
        <v>0.05973669341</v>
      </c>
      <c r="BI97" s="18">
        <f t="shared" si="133"/>
        <v>0.05973669341</v>
      </c>
      <c r="BJ97" s="18">
        <f t="shared" si="133"/>
        <v>0.05973669341</v>
      </c>
      <c r="BK97" s="18">
        <f t="shared" si="133"/>
        <v>0.05973669341</v>
      </c>
      <c r="BL97" s="18">
        <f t="shared" si="133"/>
        <v>0.05973669341</v>
      </c>
      <c r="BM97" s="18">
        <f t="shared" si="133"/>
        <v>0.05973669341</v>
      </c>
      <c r="BN97" s="18">
        <f t="shared" si="133"/>
        <v>0.05973669341</v>
      </c>
      <c r="BO97" s="18">
        <f t="shared" si="133"/>
        <v>0.05973669341</v>
      </c>
      <c r="BP97" s="18">
        <f t="shared" si="133"/>
        <v>0.05973669341</v>
      </c>
      <c r="BQ97" s="18">
        <f t="shared" si="133"/>
        <v>0.05973669341</v>
      </c>
      <c r="BR97" s="18">
        <f t="shared" si="133"/>
        <v>0.05973669341</v>
      </c>
      <c r="BS97" s="18">
        <f t="shared" si="133"/>
        <v>0.05973669341</v>
      </c>
      <c r="BT97" s="18">
        <f t="shared" si="133"/>
        <v>0.05973669341</v>
      </c>
      <c r="BU97" s="18">
        <f t="shared" si="133"/>
        <v>0.05973669341</v>
      </c>
      <c r="BV97" s="18">
        <f t="shared" si="133"/>
        <v>0.05973669341</v>
      </c>
      <c r="BW97" s="18">
        <f t="shared" si="133"/>
        <v>0.05973669341</v>
      </c>
      <c r="BX97" s="6" t="s">
        <v>35</v>
      </c>
      <c r="CE97" s="19"/>
      <c r="CF97" s="19">
        <f t="shared" ref="CF97:CP97" si="134">CF95/CF$20</f>
        <v>0.04542913811</v>
      </c>
      <c r="CG97" s="19">
        <f t="shared" si="134"/>
        <v>0.05237232371</v>
      </c>
      <c r="CH97" s="19">
        <f t="shared" si="134"/>
        <v>0.05840921133</v>
      </c>
      <c r="CI97" s="19">
        <f t="shared" si="134"/>
        <v>0.05973669341</v>
      </c>
      <c r="CJ97" s="19">
        <f t="shared" si="134"/>
        <v>0.05973669341</v>
      </c>
      <c r="CK97" s="19">
        <f t="shared" si="134"/>
        <v>0.05973669341</v>
      </c>
      <c r="CL97" s="19">
        <f t="shared" si="134"/>
        <v>0.05973669341</v>
      </c>
      <c r="CM97" s="19">
        <f t="shared" si="134"/>
        <v>0.05973669341</v>
      </c>
      <c r="CN97" s="19">
        <f t="shared" si="134"/>
        <v>0.05973669341</v>
      </c>
      <c r="CO97" s="19">
        <f t="shared" si="134"/>
        <v>0.05973669341</v>
      </c>
      <c r="CP97" s="19">
        <f t="shared" si="134"/>
        <v>0.05973669341</v>
      </c>
      <c r="CQ97" s="6" t="s">
        <v>35</v>
      </c>
    </row>
    <row r="98" ht="14.25" customHeight="1">
      <c r="B98" s="10" t="s">
        <v>44</v>
      </c>
      <c r="C98" s="9" t="str">
        <f>C97</f>
        <v>[%]</v>
      </c>
      <c r="AH98" s="18">
        <f t="shared" ref="AH98:AJ98" si="135">AH95/AH35</f>
        <v>0.2030013712</v>
      </c>
      <c r="AI98" s="18">
        <f t="shared" si="135"/>
        <v>0.2313765163</v>
      </c>
      <c r="AJ98" s="18">
        <f t="shared" si="135"/>
        <v>0.1584755962</v>
      </c>
      <c r="AK98" s="31">
        <v>0.21</v>
      </c>
      <c r="AL98" s="31">
        <v>0.21</v>
      </c>
      <c r="AM98" s="31">
        <v>0.21</v>
      </c>
      <c r="AN98" s="31">
        <v>0.22</v>
      </c>
      <c r="AO98" s="31">
        <v>0.22</v>
      </c>
      <c r="AP98" s="31">
        <v>0.22</v>
      </c>
      <c r="AQ98" s="31">
        <v>0.22</v>
      </c>
      <c r="AR98" s="31">
        <v>0.225</v>
      </c>
      <c r="AS98" s="31">
        <v>0.225</v>
      </c>
      <c r="AT98" s="31">
        <v>0.225</v>
      </c>
      <c r="AU98" s="31">
        <v>0.225</v>
      </c>
      <c r="AV98" s="31">
        <v>0.225</v>
      </c>
      <c r="AW98" s="31">
        <v>0.225</v>
      </c>
      <c r="AX98" s="31">
        <v>0.225</v>
      </c>
      <c r="AY98" s="31">
        <v>0.225</v>
      </c>
      <c r="AZ98" s="31">
        <v>0.225</v>
      </c>
      <c r="BA98" s="31">
        <v>0.225</v>
      </c>
      <c r="BB98" s="31">
        <v>0.225</v>
      </c>
      <c r="BC98" s="31">
        <v>0.225</v>
      </c>
      <c r="BD98" s="31">
        <v>0.225</v>
      </c>
      <c r="BE98" s="31">
        <v>0.225</v>
      </c>
      <c r="BF98" s="31">
        <v>0.225</v>
      </c>
      <c r="BG98" s="31">
        <v>0.225</v>
      </c>
      <c r="BH98" s="31">
        <v>0.225</v>
      </c>
      <c r="BI98" s="31">
        <v>0.225</v>
      </c>
      <c r="BJ98" s="31">
        <v>0.225</v>
      </c>
      <c r="BK98" s="31">
        <v>0.225</v>
      </c>
      <c r="BL98" s="31">
        <v>0.225</v>
      </c>
      <c r="BM98" s="31">
        <v>0.225</v>
      </c>
      <c r="BN98" s="31">
        <v>0.225</v>
      </c>
      <c r="BO98" s="31">
        <v>0.225</v>
      </c>
      <c r="BP98" s="31">
        <v>0.225</v>
      </c>
      <c r="BQ98" s="31">
        <v>0.225</v>
      </c>
      <c r="BR98" s="31">
        <v>0.225</v>
      </c>
      <c r="BS98" s="31">
        <v>0.225</v>
      </c>
      <c r="BT98" s="31">
        <v>0.225</v>
      </c>
      <c r="BU98" s="31">
        <v>0.225</v>
      </c>
      <c r="BV98" s="31">
        <v>0.225</v>
      </c>
      <c r="BW98" s="31">
        <v>0.225</v>
      </c>
      <c r="BX98" s="6" t="s">
        <v>35</v>
      </c>
      <c r="CE98" s="18"/>
      <c r="CF98" s="18">
        <f t="shared" ref="CF98:CP98" si="136">CF95/CF35</f>
        <v>0.2167344532</v>
      </c>
      <c r="CG98" s="18">
        <f t="shared" si="136"/>
        <v>0.1972618865</v>
      </c>
      <c r="CH98" s="18">
        <f t="shared" si="136"/>
        <v>0.22</v>
      </c>
      <c r="CI98" s="18">
        <f t="shared" si="136"/>
        <v>0.225</v>
      </c>
      <c r="CJ98" s="18">
        <f t="shared" si="136"/>
        <v>0.225</v>
      </c>
      <c r="CK98" s="18">
        <f t="shared" si="136"/>
        <v>0.225</v>
      </c>
      <c r="CL98" s="18">
        <f t="shared" si="136"/>
        <v>0.225</v>
      </c>
      <c r="CM98" s="18">
        <f t="shared" si="136"/>
        <v>0.225</v>
      </c>
      <c r="CN98" s="18">
        <f t="shared" si="136"/>
        <v>0.225</v>
      </c>
      <c r="CO98" s="18">
        <f t="shared" si="136"/>
        <v>0.225</v>
      </c>
      <c r="CP98" s="18">
        <f t="shared" si="136"/>
        <v>0.225</v>
      </c>
      <c r="CQ98" s="6" t="s">
        <v>35</v>
      </c>
    </row>
    <row r="99" ht="14.25" customHeight="1">
      <c r="BX99" s="6" t="s">
        <v>35</v>
      </c>
      <c r="CQ99" s="6" t="s">
        <v>35</v>
      </c>
    </row>
    <row r="100" ht="14.25" customHeight="1">
      <c r="B100" s="73" t="str">
        <f>Inputs!B146</f>
        <v>Despesas operacionais, gerais e administrativas </v>
      </c>
      <c r="C100" s="90" t="str">
        <f>C95</f>
        <v>[BRL 000]</v>
      </c>
      <c r="D100" s="123">
        <f>Inputs!F147/1000</f>
        <v>-9.014</v>
      </c>
      <c r="E100" s="123">
        <f>Inputs!G147/1000</f>
        <v>-10.452</v>
      </c>
      <c r="F100" s="123">
        <f>Inputs!H147/1000</f>
        <v>-8.349</v>
      </c>
      <c r="G100" s="123">
        <f>Inputs!I147/1000</f>
        <v>-13.301</v>
      </c>
      <c r="H100" s="123">
        <f>Inputs!J147/1000</f>
        <v>-8.349</v>
      </c>
      <c r="I100" s="123">
        <f>Inputs!K147/1000</f>
        <v>-4.123</v>
      </c>
      <c r="J100" s="123">
        <f>Inputs!L147/1000</f>
        <v>-5.844</v>
      </c>
      <c r="K100" s="123">
        <f>Inputs!M147/1000</f>
        <v>-12.059</v>
      </c>
      <c r="L100" s="123">
        <f>Inputs!N147/1000</f>
        <v>-9.44</v>
      </c>
      <c r="M100" s="123">
        <f>Inputs!O147/1000</f>
        <v>-10.9</v>
      </c>
      <c r="N100" s="123">
        <f>Inputs!P147/1000</f>
        <v>-11.224</v>
      </c>
      <c r="O100" s="123">
        <f>Inputs!Q147/1000</f>
        <v>-10.5</v>
      </c>
      <c r="P100" s="123">
        <f>Inputs!R147/1000</f>
        <v>1.144</v>
      </c>
      <c r="Q100" s="123">
        <f>Inputs!S147/1000</f>
        <v>-10.798</v>
      </c>
      <c r="R100" s="123">
        <f>Inputs!T147/1000</f>
        <v>-12.461</v>
      </c>
      <c r="S100" s="123">
        <f>Inputs!U147/1000</f>
        <v>-9.883</v>
      </c>
      <c r="T100" s="123">
        <f>Inputs!V147/1000</f>
        <v>-11.007</v>
      </c>
      <c r="U100" s="123">
        <f>Inputs!W147/1000</f>
        <v>-12.675</v>
      </c>
      <c r="V100" s="123">
        <f>Inputs!X147/1000</f>
        <v>-14.047</v>
      </c>
      <c r="W100" s="123">
        <f>Inputs!Y147/1000</f>
        <v>-12.233</v>
      </c>
      <c r="X100" s="123">
        <f>Inputs!Z147/1000</f>
        <v>-14.971</v>
      </c>
      <c r="Y100" s="123">
        <f>Inputs!AA147/1000</f>
        <v>-19.973</v>
      </c>
      <c r="Z100" s="123">
        <f>Inputs!AB147/1000</f>
        <v>-27.577</v>
      </c>
      <c r="AA100" s="123">
        <f>Inputs!AC147/1000</f>
        <v>-31.603</v>
      </c>
      <c r="AB100" s="123">
        <f>Inputs!AD147/1000</f>
        <v>-25.536</v>
      </c>
      <c r="AC100" s="123">
        <f>Inputs!AE147/1000</f>
        <v>-30.564</v>
      </c>
      <c r="AD100" s="123">
        <f>Inputs!AF147/1000</f>
        <v>-30.896</v>
      </c>
      <c r="AE100" s="123">
        <f>Inputs!AG147/1000</f>
        <v>-41.176</v>
      </c>
      <c r="AF100" s="123">
        <f>Inputs!AH147/1000</f>
        <v>-29.528</v>
      </c>
      <c r="AG100" s="123">
        <f>Inputs!AI147/1000</f>
        <v>-32.401</v>
      </c>
      <c r="AH100" s="123">
        <f>Inputs!AJ147/1000</f>
        <v>-43.794</v>
      </c>
      <c r="AI100" s="123">
        <f>Inputs!AK147/1000</f>
        <v>-56.39</v>
      </c>
      <c r="AJ100" s="123">
        <f>Inputs!AL147/1000</f>
        <v>-52.195</v>
      </c>
      <c r="AK100" s="123">
        <f t="shared" ref="AK100:AM100" si="137">AK104*(AK44/1000)*3</f>
        <v>-50.88390862</v>
      </c>
      <c r="AL100" s="123">
        <f t="shared" si="137"/>
        <v>-40.03524573</v>
      </c>
      <c r="AM100" s="123">
        <f t="shared" si="137"/>
        <v>-52.13710145</v>
      </c>
      <c r="AN100" s="123">
        <f t="shared" ref="AN100:BW100" si="138">AN102*AN20</f>
        <v>-42.34443939</v>
      </c>
      <c r="AO100" s="123">
        <f t="shared" si="138"/>
        <v>-42.37631125</v>
      </c>
      <c r="AP100" s="123">
        <f t="shared" si="138"/>
        <v>-44.24086894</v>
      </c>
      <c r="AQ100" s="123">
        <f t="shared" si="138"/>
        <v>-50.06055163</v>
      </c>
      <c r="AR100" s="123">
        <f t="shared" si="138"/>
        <v>-44.71186733</v>
      </c>
      <c r="AS100" s="123">
        <f t="shared" si="138"/>
        <v>-44.52509982</v>
      </c>
      <c r="AT100" s="123">
        <f t="shared" si="138"/>
        <v>-46.25521798</v>
      </c>
      <c r="AU100" s="123">
        <f t="shared" si="138"/>
        <v>-52.21160443</v>
      </c>
      <c r="AV100" s="123">
        <f t="shared" si="138"/>
        <v>-46.52734843</v>
      </c>
      <c r="AW100" s="123">
        <f t="shared" si="138"/>
        <v>-46.33299741</v>
      </c>
      <c r="AX100" s="123">
        <f t="shared" si="138"/>
        <v>-48.13336531</v>
      </c>
      <c r="AY100" s="123">
        <f t="shared" si="138"/>
        <v>-54.33160494</v>
      </c>
      <c r="AZ100" s="123">
        <f t="shared" si="138"/>
        <v>-50.83737262</v>
      </c>
      <c r="BA100" s="123">
        <f t="shared" si="138"/>
        <v>-50.62501805</v>
      </c>
      <c r="BB100" s="123">
        <f t="shared" si="138"/>
        <v>-52.59216161</v>
      </c>
      <c r="BC100" s="123">
        <f t="shared" si="138"/>
        <v>-59.36457027</v>
      </c>
      <c r="BD100" s="123">
        <f t="shared" si="138"/>
        <v>-55.5466525</v>
      </c>
      <c r="BE100" s="123">
        <f t="shared" si="138"/>
        <v>-55.31462663</v>
      </c>
      <c r="BF100" s="123">
        <f t="shared" si="138"/>
        <v>-57.46399498</v>
      </c>
      <c r="BG100" s="123">
        <f t="shared" si="138"/>
        <v>-64.86376036</v>
      </c>
      <c r="BH100" s="123">
        <f t="shared" si="138"/>
        <v>-60.6921728</v>
      </c>
      <c r="BI100" s="123">
        <f t="shared" si="138"/>
        <v>-60.4386534</v>
      </c>
      <c r="BJ100" s="123">
        <f t="shared" si="138"/>
        <v>-62.78712679</v>
      </c>
      <c r="BK100" s="123">
        <f t="shared" si="138"/>
        <v>-70.8723636</v>
      </c>
      <c r="BL100" s="123">
        <f t="shared" si="138"/>
        <v>-66.31434431</v>
      </c>
      <c r="BM100" s="123">
        <f t="shared" si="138"/>
        <v>-66.03734034</v>
      </c>
      <c r="BN100" s="123">
        <f t="shared" si="138"/>
        <v>-68.6033627</v>
      </c>
      <c r="BO100" s="123">
        <f t="shared" si="138"/>
        <v>-77.43756904</v>
      </c>
      <c r="BP100" s="123">
        <f t="shared" si="138"/>
        <v>-72.45732124</v>
      </c>
      <c r="BQ100" s="123">
        <f t="shared" si="138"/>
        <v>-72.15465722</v>
      </c>
      <c r="BR100" s="123">
        <f t="shared" si="138"/>
        <v>-74.95838105</v>
      </c>
      <c r="BS100" s="123">
        <f t="shared" si="138"/>
        <v>-84.61093711</v>
      </c>
      <c r="BT100" s="123">
        <f t="shared" si="138"/>
        <v>-79.16934799</v>
      </c>
      <c r="BU100" s="123">
        <f t="shared" si="138"/>
        <v>-78.83864693</v>
      </c>
      <c r="BV100" s="123">
        <f t="shared" si="138"/>
        <v>-81.9020915</v>
      </c>
      <c r="BW100" s="123">
        <f t="shared" si="138"/>
        <v>-92.44880447</v>
      </c>
      <c r="BX100" s="6" t="s">
        <v>35</v>
      </c>
      <c r="BY100" s="17">
        <f>SUM(D100:G100)</f>
        <v>-41.116</v>
      </c>
      <c r="BZ100" s="17">
        <f>SUM(H100:K100)</f>
        <v>-30.375</v>
      </c>
      <c r="CA100" s="17">
        <f>SUM(L100:O100)</f>
        <v>-42.064</v>
      </c>
      <c r="CB100" s="17">
        <f>SUM(P100:S100)</f>
        <v>-31.998</v>
      </c>
      <c r="CC100" s="17">
        <f>SUM(T100:W100)</f>
        <v>-49.962</v>
      </c>
      <c r="CD100" s="17">
        <f>SUM(X100:AA100)</f>
        <v>-94.124</v>
      </c>
      <c r="CE100" s="17">
        <f>SUM(AB100:AE100)</f>
        <v>-128.172</v>
      </c>
      <c r="CF100" s="17">
        <f>SUM(AF100:AI100)</f>
        <v>-162.113</v>
      </c>
      <c r="CG100" s="17">
        <f>SUM(AJ100:AM100)</f>
        <v>-195.2512558</v>
      </c>
      <c r="CH100" s="17">
        <f>SUM(AN100:AQ100)</f>
        <v>-179.0221712</v>
      </c>
      <c r="CI100" s="17">
        <f>SUM(AR100:AU100)</f>
        <v>-187.7037896</v>
      </c>
      <c r="CJ100" s="17">
        <f>SUM(AV100:AY100)</f>
        <v>-195.3253161</v>
      </c>
      <c r="CK100" s="17">
        <f>SUM(AZ100:BC100)</f>
        <v>-213.4191225</v>
      </c>
      <c r="CL100" s="17">
        <f>SUM(BD100:BG100)</f>
        <v>-233.1890345</v>
      </c>
      <c r="CM100" s="17">
        <f>SUM(BH100:BK100)</f>
        <v>-254.7903166</v>
      </c>
      <c r="CN100" s="17">
        <f>SUM(BL100:BO100)</f>
        <v>-278.3926164</v>
      </c>
      <c r="CO100" s="17">
        <f>SUM(BP100:BS100)</f>
        <v>-304.1812966</v>
      </c>
      <c r="CP100" s="17">
        <f>SUM(BT100:BW100)</f>
        <v>-332.3588909</v>
      </c>
      <c r="CQ100" s="6" t="s">
        <v>35</v>
      </c>
    </row>
    <row r="101" ht="14.25" customHeight="1">
      <c r="B101" s="10" t="str">
        <f t="shared" ref="B101:C101" si="139">B96</f>
        <v>a/a %</v>
      </c>
      <c r="C101" s="9" t="str">
        <f t="shared" si="139"/>
        <v>[%]</v>
      </c>
      <c r="H101" s="18">
        <f t="shared" ref="H101:BW101" si="140">H100/D100-1</f>
        <v>-0.07377412913</v>
      </c>
      <c r="I101" s="18">
        <f t="shared" si="140"/>
        <v>-0.6055300421</v>
      </c>
      <c r="J101" s="18">
        <f t="shared" si="140"/>
        <v>-0.3000359324</v>
      </c>
      <c r="K101" s="18">
        <f t="shared" si="140"/>
        <v>-0.09337643786</v>
      </c>
      <c r="L101" s="18">
        <f t="shared" si="140"/>
        <v>0.1306743323</v>
      </c>
      <c r="M101" s="18">
        <f t="shared" si="140"/>
        <v>1.643706039</v>
      </c>
      <c r="N101" s="18">
        <f t="shared" si="140"/>
        <v>0.9206023272</v>
      </c>
      <c r="O101" s="18">
        <f t="shared" si="140"/>
        <v>-0.1292810349</v>
      </c>
      <c r="P101" s="18">
        <f t="shared" si="140"/>
        <v>-1.121186441</v>
      </c>
      <c r="Q101" s="18">
        <f t="shared" si="140"/>
        <v>-0.009357798165</v>
      </c>
      <c r="R101" s="18">
        <f t="shared" si="140"/>
        <v>0.1102102637</v>
      </c>
      <c r="S101" s="18">
        <f t="shared" si="140"/>
        <v>-0.05876190476</v>
      </c>
      <c r="T101" s="18">
        <f t="shared" si="140"/>
        <v>-10.6215035</v>
      </c>
      <c r="U101" s="18">
        <f t="shared" si="140"/>
        <v>0.1738284868</v>
      </c>
      <c r="V101" s="18">
        <f t="shared" si="140"/>
        <v>0.1272771046</v>
      </c>
      <c r="W101" s="18">
        <f t="shared" si="140"/>
        <v>0.23778205</v>
      </c>
      <c r="X101" s="18">
        <f t="shared" si="140"/>
        <v>0.3601344599</v>
      </c>
      <c r="Y101" s="18">
        <f t="shared" si="140"/>
        <v>0.5757790927</v>
      </c>
      <c r="Z101" s="18">
        <f t="shared" si="140"/>
        <v>0.9631949883</v>
      </c>
      <c r="AA101" s="18">
        <f t="shared" si="140"/>
        <v>1.583421892</v>
      </c>
      <c r="AB101" s="18">
        <f t="shared" si="140"/>
        <v>0.7056976822</v>
      </c>
      <c r="AC101" s="18">
        <f t="shared" si="140"/>
        <v>0.5302658589</v>
      </c>
      <c r="AD101" s="18">
        <f t="shared" si="140"/>
        <v>0.1203539181</v>
      </c>
      <c r="AE101" s="18">
        <f t="shared" si="140"/>
        <v>0.3029142803</v>
      </c>
      <c r="AF101" s="18">
        <f t="shared" si="140"/>
        <v>0.1563283208</v>
      </c>
      <c r="AG101" s="18">
        <f t="shared" si="140"/>
        <v>0.06010338961</v>
      </c>
      <c r="AH101" s="18">
        <f t="shared" si="140"/>
        <v>0.417465044</v>
      </c>
      <c r="AI101" s="18">
        <f t="shared" si="140"/>
        <v>0.3694870799</v>
      </c>
      <c r="AJ101" s="18">
        <f t="shared" si="140"/>
        <v>0.7676442698</v>
      </c>
      <c r="AK101" s="18">
        <f t="shared" si="140"/>
        <v>0.5704425363</v>
      </c>
      <c r="AL101" s="18">
        <f t="shared" si="140"/>
        <v>-0.08582806487</v>
      </c>
      <c r="AM101" s="18">
        <f t="shared" si="140"/>
        <v>-0.07541937483</v>
      </c>
      <c r="AN101" s="18">
        <f t="shared" si="140"/>
        <v>-0.1887261349</v>
      </c>
      <c r="AO101" s="18">
        <f t="shared" si="140"/>
        <v>-0.1671962238</v>
      </c>
      <c r="AP101" s="18">
        <f t="shared" si="140"/>
        <v>0.105048018</v>
      </c>
      <c r="AQ101" s="18">
        <f t="shared" si="140"/>
        <v>-0.03982863962</v>
      </c>
      <c r="AR101" s="18">
        <f t="shared" si="140"/>
        <v>0.05590882706</v>
      </c>
      <c r="AS101" s="18">
        <f t="shared" si="140"/>
        <v>0.05070730574</v>
      </c>
      <c r="AT101" s="18">
        <f t="shared" si="140"/>
        <v>0.04553140768</v>
      </c>
      <c r="AU101" s="18">
        <f t="shared" si="140"/>
        <v>0.04296901911</v>
      </c>
      <c r="AV101" s="18">
        <f t="shared" si="140"/>
        <v>0.04060401</v>
      </c>
      <c r="AW101" s="18">
        <f t="shared" si="140"/>
        <v>0.04060401</v>
      </c>
      <c r="AX101" s="18">
        <f t="shared" si="140"/>
        <v>0.04060401</v>
      </c>
      <c r="AY101" s="18">
        <f t="shared" si="140"/>
        <v>0.04060401</v>
      </c>
      <c r="AZ101" s="18">
        <f t="shared" si="140"/>
        <v>0.0926342105</v>
      </c>
      <c r="BA101" s="18">
        <f t="shared" si="140"/>
        <v>0.0926342105</v>
      </c>
      <c r="BB101" s="18">
        <f t="shared" si="140"/>
        <v>0.0926342105</v>
      </c>
      <c r="BC101" s="18">
        <f t="shared" si="140"/>
        <v>0.0926342105</v>
      </c>
      <c r="BD101" s="18">
        <f t="shared" si="140"/>
        <v>0.0926342105</v>
      </c>
      <c r="BE101" s="18">
        <f t="shared" si="140"/>
        <v>0.0926342105</v>
      </c>
      <c r="BF101" s="18">
        <f t="shared" si="140"/>
        <v>0.0926342105</v>
      </c>
      <c r="BG101" s="18">
        <f t="shared" si="140"/>
        <v>0.0926342105</v>
      </c>
      <c r="BH101" s="18">
        <f t="shared" si="140"/>
        <v>0.0926342105</v>
      </c>
      <c r="BI101" s="18">
        <f t="shared" si="140"/>
        <v>0.0926342105</v>
      </c>
      <c r="BJ101" s="18">
        <f t="shared" si="140"/>
        <v>0.0926342105</v>
      </c>
      <c r="BK101" s="18">
        <f t="shared" si="140"/>
        <v>0.0926342105</v>
      </c>
      <c r="BL101" s="18">
        <f t="shared" si="140"/>
        <v>0.0926342105</v>
      </c>
      <c r="BM101" s="18">
        <f t="shared" si="140"/>
        <v>0.0926342105</v>
      </c>
      <c r="BN101" s="18">
        <f t="shared" si="140"/>
        <v>0.0926342105</v>
      </c>
      <c r="BO101" s="18">
        <f t="shared" si="140"/>
        <v>0.0926342105</v>
      </c>
      <c r="BP101" s="18">
        <f t="shared" si="140"/>
        <v>0.0926342105</v>
      </c>
      <c r="BQ101" s="18">
        <f t="shared" si="140"/>
        <v>0.0926342105</v>
      </c>
      <c r="BR101" s="18">
        <f t="shared" si="140"/>
        <v>0.0926342105</v>
      </c>
      <c r="BS101" s="18">
        <f t="shared" si="140"/>
        <v>0.0926342105</v>
      </c>
      <c r="BT101" s="18">
        <f t="shared" si="140"/>
        <v>0.0926342105</v>
      </c>
      <c r="BU101" s="18">
        <f t="shared" si="140"/>
        <v>0.0926342105</v>
      </c>
      <c r="BV101" s="18">
        <f t="shared" si="140"/>
        <v>0.0926342105</v>
      </c>
      <c r="BW101" s="18">
        <f t="shared" si="140"/>
        <v>0.0926342105</v>
      </c>
      <c r="BX101" s="6" t="s">
        <v>35</v>
      </c>
      <c r="BY101" s="19"/>
      <c r="BZ101" s="19"/>
      <c r="CA101" s="19"/>
      <c r="CB101" s="19"/>
      <c r="CC101" s="19"/>
      <c r="CD101" s="19"/>
      <c r="CE101" s="19">
        <f t="shared" ref="CE101:CP101" si="141">CE100/CD100-1</f>
        <v>0.3617355828</v>
      </c>
      <c r="CF101" s="19">
        <f t="shared" si="141"/>
        <v>0.2648082264</v>
      </c>
      <c r="CG101" s="19">
        <f t="shared" si="141"/>
        <v>0.2044145491</v>
      </c>
      <c r="CH101" s="19">
        <f t="shared" si="141"/>
        <v>-0.08311897677</v>
      </c>
      <c r="CI101" s="19">
        <f t="shared" si="141"/>
        <v>0.04849465455</v>
      </c>
      <c r="CJ101" s="19">
        <f t="shared" si="141"/>
        <v>0.04060401</v>
      </c>
      <c r="CK101" s="19">
        <f t="shared" si="141"/>
        <v>0.0926342105</v>
      </c>
      <c r="CL101" s="19">
        <f t="shared" si="141"/>
        <v>0.0926342105</v>
      </c>
      <c r="CM101" s="19">
        <f t="shared" si="141"/>
        <v>0.0926342105</v>
      </c>
      <c r="CN101" s="19">
        <f t="shared" si="141"/>
        <v>0.0926342105</v>
      </c>
      <c r="CO101" s="19">
        <f t="shared" si="141"/>
        <v>0.0926342105</v>
      </c>
      <c r="CP101" s="19">
        <f t="shared" si="141"/>
        <v>0.0926342105</v>
      </c>
      <c r="CQ101" s="6" t="s">
        <v>35</v>
      </c>
    </row>
    <row r="102" ht="14.25" customHeight="1">
      <c r="B102" s="10" t="str">
        <f t="shared" ref="B102:C102" si="142">B92</f>
        <v>% da Receita Líquida</v>
      </c>
      <c r="C102" s="9" t="str">
        <f t="shared" si="142"/>
        <v>[%]</v>
      </c>
      <c r="D102" s="18">
        <f t="shared" ref="D102:AM102" si="143">D100/D$20</f>
        <v>-0.172378184</v>
      </c>
      <c r="E102" s="18">
        <f t="shared" si="143"/>
        <v>-0.193462407</v>
      </c>
      <c r="F102" s="18">
        <f t="shared" si="143"/>
        <v>-0.1359794133</v>
      </c>
      <c r="G102" s="18">
        <f t="shared" si="143"/>
        <v>-0.1933706477</v>
      </c>
      <c r="H102" s="18">
        <f t="shared" si="143"/>
        <v>-0.1097166737</v>
      </c>
      <c r="I102" s="18">
        <f t="shared" si="143"/>
        <v>-0.04889357968</v>
      </c>
      <c r="J102" s="18">
        <f t="shared" si="143"/>
        <v>-0.07315607631</v>
      </c>
      <c r="K102" s="18">
        <f t="shared" si="143"/>
        <v>-0.1387192141</v>
      </c>
      <c r="L102" s="18">
        <f t="shared" si="143"/>
        <v>-0.1138996139</v>
      </c>
      <c r="M102" s="18">
        <f t="shared" si="143"/>
        <v>-0.1178939171</v>
      </c>
      <c r="N102" s="18">
        <f t="shared" si="143"/>
        <v>-0.1314470417</v>
      </c>
      <c r="O102" s="18">
        <f t="shared" si="143"/>
        <v>-0.1194702348</v>
      </c>
      <c r="P102" s="18">
        <f t="shared" si="143"/>
        <v>0.01608503698</v>
      </c>
      <c r="Q102" s="18">
        <f t="shared" si="143"/>
        <v>-0.2240899846</v>
      </c>
      <c r="R102" s="18">
        <f t="shared" si="143"/>
        <v>-0.2272785307</v>
      </c>
      <c r="S102" s="18">
        <f t="shared" si="143"/>
        <v>-0.1451717148</v>
      </c>
      <c r="T102" s="18">
        <f t="shared" si="143"/>
        <v>-0.1403220255</v>
      </c>
      <c r="U102" s="18">
        <f t="shared" si="143"/>
        <v>-0.1136526667</v>
      </c>
      <c r="V102" s="18">
        <f t="shared" si="143"/>
        <v>-0.1136645008</v>
      </c>
      <c r="W102" s="18">
        <f t="shared" si="143"/>
        <v>-0.1022885955</v>
      </c>
      <c r="X102" s="18">
        <f t="shared" si="143"/>
        <v>-0.1157957558</v>
      </c>
      <c r="Y102" s="18">
        <f t="shared" si="143"/>
        <v>-0.108583182</v>
      </c>
      <c r="Z102" s="18">
        <f t="shared" si="143"/>
        <v>-0.1083833549</v>
      </c>
      <c r="AA102" s="18">
        <f t="shared" si="143"/>
        <v>-0.1285588621</v>
      </c>
      <c r="AB102" s="18">
        <f t="shared" si="143"/>
        <v>-0.1058434128</v>
      </c>
      <c r="AC102" s="18">
        <f t="shared" si="143"/>
        <v>-0.1203617412</v>
      </c>
      <c r="AD102" s="18">
        <f t="shared" si="143"/>
        <v>-0.1148735937</v>
      </c>
      <c r="AE102" s="18">
        <f t="shared" si="143"/>
        <v>-0.1458806936</v>
      </c>
      <c r="AF102" s="18">
        <f t="shared" si="143"/>
        <v>-0.1364314114</v>
      </c>
      <c r="AG102" s="18">
        <f t="shared" si="143"/>
        <v>-0.1578529769</v>
      </c>
      <c r="AH102" s="18">
        <f t="shared" si="143"/>
        <v>-0.1115270023</v>
      </c>
      <c r="AI102" s="18">
        <f t="shared" si="143"/>
        <v>-0.1343602713</v>
      </c>
      <c r="AJ102" s="18">
        <f t="shared" si="143"/>
        <v>-0.1415093483</v>
      </c>
      <c r="AK102" s="18">
        <f t="shared" si="143"/>
        <v>-0.1435239608</v>
      </c>
      <c r="AL102" s="18">
        <f t="shared" si="143"/>
        <v>-0.1114623419</v>
      </c>
      <c r="AM102" s="18">
        <f t="shared" si="143"/>
        <v>-0.1273557073</v>
      </c>
      <c r="AN102" s="18">
        <v>-0.11</v>
      </c>
      <c r="AO102" s="18">
        <v>-0.11</v>
      </c>
      <c r="AP102" s="18">
        <v>-0.11</v>
      </c>
      <c r="AQ102" s="18">
        <v>-0.11</v>
      </c>
      <c r="AR102" s="18">
        <v>-0.105</v>
      </c>
      <c r="AS102" s="18">
        <v>-0.105</v>
      </c>
      <c r="AT102" s="18">
        <v>-0.105</v>
      </c>
      <c r="AU102" s="18">
        <v>-0.105</v>
      </c>
      <c r="AV102" s="18">
        <v>-0.1</v>
      </c>
      <c r="AW102" s="18">
        <v>-0.1</v>
      </c>
      <c r="AX102" s="18">
        <v>-0.1</v>
      </c>
      <c r="AY102" s="18">
        <v>-0.1</v>
      </c>
      <c r="AZ102" s="18">
        <v>-0.1</v>
      </c>
      <c r="BA102" s="18">
        <v>-0.1</v>
      </c>
      <c r="BB102" s="18">
        <v>-0.1</v>
      </c>
      <c r="BC102" s="18">
        <v>-0.1</v>
      </c>
      <c r="BD102" s="18">
        <v>-0.1</v>
      </c>
      <c r="BE102" s="18">
        <v>-0.1</v>
      </c>
      <c r="BF102" s="18">
        <v>-0.1</v>
      </c>
      <c r="BG102" s="18">
        <v>-0.1</v>
      </c>
      <c r="BH102" s="18">
        <v>-0.1</v>
      </c>
      <c r="BI102" s="18">
        <v>-0.1</v>
      </c>
      <c r="BJ102" s="18">
        <v>-0.1</v>
      </c>
      <c r="BK102" s="18">
        <v>-0.1</v>
      </c>
      <c r="BL102" s="18">
        <v>-0.1</v>
      </c>
      <c r="BM102" s="18">
        <v>-0.1</v>
      </c>
      <c r="BN102" s="18">
        <v>-0.1</v>
      </c>
      <c r="BO102" s="18">
        <v>-0.1</v>
      </c>
      <c r="BP102" s="18">
        <v>-0.1</v>
      </c>
      <c r="BQ102" s="18">
        <v>-0.1</v>
      </c>
      <c r="BR102" s="18">
        <v>-0.1</v>
      </c>
      <c r="BS102" s="18">
        <v>-0.1</v>
      </c>
      <c r="BT102" s="18">
        <v>-0.1</v>
      </c>
      <c r="BU102" s="18">
        <v>-0.1</v>
      </c>
      <c r="BV102" s="18">
        <v>-0.1</v>
      </c>
      <c r="BW102" s="18">
        <v>-0.1</v>
      </c>
      <c r="BX102" s="6" t="s">
        <v>35</v>
      </c>
      <c r="CE102" s="19">
        <f t="shared" ref="CE102:CP102" si="144">CE100/CE$20</f>
        <v>-0.1224872298</v>
      </c>
      <c r="CF102" s="19">
        <f t="shared" si="144"/>
        <v>-0.1313655274</v>
      </c>
      <c r="CG102" s="18">
        <f t="shared" si="144"/>
        <v>-0.1308706331</v>
      </c>
      <c r="CH102" s="18">
        <f t="shared" si="144"/>
        <v>-0.11</v>
      </c>
      <c r="CI102" s="18">
        <f t="shared" si="144"/>
        <v>-0.105</v>
      </c>
      <c r="CJ102" s="18">
        <f t="shared" si="144"/>
        <v>-0.1</v>
      </c>
      <c r="CK102" s="18">
        <f t="shared" si="144"/>
        <v>-0.1</v>
      </c>
      <c r="CL102" s="18">
        <f t="shared" si="144"/>
        <v>-0.1</v>
      </c>
      <c r="CM102" s="18">
        <f t="shared" si="144"/>
        <v>-0.1</v>
      </c>
      <c r="CN102" s="18">
        <f t="shared" si="144"/>
        <v>-0.1</v>
      </c>
      <c r="CO102" s="18">
        <f t="shared" si="144"/>
        <v>-0.1</v>
      </c>
      <c r="CP102" s="18">
        <f t="shared" si="144"/>
        <v>-0.1</v>
      </c>
      <c r="CQ102" s="6" t="s">
        <v>35</v>
      </c>
    </row>
    <row r="103" ht="14.25" customHeight="1">
      <c r="BX103" s="6" t="s">
        <v>35</v>
      </c>
      <c r="CQ103" s="6" t="s">
        <v>35</v>
      </c>
    </row>
    <row r="104" ht="14.25" customHeight="1">
      <c r="B104" s="10" t="s">
        <v>201</v>
      </c>
      <c r="C104" s="117" t="str">
        <f>C100</f>
        <v>[BRL 000]</v>
      </c>
      <c r="E104" s="54">
        <f t="shared" ref="E104:AJ104" si="145">(E100/E44)*1000/3</f>
        <v>-1.712460064</v>
      </c>
      <c r="F104" s="54">
        <f t="shared" si="145"/>
        <v>-1.158617818</v>
      </c>
      <c r="G104" s="54">
        <f t="shared" si="145"/>
        <v>-1.655588748</v>
      </c>
      <c r="H104" s="54">
        <f t="shared" si="145"/>
        <v>-0.9596551724</v>
      </c>
      <c r="I104" s="54">
        <f t="shared" si="145"/>
        <v>-0.4217039992</v>
      </c>
      <c r="J104" s="54">
        <f t="shared" si="145"/>
        <v>-0.6000308024</v>
      </c>
      <c r="K104" s="54">
        <f t="shared" si="145"/>
        <v>-1.278519932</v>
      </c>
      <c r="L104" s="54">
        <f t="shared" si="145"/>
        <v>-0.9653832387</v>
      </c>
      <c r="M104" s="54">
        <f t="shared" si="145"/>
        <v>-1.13844065</v>
      </c>
      <c r="N104" s="54">
        <f t="shared" si="145"/>
        <v>-1.272129661</v>
      </c>
      <c r="O104" s="54">
        <f t="shared" si="145"/>
        <v>-1.253806197</v>
      </c>
      <c r="P104" s="54">
        <f t="shared" si="145"/>
        <v>0.1462354595</v>
      </c>
      <c r="Q104" s="54">
        <f t="shared" si="145"/>
        <v>-2.104873294</v>
      </c>
      <c r="R104" s="54">
        <f t="shared" si="145"/>
        <v>-2.409785341</v>
      </c>
      <c r="S104" s="54">
        <f t="shared" si="145"/>
        <v>-1.543013271</v>
      </c>
      <c r="T104" s="54">
        <f t="shared" si="145"/>
        <v>-1.473493976</v>
      </c>
      <c r="U104" s="54">
        <f t="shared" si="145"/>
        <v>-1.423197844</v>
      </c>
      <c r="V104" s="54">
        <f t="shared" si="145"/>
        <v>-1.469658924</v>
      </c>
      <c r="W104" s="54">
        <f t="shared" si="145"/>
        <v>-1.272679983</v>
      </c>
      <c r="X104" s="54">
        <f t="shared" si="145"/>
        <v>-1.402435597</v>
      </c>
      <c r="Y104" s="54">
        <f t="shared" si="145"/>
        <v>-1.666291244</v>
      </c>
      <c r="Z104" s="54">
        <f t="shared" si="145"/>
        <v>-2.115368389</v>
      </c>
      <c r="AA104" s="54">
        <f t="shared" si="145"/>
        <v>-2.146797093</v>
      </c>
      <c r="AB104" s="54">
        <f t="shared" si="145"/>
        <v>-1.481464292</v>
      </c>
      <c r="AC104" s="54">
        <f t="shared" si="145"/>
        <v>-1.763646855</v>
      </c>
      <c r="AD104" s="54">
        <f t="shared" si="145"/>
        <v>-1.765788421</v>
      </c>
      <c r="AE104" s="54">
        <f t="shared" si="145"/>
        <v>-2.465333493</v>
      </c>
      <c r="AF104" s="54">
        <f t="shared" si="145"/>
        <v>-2.298972283</v>
      </c>
      <c r="AG104" s="54">
        <f t="shared" si="145"/>
        <v>-2.331342639</v>
      </c>
      <c r="AH104" s="54">
        <f t="shared" si="145"/>
        <v>-2.006322155</v>
      </c>
      <c r="AI104" s="54">
        <f t="shared" si="145"/>
        <v>-2.57418059</v>
      </c>
      <c r="AJ104" s="54">
        <f t="shared" si="145"/>
        <v>-2.511669313</v>
      </c>
      <c r="AK104" s="55">
        <f>AJ104</f>
        <v>-2.511669313</v>
      </c>
      <c r="AL104" s="54">
        <f t="shared" ref="AL104:BW104" si="146">AH104*(1+AL105)</f>
        <v>-2.006322155</v>
      </c>
      <c r="AM104" s="54">
        <f t="shared" si="146"/>
        <v>-2.57418059</v>
      </c>
      <c r="AN104" s="54">
        <f t="shared" si="146"/>
        <v>-2.637252779</v>
      </c>
      <c r="AO104" s="54">
        <f t="shared" si="146"/>
        <v>-2.637252779</v>
      </c>
      <c r="AP104" s="54">
        <f t="shared" si="146"/>
        <v>-2.106638263</v>
      </c>
      <c r="AQ104" s="54">
        <f t="shared" si="146"/>
        <v>-2.702889619</v>
      </c>
      <c r="AR104" s="54">
        <f t="shared" si="146"/>
        <v>-2.900978057</v>
      </c>
      <c r="AS104" s="54">
        <f t="shared" si="146"/>
        <v>-2.900978057</v>
      </c>
      <c r="AT104" s="54">
        <f t="shared" si="146"/>
        <v>-2.317302089</v>
      </c>
      <c r="AU104" s="54">
        <f t="shared" si="146"/>
        <v>-2.973178581</v>
      </c>
      <c r="AV104" s="54">
        <f t="shared" si="146"/>
        <v>-3.162066082</v>
      </c>
      <c r="AW104" s="54">
        <f t="shared" si="146"/>
        <v>-3.162066082</v>
      </c>
      <c r="AX104" s="54">
        <f t="shared" si="146"/>
        <v>-2.525859277</v>
      </c>
      <c r="AY104" s="54">
        <f t="shared" si="146"/>
        <v>-3.240764654</v>
      </c>
      <c r="AZ104" s="54">
        <f t="shared" si="146"/>
        <v>-3.446652029</v>
      </c>
      <c r="BA104" s="54">
        <f t="shared" si="146"/>
        <v>-3.446652029</v>
      </c>
      <c r="BB104" s="54">
        <f t="shared" si="146"/>
        <v>-2.753186612</v>
      </c>
      <c r="BC104" s="54">
        <f t="shared" si="146"/>
        <v>-3.532433472</v>
      </c>
      <c r="BD104" s="54">
        <f t="shared" si="146"/>
        <v>-3.756850712</v>
      </c>
      <c r="BE104" s="54">
        <f t="shared" si="146"/>
        <v>-3.756850712</v>
      </c>
      <c r="BF104" s="54">
        <f t="shared" si="146"/>
        <v>-3.000973407</v>
      </c>
      <c r="BG104" s="54">
        <f t="shared" si="146"/>
        <v>-3.850352485</v>
      </c>
      <c r="BH104" s="54">
        <f t="shared" si="146"/>
        <v>-4.094967276</v>
      </c>
      <c r="BI104" s="54">
        <f t="shared" si="146"/>
        <v>-4.094967276</v>
      </c>
      <c r="BJ104" s="54">
        <f t="shared" si="146"/>
        <v>-3.271061014</v>
      </c>
      <c r="BK104" s="54">
        <f t="shared" si="146"/>
        <v>-4.196884208</v>
      </c>
      <c r="BL104" s="54">
        <f t="shared" si="146"/>
        <v>-4.463514331</v>
      </c>
      <c r="BM104" s="54">
        <f t="shared" si="146"/>
        <v>-4.463514331</v>
      </c>
      <c r="BN104" s="54">
        <f t="shared" si="146"/>
        <v>-3.565456505</v>
      </c>
      <c r="BO104" s="54">
        <f t="shared" si="146"/>
        <v>-4.574603787</v>
      </c>
      <c r="BP104" s="54">
        <f t="shared" si="146"/>
        <v>-4.865230621</v>
      </c>
      <c r="BQ104" s="54">
        <f t="shared" si="146"/>
        <v>-4.865230621</v>
      </c>
      <c r="BR104" s="54">
        <f t="shared" si="146"/>
        <v>-3.88634759</v>
      </c>
      <c r="BS104" s="54">
        <f t="shared" si="146"/>
        <v>-4.986318128</v>
      </c>
      <c r="BT104" s="54">
        <f t="shared" si="146"/>
        <v>-5.303101377</v>
      </c>
      <c r="BU104" s="54">
        <f t="shared" si="146"/>
        <v>-5.303101377</v>
      </c>
      <c r="BV104" s="54">
        <f t="shared" si="146"/>
        <v>-4.236118874</v>
      </c>
      <c r="BW104" s="54">
        <f t="shared" si="146"/>
        <v>-5.43508676</v>
      </c>
      <c r="BX104" s="6" t="s">
        <v>35</v>
      </c>
      <c r="BY104" s="54">
        <f>AVERAGE(D104:G104)</f>
        <v>-1.508888877</v>
      </c>
      <c r="BZ104" s="121">
        <f>AVERAGE(H104:K104)</f>
        <v>-0.8149774765</v>
      </c>
      <c r="CA104" s="121">
        <f>AVERAGE(L104:O104)</f>
        <v>-1.157439937</v>
      </c>
      <c r="CB104" s="121">
        <f>AVERAGE(P104:S104)</f>
        <v>-1.477859112</v>
      </c>
      <c r="CC104" s="121">
        <f>AVERAGE(T104:W104)</f>
        <v>-1.409757682</v>
      </c>
      <c r="CD104" s="121">
        <f>AVERAGE(X104:AA104)</f>
        <v>-1.832723081</v>
      </c>
      <c r="CE104" s="121">
        <f>AVERAGE(AB104:AE104)</f>
        <v>-1.869058265</v>
      </c>
      <c r="CF104" s="121">
        <f>AVERAGE(AF104:AI104)</f>
        <v>-2.302704417</v>
      </c>
      <c r="CG104" s="121">
        <f>AVERAGE(AJ104:AM104)</f>
        <v>-2.400960343</v>
      </c>
      <c r="CH104" s="121">
        <f>AVERAGE(AN104:AQ104)</f>
        <v>-2.52100836</v>
      </c>
      <c r="CI104" s="121">
        <f>AVERAGE(AR104:AU104)</f>
        <v>-2.773109196</v>
      </c>
      <c r="CJ104" s="121">
        <f>AVERAGE(AV104:AY104)</f>
        <v>-3.022689024</v>
      </c>
      <c r="CK104" s="121">
        <f>AVERAGE(AZ104:BC104)</f>
        <v>-3.294731036</v>
      </c>
      <c r="CL104" s="121">
        <f>AVERAGE(BD104:BG104)</f>
        <v>-3.591256829</v>
      </c>
      <c r="CM104" s="121">
        <f>AVERAGE(BH104:BK104)</f>
        <v>-3.914469944</v>
      </c>
      <c r="CN104" s="121">
        <f>AVERAGE(BL104:BO104)</f>
        <v>-4.266772239</v>
      </c>
      <c r="CO104" s="121">
        <f>AVERAGE(BP104:BS104)</f>
        <v>-4.65078174</v>
      </c>
      <c r="CP104" s="121">
        <f>AVERAGE(BT104:BW104)</f>
        <v>-5.069352097</v>
      </c>
      <c r="CQ104" s="6" t="s">
        <v>35</v>
      </c>
    </row>
    <row r="105" ht="14.25" customHeight="1">
      <c r="B105" s="10" t="str">
        <f>B101</f>
        <v>a/a %</v>
      </c>
      <c r="C105" s="117" t="str">
        <f>C102</f>
        <v>[%]</v>
      </c>
      <c r="I105" s="18">
        <f t="shared" ref="I105:AK105" si="147">I104/E104-1</f>
        <v>-0.7537437467</v>
      </c>
      <c r="J105" s="18">
        <f t="shared" si="147"/>
        <v>-0.4821149884</v>
      </c>
      <c r="K105" s="18">
        <f t="shared" si="147"/>
        <v>-0.2277551211</v>
      </c>
      <c r="L105" s="18">
        <f t="shared" si="147"/>
        <v>0.005968879749</v>
      </c>
      <c r="M105" s="18">
        <f t="shared" si="147"/>
        <v>1.699620236</v>
      </c>
      <c r="N105" s="18">
        <f t="shared" si="147"/>
        <v>1.120107261</v>
      </c>
      <c r="O105" s="18">
        <f t="shared" si="147"/>
        <v>-0.01932995657</v>
      </c>
      <c r="P105" s="18">
        <f t="shared" si="147"/>
        <v>-1.151479178</v>
      </c>
      <c r="Q105" s="18">
        <f t="shared" si="147"/>
        <v>0.8489091153</v>
      </c>
      <c r="R105" s="18">
        <f t="shared" si="147"/>
        <v>0.8942922369</v>
      </c>
      <c r="S105" s="18">
        <f t="shared" si="147"/>
        <v>0.2306632988</v>
      </c>
      <c r="T105" s="18">
        <f t="shared" si="147"/>
        <v>-11.07617428</v>
      </c>
      <c r="U105" s="18">
        <f t="shared" si="147"/>
        <v>-0.3238558121</v>
      </c>
      <c r="V105" s="18">
        <f t="shared" si="147"/>
        <v>-0.3901286977</v>
      </c>
      <c r="W105" s="18">
        <f t="shared" si="147"/>
        <v>-0.1751982907</v>
      </c>
      <c r="X105" s="18">
        <f t="shared" si="147"/>
        <v>-0.04822441074</v>
      </c>
      <c r="Y105" s="18">
        <f t="shared" si="147"/>
        <v>0.1708078755</v>
      </c>
      <c r="Z105" s="18">
        <f t="shared" si="147"/>
        <v>0.4393600811</v>
      </c>
      <c r="AA105" s="18">
        <f t="shared" si="147"/>
        <v>0.68683182</v>
      </c>
      <c r="AB105" s="18">
        <f t="shared" si="147"/>
        <v>0.05635103309</v>
      </c>
      <c r="AC105" s="18">
        <f t="shared" si="147"/>
        <v>0.05842652728</v>
      </c>
      <c r="AD105" s="18">
        <f t="shared" si="147"/>
        <v>-0.1652572525</v>
      </c>
      <c r="AE105" s="18">
        <f t="shared" si="147"/>
        <v>0.1483775069</v>
      </c>
      <c r="AF105" s="18">
        <f t="shared" si="147"/>
        <v>0.5518242966</v>
      </c>
      <c r="AG105" s="18">
        <f t="shared" si="147"/>
        <v>0.3218874473</v>
      </c>
      <c r="AH105" s="18">
        <f t="shared" si="147"/>
        <v>0.1362188874</v>
      </c>
      <c r="AI105" s="18">
        <f t="shared" si="147"/>
        <v>0.04415106399</v>
      </c>
      <c r="AJ105" s="18">
        <f t="shared" si="147"/>
        <v>0.09251831009</v>
      </c>
      <c r="AK105" s="18">
        <f t="shared" si="147"/>
        <v>0.07734885085</v>
      </c>
      <c r="AL105" s="31">
        <v>0.0</v>
      </c>
      <c r="AM105" s="31">
        <v>0.0</v>
      </c>
      <c r="AN105" s="31">
        <v>0.05</v>
      </c>
      <c r="AO105" s="31">
        <v>0.05</v>
      </c>
      <c r="AP105" s="31">
        <v>0.05</v>
      </c>
      <c r="AQ105" s="31">
        <v>0.05</v>
      </c>
      <c r="AR105" s="126">
        <v>0.1</v>
      </c>
      <c r="AS105" s="31">
        <f t="shared" ref="AS105:AU105" si="148">AR105</f>
        <v>0.1</v>
      </c>
      <c r="AT105" s="31">
        <f t="shared" si="148"/>
        <v>0.1</v>
      </c>
      <c r="AU105" s="31">
        <f t="shared" si="148"/>
        <v>0.1</v>
      </c>
      <c r="AV105" s="126">
        <v>0.09</v>
      </c>
      <c r="AW105" s="31">
        <f t="shared" ref="AW105:BW105" si="149">AV105</f>
        <v>0.09</v>
      </c>
      <c r="AX105" s="31">
        <f t="shared" si="149"/>
        <v>0.09</v>
      </c>
      <c r="AY105" s="31">
        <f t="shared" si="149"/>
        <v>0.09</v>
      </c>
      <c r="AZ105" s="31">
        <f t="shared" si="149"/>
        <v>0.09</v>
      </c>
      <c r="BA105" s="31">
        <f t="shared" si="149"/>
        <v>0.09</v>
      </c>
      <c r="BB105" s="31">
        <f t="shared" si="149"/>
        <v>0.09</v>
      </c>
      <c r="BC105" s="31">
        <f t="shared" si="149"/>
        <v>0.09</v>
      </c>
      <c r="BD105" s="31">
        <f t="shared" si="149"/>
        <v>0.09</v>
      </c>
      <c r="BE105" s="31">
        <f t="shared" si="149"/>
        <v>0.09</v>
      </c>
      <c r="BF105" s="31">
        <f t="shared" si="149"/>
        <v>0.09</v>
      </c>
      <c r="BG105" s="31">
        <f t="shared" si="149"/>
        <v>0.09</v>
      </c>
      <c r="BH105" s="31">
        <f t="shared" si="149"/>
        <v>0.09</v>
      </c>
      <c r="BI105" s="31">
        <f t="shared" si="149"/>
        <v>0.09</v>
      </c>
      <c r="BJ105" s="31">
        <f t="shared" si="149"/>
        <v>0.09</v>
      </c>
      <c r="BK105" s="31">
        <f t="shared" si="149"/>
        <v>0.09</v>
      </c>
      <c r="BL105" s="31">
        <f t="shared" si="149"/>
        <v>0.09</v>
      </c>
      <c r="BM105" s="31">
        <f t="shared" si="149"/>
        <v>0.09</v>
      </c>
      <c r="BN105" s="31">
        <f t="shared" si="149"/>
        <v>0.09</v>
      </c>
      <c r="BO105" s="31">
        <f t="shared" si="149"/>
        <v>0.09</v>
      </c>
      <c r="BP105" s="31">
        <f t="shared" si="149"/>
        <v>0.09</v>
      </c>
      <c r="BQ105" s="31">
        <f t="shared" si="149"/>
        <v>0.09</v>
      </c>
      <c r="BR105" s="31">
        <f t="shared" si="149"/>
        <v>0.09</v>
      </c>
      <c r="BS105" s="31">
        <f t="shared" si="149"/>
        <v>0.09</v>
      </c>
      <c r="BT105" s="31">
        <f t="shared" si="149"/>
        <v>0.09</v>
      </c>
      <c r="BU105" s="31">
        <f t="shared" si="149"/>
        <v>0.09</v>
      </c>
      <c r="BV105" s="31">
        <f t="shared" si="149"/>
        <v>0.09</v>
      </c>
      <c r="BW105" s="31">
        <f t="shared" si="149"/>
        <v>0.09</v>
      </c>
      <c r="BX105" s="6" t="s">
        <v>35</v>
      </c>
      <c r="BZ105" s="18">
        <f t="shared" ref="BZ105:CP105" si="150">BZ104/BY104-1</f>
        <v>-0.459882375</v>
      </c>
      <c r="CA105" s="18">
        <f t="shared" si="150"/>
        <v>0.4202109507</v>
      </c>
      <c r="CB105" s="18">
        <f t="shared" si="150"/>
        <v>0.2768343867</v>
      </c>
      <c r="CC105" s="18">
        <f t="shared" si="150"/>
        <v>-0.04608113808</v>
      </c>
      <c r="CD105" s="18">
        <f t="shared" si="150"/>
        <v>0.3000270218</v>
      </c>
      <c r="CE105" s="18">
        <f t="shared" si="150"/>
        <v>0.01982579087</v>
      </c>
      <c r="CF105" s="18">
        <f t="shared" si="150"/>
        <v>0.2320131799</v>
      </c>
      <c r="CG105" s="18">
        <f t="shared" si="150"/>
        <v>0.04266979533</v>
      </c>
      <c r="CH105" s="18">
        <f t="shared" si="150"/>
        <v>0.05</v>
      </c>
      <c r="CI105" s="18">
        <f t="shared" si="150"/>
        <v>0.1</v>
      </c>
      <c r="CJ105" s="18">
        <f t="shared" si="150"/>
        <v>0.09</v>
      </c>
      <c r="CK105" s="18">
        <f t="shared" si="150"/>
        <v>0.09</v>
      </c>
      <c r="CL105" s="18">
        <f t="shared" si="150"/>
        <v>0.09</v>
      </c>
      <c r="CM105" s="18">
        <f t="shared" si="150"/>
        <v>0.09</v>
      </c>
      <c r="CN105" s="18">
        <f t="shared" si="150"/>
        <v>0.09</v>
      </c>
      <c r="CO105" s="18">
        <f t="shared" si="150"/>
        <v>0.09</v>
      </c>
      <c r="CP105" s="18">
        <f t="shared" si="150"/>
        <v>0.09</v>
      </c>
      <c r="CQ105" s="6" t="s">
        <v>35</v>
      </c>
    </row>
    <row r="106" ht="14.25" customHeight="1">
      <c r="BX106" s="6" t="s">
        <v>35</v>
      </c>
      <c r="CQ106" s="6" t="s">
        <v>35</v>
      </c>
    </row>
    <row r="107" ht="14.25" customHeight="1">
      <c r="B107" s="73" t="str">
        <f>Inputs!B151</f>
        <v>Lucro operacional antes do resultado financeiro</v>
      </c>
      <c r="C107" s="90" t="str">
        <f>C100</f>
        <v>[BRL 000]</v>
      </c>
      <c r="D107" s="123">
        <f>Inputs!F151/1000</f>
        <v>3.966</v>
      </c>
      <c r="E107" s="123">
        <f>Inputs!G151/1000</f>
        <v>-0.908</v>
      </c>
      <c r="F107" s="123">
        <f>Inputs!H151/1000</f>
        <v>-3.981</v>
      </c>
      <c r="G107" s="123">
        <f>Inputs!I151/1000</f>
        <v>-6.604</v>
      </c>
      <c r="H107" s="123">
        <f>Inputs!J151/1000</f>
        <v>2.833</v>
      </c>
      <c r="I107" s="123">
        <f>Inputs!K151/1000</f>
        <v>3.322</v>
      </c>
      <c r="J107" s="123">
        <f>Inputs!L151/1000</f>
        <v>3.208</v>
      </c>
      <c r="K107" s="123">
        <f>Inputs!M151/1000</f>
        <v>5.733</v>
      </c>
      <c r="L107" s="123">
        <f>Inputs!N151/1000</f>
        <v>0.927</v>
      </c>
      <c r="M107" s="123">
        <f>Inputs!O151/1000</f>
        <v>2.075</v>
      </c>
      <c r="N107" s="123">
        <f>Inputs!P151/1000</f>
        <v>-0.738</v>
      </c>
      <c r="O107" s="123">
        <f>Inputs!Q151/1000</f>
        <v>5.496</v>
      </c>
      <c r="P107" s="123">
        <f>Inputs!R151/1000</f>
        <v>10.776</v>
      </c>
      <c r="Q107" s="123">
        <f>Inputs!S151/1000</f>
        <v>-15.047</v>
      </c>
      <c r="R107" s="123">
        <f>Inputs!T151/1000</f>
        <v>-3.014</v>
      </c>
      <c r="S107" s="123">
        <f>Inputs!U151/1000</f>
        <v>2.653</v>
      </c>
      <c r="T107" s="123">
        <f>Inputs!V151/1000</f>
        <v>0.404</v>
      </c>
      <c r="U107" s="123">
        <f>Inputs!W151/1000</f>
        <v>8.795</v>
      </c>
      <c r="V107" s="123">
        <f>Inputs!X151/1000</f>
        <v>7.115</v>
      </c>
      <c r="W107" s="123">
        <f>Inputs!Y151/1000</f>
        <v>4.178</v>
      </c>
      <c r="X107" s="123">
        <f>Inputs!Z151/1000</f>
        <v>10.552</v>
      </c>
      <c r="Y107" s="123">
        <f>Inputs!AA151/1000</f>
        <v>19.433</v>
      </c>
      <c r="Z107" s="123">
        <f>Inputs!AB151/1000</f>
        <v>50.494</v>
      </c>
      <c r="AA107" s="123">
        <f>Inputs!AC151/1000</f>
        <v>23.979</v>
      </c>
      <c r="AB107" s="123">
        <f>Inputs!AD151/1000</f>
        <v>24.055</v>
      </c>
      <c r="AC107" s="123">
        <f>Inputs!AE151/1000</f>
        <v>24.289</v>
      </c>
      <c r="AD107" s="123">
        <f>Inputs!AF151/1000</f>
        <v>20.616</v>
      </c>
      <c r="AE107" s="123">
        <f>Inputs!AG151/1000</f>
        <v>18.438</v>
      </c>
      <c r="AF107" s="123">
        <f>Inputs!AH151/1000</f>
        <v>13.987</v>
      </c>
      <c r="AG107" s="123">
        <f>Inputs!AI151/1000</f>
        <v>6.588</v>
      </c>
      <c r="AH107" s="123">
        <f>Inputs!AJ151/1000</f>
        <v>45.057</v>
      </c>
      <c r="AI107" s="123">
        <f>Inputs!AK151/1000</f>
        <v>45.85</v>
      </c>
      <c r="AJ107" s="123">
        <f>Inputs!AL151/1000</f>
        <v>21.645</v>
      </c>
      <c r="AK107" s="123">
        <f t="shared" ref="AK107:BW107" si="151">AK72+AK100</f>
        <v>24.15857581</v>
      </c>
      <c r="AL107" s="123">
        <f t="shared" si="151"/>
        <v>38.70149322</v>
      </c>
      <c r="AM107" s="123">
        <f t="shared" si="151"/>
        <v>36.19665412</v>
      </c>
      <c r="AN107" s="123">
        <f t="shared" si="151"/>
        <v>40.43817875</v>
      </c>
      <c r="AO107" s="123">
        <f t="shared" si="151"/>
        <v>40.32036197</v>
      </c>
      <c r="AP107" s="123">
        <f t="shared" si="151"/>
        <v>45.10043954</v>
      </c>
      <c r="AQ107" s="123">
        <f t="shared" si="151"/>
        <v>49.70337833</v>
      </c>
      <c r="AR107" s="123">
        <f t="shared" si="151"/>
        <v>47.852559</v>
      </c>
      <c r="AS107" s="123">
        <f t="shared" si="151"/>
        <v>47.27745904</v>
      </c>
      <c r="AT107" s="123">
        <f t="shared" si="151"/>
        <v>52.40703367</v>
      </c>
      <c r="AU107" s="123">
        <f t="shared" si="151"/>
        <v>57.45397336</v>
      </c>
      <c r="AV107" s="123">
        <f t="shared" si="151"/>
        <v>54.61171044</v>
      </c>
      <c r="AW107" s="123">
        <f t="shared" si="151"/>
        <v>53.973619</v>
      </c>
      <c r="AX107" s="123">
        <f t="shared" si="151"/>
        <v>59.66838613</v>
      </c>
      <c r="AY107" s="123">
        <f t="shared" si="151"/>
        <v>65.49275707</v>
      </c>
      <c r="AZ107" s="123">
        <f t="shared" si="151"/>
        <v>59.67062312</v>
      </c>
      <c r="BA107" s="123">
        <f t="shared" si="151"/>
        <v>58.97342258</v>
      </c>
      <c r="BB107" s="123">
        <f t="shared" si="151"/>
        <v>65.19571997</v>
      </c>
      <c r="BC107" s="123">
        <f t="shared" si="151"/>
        <v>71.55962691</v>
      </c>
      <c r="BD107" s="123">
        <f t="shared" si="151"/>
        <v>65.19816419</v>
      </c>
      <c r="BE107" s="123">
        <f t="shared" si="151"/>
        <v>64.43637903</v>
      </c>
      <c r="BF107" s="123">
        <f t="shared" si="151"/>
        <v>71.23507402</v>
      </c>
      <c r="BG107" s="123">
        <f t="shared" si="151"/>
        <v>78.18849646</v>
      </c>
      <c r="BH107" s="123">
        <f t="shared" si="151"/>
        <v>71.23774465</v>
      </c>
      <c r="BI107" s="123">
        <f t="shared" si="151"/>
        <v>70.40539212</v>
      </c>
      <c r="BJ107" s="123">
        <f t="shared" si="151"/>
        <v>77.83387886</v>
      </c>
      <c r="BK107" s="123">
        <f t="shared" si="151"/>
        <v>85.4314261</v>
      </c>
      <c r="BL107" s="123">
        <f t="shared" si="151"/>
        <v>77.83679689</v>
      </c>
      <c r="BM107" s="123">
        <f t="shared" si="151"/>
        <v>76.92734004</v>
      </c>
      <c r="BN107" s="123">
        <f t="shared" si="151"/>
        <v>85.04395878</v>
      </c>
      <c r="BO107" s="123">
        <f t="shared" si="151"/>
        <v>93.3452988</v>
      </c>
      <c r="BP107" s="123">
        <f t="shared" si="151"/>
        <v>85.04714711</v>
      </c>
      <c r="BQ107" s="123">
        <f t="shared" si="151"/>
        <v>84.05344345</v>
      </c>
      <c r="BR107" s="123">
        <f t="shared" si="151"/>
        <v>92.92193875</v>
      </c>
      <c r="BS107" s="123">
        <f t="shared" si="151"/>
        <v>101.9922669</v>
      </c>
      <c r="BT107" s="123">
        <f t="shared" si="151"/>
        <v>92.92542244</v>
      </c>
      <c r="BU107" s="123">
        <f t="shared" si="151"/>
        <v>91.83966782</v>
      </c>
      <c r="BV107" s="123">
        <f t="shared" si="151"/>
        <v>101.5296892</v>
      </c>
      <c r="BW107" s="123">
        <f t="shared" si="151"/>
        <v>111.44024</v>
      </c>
      <c r="BX107" s="6" t="s">
        <v>35</v>
      </c>
      <c r="BY107" s="17">
        <f>SUM(D107:G107)</f>
        <v>-7.527</v>
      </c>
      <c r="BZ107" s="17">
        <f>SUM(H107:K107)</f>
        <v>15.096</v>
      </c>
      <c r="CA107" s="17">
        <f>SUM(L107:O107)</f>
        <v>7.76</v>
      </c>
      <c r="CB107" s="17">
        <f>SUM(P107:S107)</f>
        <v>-4.632</v>
      </c>
      <c r="CC107" s="17">
        <f>SUM(T107:W107)</f>
        <v>20.492</v>
      </c>
      <c r="CD107" s="17">
        <f>SUM(X107:AA107)</f>
        <v>104.458</v>
      </c>
      <c r="CE107" s="17">
        <f>SUM(AB107:AE107)</f>
        <v>87.398</v>
      </c>
      <c r="CF107" s="17">
        <f>SUM(AF107:AI107)</f>
        <v>111.482</v>
      </c>
      <c r="CG107" s="17">
        <f>SUM(AJ107:AM107)</f>
        <v>120.7017232</v>
      </c>
      <c r="CH107" s="17">
        <f>SUM(AN107:AQ107)</f>
        <v>175.5623586</v>
      </c>
      <c r="CI107" s="17">
        <f>SUM(AR107:AU107)</f>
        <v>204.9910251</v>
      </c>
      <c r="CJ107" s="17">
        <f>SUM(AV107:AY107)</f>
        <v>233.7464726</v>
      </c>
      <c r="CK107" s="17">
        <f>SUM(AZ107:BC107)</f>
        <v>255.3993926</v>
      </c>
      <c r="CL107" s="17">
        <f>SUM(BD107:BG107)</f>
        <v>279.0581137</v>
      </c>
      <c r="CM107" s="17">
        <f>SUM(BH107:BK107)</f>
        <v>304.9084417</v>
      </c>
      <c r="CN107" s="17">
        <f>SUM(BL107:BO107)</f>
        <v>333.1533945</v>
      </c>
      <c r="CO107" s="17">
        <f>SUM(BP107:BS107)</f>
        <v>364.0147962</v>
      </c>
      <c r="CP107" s="17">
        <f>SUM(BT107:BW107)</f>
        <v>397.7350194</v>
      </c>
      <c r="CQ107" s="6" t="s">
        <v>35</v>
      </c>
    </row>
    <row r="108" ht="14.25" customHeight="1">
      <c r="B108" s="10" t="str">
        <f t="shared" ref="B108:C108" si="152">B101</f>
        <v>a/a %</v>
      </c>
      <c r="C108" s="9" t="str">
        <f t="shared" si="152"/>
        <v>[%]</v>
      </c>
      <c r="H108" s="18">
        <f t="shared" ref="H108:BW108" si="153">H107/D107-1</f>
        <v>-0.2856782653</v>
      </c>
      <c r="I108" s="18">
        <f t="shared" si="153"/>
        <v>-4.658590308</v>
      </c>
      <c r="J108" s="18">
        <f t="shared" si="153"/>
        <v>-1.805827681</v>
      </c>
      <c r="K108" s="18">
        <f t="shared" si="153"/>
        <v>-1.868110236</v>
      </c>
      <c r="L108" s="18">
        <f t="shared" si="153"/>
        <v>-0.6727850335</v>
      </c>
      <c r="M108" s="18">
        <f t="shared" si="153"/>
        <v>-0.3753762793</v>
      </c>
      <c r="N108" s="18">
        <f t="shared" si="153"/>
        <v>-1.230049875</v>
      </c>
      <c r="O108" s="18">
        <f t="shared" si="153"/>
        <v>-0.04133961277</v>
      </c>
      <c r="P108" s="18">
        <f t="shared" si="153"/>
        <v>10.62459547</v>
      </c>
      <c r="Q108" s="18">
        <f t="shared" si="153"/>
        <v>-8.251566265</v>
      </c>
      <c r="R108" s="18">
        <f t="shared" si="153"/>
        <v>3.08401084</v>
      </c>
      <c r="S108" s="18">
        <f t="shared" si="153"/>
        <v>-0.5172852984</v>
      </c>
      <c r="T108" s="18">
        <f t="shared" si="153"/>
        <v>-0.9625092799</v>
      </c>
      <c r="U108" s="18">
        <f t="shared" si="153"/>
        <v>-1.584501894</v>
      </c>
      <c r="V108" s="18">
        <f t="shared" si="153"/>
        <v>-3.360650299</v>
      </c>
      <c r="W108" s="18">
        <f t="shared" si="153"/>
        <v>0.5748209574</v>
      </c>
      <c r="X108" s="18">
        <f t="shared" si="153"/>
        <v>25.11881188</v>
      </c>
      <c r="Y108" s="18">
        <f t="shared" si="153"/>
        <v>1.209550881</v>
      </c>
      <c r="Z108" s="18">
        <f t="shared" si="153"/>
        <v>6.096837667</v>
      </c>
      <c r="AA108" s="18">
        <f t="shared" si="153"/>
        <v>4.739348971</v>
      </c>
      <c r="AB108" s="18">
        <f t="shared" si="153"/>
        <v>1.279662623</v>
      </c>
      <c r="AC108" s="18">
        <f t="shared" si="153"/>
        <v>0.2498842176</v>
      </c>
      <c r="AD108" s="18">
        <f t="shared" si="153"/>
        <v>-0.591713867</v>
      </c>
      <c r="AE108" s="18">
        <f t="shared" si="153"/>
        <v>-0.2310771925</v>
      </c>
      <c r="AF108" s="18">
        <f t="shared" si="153"/>
        <v>-0.4185408439</v>
      </c>
      <c r="AG108" s="18">
        <f t="shared" si="153"/>
        <v>-0.7287661081</v>
      </c>
      <c r="AH108" s="18">
        <f t="shared" si="153"/>
        <v>1.185535506</v>
      </c>
      <c r="AI108" s="18">
        <f t="shared" si="153"/>
        <v>1.486712225</v>
      </c>
      <c r="AJ108" s="18">
        <f t="shared" si="153"/>
        <v>0.5475084007</v>
      </c>
      <c r="AK108" s="18">
        <f t="shared" si="153"/>
        <v>2.667057653</v>
      </c>
      <c r="AL108" s="18">
        <f t="shared" si="153"/>
        <v>-0.1410548145</v>
      </c>
      <c r="AM108" s="18">
        <f t="shared" si="153"/>
        <v>-0.2105418949</v>
      </c>
      <c r="AN108" s="18">
        <f t="shared" si="153"/>
        <v>0.8682457266</v>
      </c>
      <c r="AO108" s="18">
        <f t="shared" si="153"/>
        <v>0.6689875379</v>
      </c>
      <c r="AP108" s="18">
        <f t="shared" si="153"/>
        <v>0.1653410704</v>
      </c>
      <c r="AQ108" s="18">
        <f t="shared" si="153"/>
        <v>0.3731484177</v>
      </c>
      <c r="AR108" s="18">
        <f t="shared" si="153"/>
        <v>0.1833509934</v>
      </c>
      <c r="AS108" s="18">
        <f t="shared" si="153"/>
        <v>0.1725455013</v>
      </c>
      <c r="AT108" s="18">
        <f t="shared" si="153"/>
        <v>0.1620071603</v>
      </c>
      <c r="AU108" s="18">
        <f t="shared" si="153"/>
        <v>0.1559369864</v>
      </c>
      <c r="AV108" s="18">
        <f t="shared" si="153"/>
        <v>0.1412495295</v>
      </c>
      <c r="AW108" s="18">
        <f t="shared" si="153"/>
        <v>0.1416353607</v>
      </c>
      <c r="AX108" s="18">
        <f t="shared" si="153"/>
        <v>0.13855683</v>
      </c>
      <c r="AY108" s="18">
        <f t="shared" si="153"/>
        <v>0.1399169324</v>
      </c>
      <c r="AZ108" s="18">
        <f t="shared" si="153"/>
        <v>0.0926342105</v>
      </c>
      <c r="BA108" s="18">
        <f t="shared" si="153"/>
        <v>0.0926342105</v>
      </c>
      <c r="BB108" s="18">
        <f t="shared" si="153"/>
        <v>0.0926342105</v>
      </c>
      <c r="BC108" s="18">
        <f t="shared" si="153"/>
        <v>0.0926342105</v>
      </c>
      <c r="BD108" s="18">
        <f t="shared" si="153"/>
        <v>0.0926342105</v>
      </c>
      <c r="BE108" s="18">
        <f t="shared" si="153"/>
        <v>0.0926342105</v>
      </c>
      <c r="BF108" s="18">
        <f t="shared" si="153"/>
        <v>0.0926342105</v>
      </c>
      <c r="BG108" s="18">
        <f t="shared" si="153"/>
        <v>0.0926342105</v>
      </c>
      <c r="BH108" s="18">
        <f t="shared" si="153"/>
        <v>0.0926342105</v>
      </c>
      <c r="BI108" s="18">
        <f t="shared" si="153"/>
        <v>0.0926342105</v>
      </c>
      <c r="BJ108" s="18">
        <f t="shared" si="153"/>
        <v>0.0926342105</v>
      </c>
      <c r="BK108" s="18">
        <f t="shared" si="153"/>
        <v>0.0926342105</v>
      </c>
      <c r="BL108" s="18">
        <f t="shared" si="153"/>
        <v>0.0926342105</v>
      </c>
      <c r="BM108" s="18">
        <f t="shared" si="153"/>
        <v>0.0926342105</v>
      </c>
      <c r="BN108" s="18">
        <f t="shared" si="153"/>
        <v>0.0926342105</v>
      </c>
      <c r="BO108" s="18">
        <f t="shared" si="153"/>
        <v>0.0926342105</v>
      </c>
      <c r="BP108" s="18">
        <f t="shared" si="153"/>
        <v>0.0926342105</v>
      </c>
      <c r="BQ108" s="18">
        <f t="shared" si="153"/>
        <v>0.0926342105</v>
      </c>
      <c r="BR108" s="18">
        <f t="shared" si="153"/>
        <v>0.0926342105</v>
      </c>
      <c r="BS108" s="18">
        <f t="shared" si="153"/>
        <v>0.0926342105</v>
      </c>
      <c r="BT108" s="18">
        <f t="shared" si="153"/>
        <v>0.0926342105</v>
      </c>
      <c r="BU108" s="18">
        <f t="shared" si="153"/>
        <v>0.0926342105</v>
      </c>
      <c r="BV108" s="18">
        <f t="shared" si="153"/>
        <v>0.0926342105</v>
      </c>
      <c r="BW108" s="18">
        <f t="shared" si="153"/>
        <v>0.0926342105</v>
      </c>
      <c r="BX108" s="6" t="s">
        <v>35</v>
      </c>
      <c r="BY108" s="19"/>
      <c r="BZ108" s="19">
        <f t="shared" ref="BZ108:CP108" si="154">BZ107/BY107-1</f>
        <v>-3.005579912</v>
      </c>
      <c r="CA108" s="19">
        <f t="shared" si="154"/>
        <v>-0.4859565448</v>
      </c>
      <c r="CB108" s="19">
        <f t="shared" si="154"/>
        <v>-1.596907216</v>
      </c>
      <c r="CC108" s="19">
        <f t="shared" si="154"/>
        <v>-5.424006908</v>
      </c>
      <c r="CD108" s="19">
        <f t="shared" si="154"/>
        <v>4.097501464</v>
      </c>
      <c r="CE108" s="19">
        <f t="shared" si="154"/>
        <v>-0.1633192288</v>
      </c>
      <c r="CF108" s="19">
        <f t="shared" si="154"/>
        <v>0.2755669466</v>
      </c>
      <c r="CG108" s="19">
        <f t="shared" si="154"/>
        <v>0.08270145096</v>
      </c>
      <c r="CH108" s="19">
        <f t="shared" si="154"/>
        <v>0.454514103</v>
      </c>
      <c r="CI108" s="19">
        <f t="shared" si="154"/>
        <v>0.1676251488</v>
      </c>
      <c r="CJ108" s="19">
        <f t="shared" si="154"/>
        <v>0.1402766173</v>
      </c>
      <c r="CK108" s="19">
        <f t="shared" si="154"/>
        <v>0.0926342105</v>
      </c>
      <c r="CL108" s="19">
        <f t="shared" si="154"/>
        <v>0.0926342105</v>
      </c>
      <c r="CM108" s="19">
        <f t="shared" si="154"/>
        <v>0.0926342105</v>
      </c>
      <c r="CN108" s="19">
        <f t="shared" si="154"/>
        <v>0.0926342105</v>
      </c>
      <c r="CO108" s="19">
        <f t="shared" si="154"/>
        <v>0.0926342105</v>
      </c>
      <c r="CP108" s="19">
        <f t="shared" si="154"/>
        <v>0.0926342105</v>
      </c>
      <c r="CQ108" s="6" t="s">
        <v>35</v>
      </c>
    </row>
    <row r="109" ht="14.25" customHeight="1">
      <c r="B109" s="10" t="str">
        <f t="shared" ref="B109:C109" si="155">B102</f>
        <v>% da Receita Líquida</v>
      </c>
      <c r="C109" s="9" t="str">
        <f t="shared" si="155"/>
        <v>[%]</v>
      </c>
      <c r="D109" s="18">
        <f t="shared" ref="D109:BW109" si="156">D107/D$20</f>
        <v>0.07584334124</v>
      </c>
      <c r="E109" s="18">
        <f t="shared" si="156"/>
        <v>-0.01680672269</v>
      </c>
      <c r="F109" s="18">
        <f t="shared" si="156"/>
        <v>-0.06483818955</v>
      </c>
      <c r="G109" s="18">
        <f t="shared" si="156"/>
        <v>-0.09600930435</v>
      </c>
      <c r="H109" s="18">
        <f t="shared" si="156"/>
        <v>0.03722928932</v>
      </c>
      <c r="I109" s="18">
        <f t="shared" si="156"/>
        <v>0.03939472998</v>
      </c>
      <c r="J109" s="18">
        <f t="shared" si="156"/>
        <v>0.04015822943</v>
      </c>
      <c r="K109" s="18">
        <f t="shared" si="156"/>
        <v>0.06594885599</v>
      </c>
      <c r="L109" s="18">
        <f t="shared" si="156"/>
        <v>0.01118484556</v>
      </c>
      <c r="M109" s="18">
        <f t="shared" si="156"/>
        <v>0.02244310807</v>
      </c>
      <c r="N109" s="18">
        <f t="shared" si="156"/>
        <v>-0.008642900642</v>
      </c>
      <c r="O109" s="18">
        <f t="shared" si="156"/>
        <v>0.06253413435</v>
      </c>
      <c r="P109" s="18">
        <f t="shared" si="156"/>
        <v>0.1515142994</v>
      </c>
      <c r="Q109" s="18">
        <f t="shared" si="156"/>
        <v>-0.3122691238</v>
      </c>
      <c r="R109" s="18">
        <f t="shared" si="156"/>
        <v>-0.0549729148</v>
      </c>
      <c r="S109" s="18">
        <f t="shared" si="156"/>
        <v>0.03897000499</v>
      </c>
      <c r="T109" s="18">
        <f t="shared" si="156"/>
        <v>0.005150367792</v>
      </c>
      <c r="U109" s="18">
        <f t="shared" si="156"/>
        <v>0.078861949</v>
      </c>
      <c r="V109" s="18">
        <f t="shared" si="156"/>
        <v>0.05757264349</v>
      </c>
      <c r="W109" s="18">
        <f t="shared" si="156"/>
        <v>0.03493515507</v>
      </c>
      <c r="X109" s="18">
        <f t="shared" si="156"/>
        <v>0.08161624574</v>
      </c>
      <c r="Y109" s="18">
        <f t="shared" si="156"/>
        <v>0.1056474729</v>
      </c>
      <c r="Z109" s="18">
        <f t="shared" si="156"/>
        <v>0.198451939</v>
      </c>
      <c r="AA109" s="18">
        <f t="shared" si="156"/>
        <v>0.09754494683</v>
      </c>
      <c r="AB109" s="18">
        <f t="shared" si="156"/>
        <v>0.09970485965</v>
      </c>
      <c r="AC109" s="18">
        <f t="shared" si="156"/>
        <v>0.0956506456</v>
      </c>
      <c r="AD109" s="18">
        <f t="shared" si="156"/>
        <v>0.07665179982</v>
      </c>
      <c r="AE109" s="18">
        <f t="shared" si="156"/>
        <v>0.06532320354</v>
      </c>
      <c r="AF109" s="18">
        <f t="shared" si="156"/>
        <v>0.0646256486</v>
      </c>
      <c r="AG109" s="18">
        <f t="shared" si="156"/>
        <v>0.03209578136</v>
      </c>
      <c r="AH109" s="18">
        <f t="shared" si="156"/>
        <v>0.1147433928</v>
      </c>
      <c r="AI109" s="18">
        <f t="shared" si="156"/>
        <v>0.1092466472</v>
      </c>
      <c r="AJ109" s="18">
        <f t="shared" si="156"/>
        <v>0.05868320422</v>
      </c>
      <c r="AK109" s="18">
        <f t="shared" si="156"/>
        <v>0.06814206262</v>
      </c>
      <c r="AL109" s="18">
        <f t="shared" si="156"/>
        <v>0.1077490345</v>
      </c>
      <c r="AM109" s="18">
        <f t="shared" si="156"/>
        <v>0.0884178514</v>
      </c>
      <c r="AN109" s="18">
        <f t="shared" si="156"/>
        <v>0.1050480235</v>
      </c>
      <c r="AO109" s="18">
        <f t="shared" si="156"/>
        <v>0.1046631877</v>
      </c>
      <c r="AP109" s="18">
        <f t="shared" si="156"/>
        <v>0.1121372267</v>
      </c>
      <c r="AQ109" s="18">
        <f t="shared" si="156"/>
        <v>0.1092151692</v>
      </c>
      <c r="AR109" s="18">
        <f t="shared" si="156"/>
        <v>0.1123755056</v>
      </c>
      <c r="AS109" s="18">
        <f t="shared" si="156"/>
        <v>0.1114906697</v>
      </c>
      <c r="AT109" s="18">
        <f t="shared" si="156"/>
        <v>0.1189647088</v>
      </c>
      <c r="AU109" s="18">
        <f t="shared" si="156"/>
        <v>0.1155426513</v>
      </c>
      <c r="AV109" s="18">
        <f t="shared" si="156"/>
        <v>0.1173755056</v>
      </c>
      <c r="AW109" s="18">
        <f t="shared" si="156"/>
        <v>0.1164906697</v>
      </c>
      <c r="AX109" s="18">
        <f t="shared" si="156"/>
        <v>0.1239647088</v>
      </c>
      <c r="AY109" s="18">
        <f t="shared" si="156"/>
        <v>0.1205426513</v>
      </c>
      <c r="AZ109" s="18">
        <f t="shared" si="156"/>
        <v>0.1173755056</v>
      </c>
      <c r="BA109" s="18">
        <f t="shared" si="156"/>
        <v>0.1164906697</v>
      </c>
      <c r="BB109" s="18">
        <f t="shared" si="156"/>
        <v>0.1239647088</v>
      </c>
      <c r="BC109" s="18">
        <f t="shared" si="156"/>
        <v>0.1205426513</v>
      </c>
      <c r="BD109" s="18">
        <f t="shared" si="156"/>
        <v>0.1173755056</v>
      </c>
      <c r="BE109" s="18">
        <f t="shared" si="156"/>
        <v>0.1164906697</v>
      </c>
      <c r="BF109" s="18">
        <f t="shared" si="156"/>
        <v>0.1239647088</v>
      </c>
      <c r="BG109" s="18">
        <f t="shared" si="156"/>
        <v>0.1205426513</v>
      </c>
      <c r="BH109" s="18">
        <f t="shared" si="156"/>
        <v>0.1173755056</v>
      </c>
      <c r="BI109" s="18">
        <f t="shared" si="156"/>
        <v>0.1164906697</v>
      </c>
      <c r="BJ109" s="18">
        <f t="shared" si="156"/>
        <v>0.1239647088</v>
      </c>
      <c r="BK109" s="18">
        <f t="shared" si="156"/>
        <v>0.1205426513</v>
      </c>
      <c r="BL109" s="18">
        <f t="shared" si="156"/>
        <v>0.1173755056</v>
      </c>
      <c r="BM109" s="18">
        <f t="shared" si="156"/>
        <v>0.1164906697</v>
      </c>
      <c r="BN109" s="18">
        <f t="shared" si="156"/>
        <v>0.1239647088</v>
      </c>
      <c r="BO109" s="18">
        <f t="shared" si="156"/>
        <v>0.1205426513</v>
      </c>
      <c r="BP109" s="18">
        <f t="shared" si="156"/>
        <v>0.1173755056</v>
      </c>
      <c r="BQ109" s="18">
        <f t="shared" si="156"/>
        <v>0.1164906697</v>
      </c>
      <c r="BR109" s="18">
        <f t="shared" si="156"/>
        <v>0.1239647088</v>
      </c>
      <c r="BS109" s="18">
        <f t="shared" si="156"/>
        <v>0.1205426513</v>
      </c>
      <c r="BT109" s="18">
        <f t="shared" si="156"/>
        <v>0.1173755056</v>
      </c>
      <c r="BU109" s="18">
        <f t="shared" si="156"/>
        <v>0.1164906697</v>
      </c>
      <c r="BV109" s="18">
        <f t="shared" si="156"/>
        <v>0.1239647088</v>
      </c>
      <c r="BW109" s="18">
        <f t="shared" si="156"/>
        <v>0.1205426513</v>
      </c>
      <c r="BX109" s="6" t="s">
        <v>35</v>
      </c>
      <c r="BY109" s="19">
        <f t="shared" ref="BY109:CP109" si="157">BY107/BY$20</f>
        <v>-0.03182636933</v>
      </c>
      <c r="BZ109" s="19">
        <f t="shared" si="157"/>
        <v>0.04613170271</v>
      </c>
      <c r="CA109" s="19">
        <f t="shared" si="157"/>
        <v>0.0222597042</v>
      </c>
      <c r="CB109" s="19">
        <f t="shared" si="157"/>
        <v>-0.01912366388</v>
      </c>
      <c r="CC109" s="19">
        <f t="shared" si="157"/>
        <v>0.04731022923</v>
      </c>
      <c r="CD109" s="19">
        <f t="shared" si="157"/>
        <v>0.128406524</v>
      </c>
      <c r="CE109" s="19">
        <f t="shared" si="157"/>
        <v>0.08352166551</v>
      </c>
      <c r="CF109" s="19">
        <f t="shared" si="157"/>
        <v>0.09033755298</v>
      </c>
      <c r="CG109" s="19">
        <f t="shared" si="157"/>
        <v>0.08090248058</v>
      </c>
      <c r="CH109" s="19">
        <f t="shared" si="157"/>
        <v>0.1078741215</v>
      </c>
      <c r="CI109" s="19">
        <f t="shared" si="157"/>
        <v>0.1146703414</v>
      </c>
      <c r="CJ109" s="19">
        <f t="shared" si="157"/>
        <v>0.1196703414</v>
      </c>
      <c r="CK109" s="19">
        <f t="shared" si="157"/>
        <v>0.1196703414</v>
      </c>
      <c r="CL109" s="19">
        <f t="shared" si="157"/>
        <v>0.1196703414</v>
      </c>
      <c r="CM109" s="19">
        <f t="shared" si="157"/>
        <v>0.1196703414</v>
      </c>
      <c r="CN109" s="19">
        <f t="shared" si="157"/>
        <v>0.1196703414</v>
      </c>
      <c r="CO109" s="19">
        <f t="shared" si="157"/>
        <v>0.1196703414</v>
      </c>
      <c r="CP109" s="19">
        <f t="shared" si="157"/>
        <v>0.1196703414</v>
      </c>
      <c r="CQ109" s="6" t="s">
        <v>35</v>
      </c>
    </row>
    <row r="110" ht="14.25" customHeight="1">
      <c r="BX110" s="6" t="s">
        <v>35</v>
      </c>
      <c r="CQ110" s="6" t="s">
        <v>35</v>
      </c>
    </row>
    <row r="111" ht="14.25" customHeight="1">
      <c r="B111" s="10" t="str">
        <f>Inputs!B287</f>
        <v>Lucro Operacional per capita (R$ mil mensal per capita)</v>
      </c>
      <c r="C111" s="117" t="str">
        <f>C104</f>
        <v>[BRL 000]</v>
      </c>
      <c r="E111" s="54">
        <f t="shared" ref="E111:X111" si="158">(E107/E44)*1000/3</f>
        <v>-0.1487671008</v>
      </c>
      <c r="F111" s="54">
        <f t="shared" si="158"/>
        <v>-0.5524562864</v>
      </c>
      <c r="G111" s="54">
        <f t="shared" si="158"/>
        <v>-0.8220064725</v>
      </c>
      <c r="H111" s="54">
        <f t="shared" si="158"/>
        <v>0.3256321839</v>
      </c>
      <c r="I111" s="54">
        <f t="shared" si="158"/>
        <v>0.3397770277</v>
      </c>
      <c r="J111" s="54">
        <f t="shared" si="158"/>
        <v>0.3293803583</v>
      </c>
      <c r="K111" s="54">
        <f t="shared" si="158"/>
        <v>0.6078244275</v>
      </c>
      <c r="L111" s="54">
        <f t="shared" si="158"/>
        <v>0.09479981592</v>
      </c>
      <c r="M111" s="54">
        <f t="shared" si="158"/>
        <v>0.2167214998</v>
      </c>
      <c r="N111" s="54">
        <f t="shared" si="158"/>
        <v>-0.0836450187</v>
      </c>
      <c r="O111" s="54">
        <f t="shared" si="158"/>
        <v>0.6562779867</v>
      </c>
      <c r="P111" s="54">
        <f t="shared" si="158"/>
        <v>1.377476671</v>
      </c>
      <c r="Q111" s="54">
        <f t="shared" si="158"/>
        <v>-2.933138402</v>
      </c>
      <c r="R111" s="54">
        <f t="shared" si="158"/>
        <v>-0.5828659834</v>
      </c>
      <c r="S111" s="54">
        <f t="shared" si="158"/>
        <v>0.4142076503</v>
      </c>
      <c r="T111" s="54">
        <f t="shared" si="158"/>
        <v>0.05408299866</v>
      </c>
      <c r="U111" s="54">
        <f t="shared" si="158"/>
        <v>0.9875364923</v>
      </c>
      <c r="V111" s="54">
        <f t="shared" si="158"/>
        <v>0.7444025947</v>
      </c>
      <c r="W111" s="54">
        <f t="shared" si="158"/>
        <v>0.4346650021</v>
      </c>
      <c r="X111" s="54">
        <f t="shared" si="158"/>
        <v>0.9884777518</v>
      </c>
      <c r="Y111" s="119">
        <f>Inputs!AA288/1000</f>
        <v>1.106958618</v>
      </c>
      <c r="Z111" s="119">
        <f>Inputs!AB288/1000</f>
        <v>1.482799689</v>
      </c>
      <c r="AA111" s="119">
        <f>Inputs!AC288/1000</f>
        <v>1.219062535</v>
      </c>
      <c r="AB111" s="54">
        <f t="shared" ref="AB111:BW111" si="159">(AB107/AB44)*1000/3</f>
        <v>1.395544468</v>
      </c>
      <c r="AC111" s="54">
        <f t="shared" si="159"/>
        <v>1.401557992</v>
      </c>
      <c r="AD111" s="54">
        <f t="shared" si="159"/>
        <v>1.17825913</v>
      </c>
      <c r="AE111" s="54">
        <f t="shared" si="159"/>
        <v>1.103939648</v>
      </c>
      <c r="AF111" s="54">
        <f t="shared" si="159"/>
        <v>1.088990969</v>
      </c>
      <c r="AG111" s="54">
        <f t="shared" si="159"/>
        <v>0.4740250396</v>
      </c>
      <c r="AH111" s="54">
        <f t="shared" si="159"/>
        <v>2.064183617</v>
      </c>
      <c r="AI111" s="54">
        <f t="shared" si="159"/>
        <v>2.093033872</v>
      </c>
      <c r="AJ111" s="54">
        <f t="shared" si="159"/>
        <v>1.04157644</v>
      </c>
      <c r="AK111" s="54">
        <f t="shared" si="159"/>
        <v>1.192486096</v>
      </c>
      <c r="AL111" s="54">
        <f t="shared" si="159"/>
        <v>1.93948262</v>
      </c>
      <c r="AM111" s="54">
        <f t="shared" si="159"/>
        <v>1.787148151</v>
      </c>
      <c r="AN111" s="54">
        <f t="shared" si="159"/>
        <v>1.967060301</v>
      </c>
      <c r="AO111" s="54">
        <f t="shared" si="159"/>
        <v>1.932344102</v>
      </c>
      <c r="AP111" s="54">
        <f t="shared" si="159"/>
        <v>2.129485935</v>
      </c>
      <c r="AQ111" s="54">
        <f t="shared" si="159"/>
        <v>2.317890209</v>
      </c>
      <c r="AR111" s="54">
        <f t="shared" si="159"/>
        <v>2.209483415</v>
      </c>
      <c r="AS111" s="54">
        <f t="shared" si="159"/>
        <v>2.161316315</v>
      </c>
      <c r="AT111" s="54">
        <f t="shared" si="159"/>
        <v>2.37209681</v>
      </c>
      <c r="AU111" s="54">
        <f t="shared" si="159"/>
        <v>2.574788293</v>
      </c>
      <c r="AV111" s="54">
        <f t="shared" si="159"/>
        <v>2.42318104</v>
      </c>
      <c r="AW111" s="54">
        <f t="shared" si="159"/>
        <v>2.371156662</v>
      </c>
      <c r="AX111" s="54">
        <f t="shared" si="159"/>
        <v>2.595384026</v>
      </c>
      <c r="AY111" s="54">
        <f t="shared" si="159"/>
        <v>2.820520337</v>
      </c>
      <c r="AZ111" s="54">
        <f t="shared" si="159"/>
        <v>2.544340092</v>
      </c>
      <c r="BA111" s="54">
        <f t="shared" si="159"/>
        <v>2.489714495</v>
      </c>
      <c r="BB111" s="54">
        <f t="shared" si="159"/>
        <v>2.725153227</v>
      </c>
      <c r="BC111" s="54">
        <f t="shared" si="159"/>
        <v>2.961546354</v>
      </c>
      <c r="BD111" s="54">
        <f t="shared" si="159"/>
        <v>2.671557097</v>
      </c>
      <c r="BE111" s="54">
        <f t="shared" si="159"/>
        <v>2.614200219</v>
      </c>
      <c r="BF111" s="54">
        <f t="shared" si="159"/>
        <v>2.861410888</v>
      </c>
      <c r="BG111" s="54">
        <f t="shared" si="159"/>
        <v>3.109623671</v>
      </c>
      <c r="BH111" s="54">
        <f t="shared" si="159"/>
        <v>2.805134952</v>
      </c>
      <c r="BI111" s="54">
        <f t="shared" si="159"/>
        <v>2.74491023</v>
      </c>
      <c r="BJ111" s="54">
        <f t="shared" si="159"/>
        <v>3.004481433</v>
      </c>
      <c r="BK111" s="54">
        <f t="shared" si="159"/>
        <v>3.265104855</v>
      </c>
      <c r="BL111" s="54">
        <f t="shared" si="159"/>
        <v>2.945391699</v>
      </c>
      <c r="BM111" s="54">
        <f t="shared" si="159"/>
        <v>2.882155742</v>
      </c>
      <c r="BN111" s="54">
        <f t="shared" si="159"/>
        <v>3.154705505</v>
      </c>
      <c r="BO111" s="54">
        <f t="shared" si="159"/>
        <v>3.428360098</v>
      </c>
      <c r="BP111" s="54">
        <f t="shared" si="159"/>
        <v>3.092661284</v>
      </c>
      <c r="BQ111" s="54">
        <f t="shared" si="159"/>
        <v>3.026263529</v>
      </c>
      <c r="BR111" s="54">
        <f t="shared" si="159"/>
        <v>3.31244078</v>
      </c>
      <c r="BS111" s="54">
        <f t="shared" si="159"/>
        <v>3.599778102</v>
      </c>
      <c r="BT111" s="54">
        <f t="shared" si="159"/>
        <v>3.247294348</v>
      </c>
      <c r="BU111" s="54">
        <f t="shared" si="159"/>
        <v>3.177576705</v>
      </c>
      <c r="BV111" s="54">
        <f t="shared" si="159"/>
        <v>3.478062819</v>
      </c>
      <c r="BW111" s="54">
        <f t="shared" si="159"/>
        <v>3.779767008</v>
      </c>
      <c r="BX111" s="6" t="s">
        <v>35</v>
      </c>
      <c r="BY111" s="54">
        <f>AVERAGE(D111:G111)</f>
        <v>-0.5077432866</v>
      </c>
      <c r="BZ111" s="121">
        <f>AVERAGE(H111:K111)</f>
        <v>0.4006534994</v>
      </c>
      <c r="CA111" s="121">
        <f>AVERAGE(L111:O111)</f>
        <v>0.2210385709</v>
      </c>
      <c r="CB111" s="121">
        <f>AVERAGE(P111:S111)</f>
        <v>-0.4310800158</v>
      </c>
      <c r="CC111" s="121">
        <f>AVERAGE(T111:W111)</f>
        <v>0.5551717719</v>
      </c>
      <c r="CD111" s="121">
        <f>AVERAGE(X111:AA111)</f>
        <v>1.199324648</v>
      </c>
      <c r="CE111" s="121">
        <f>AVERAGE(AB111:AE111)</f>
        <v>1.26982531</v>
      </c>
      <c r="CF111" s="121">
        <f>AVERAGE(AF111:AI111)</f>
        <v>1.430058374</v>
      </c>
      <c r="CG111" s="121">
        <f>AVERAGE(AJ111:AM111)</f>
        <v>1.490173327</v>
      </c>
      <c r="CH111" s="121">
        <f>AVERAGE(AN111:AQ111)</f>
        <v>2.086695137</v>
      </c>
      <c r="CI111" s="121">
        <f>AVERAGE(AR111:AU111)</f>
        <v>2.329421208</v>
      </c>
      <c r="CJ111" s="121">
        <f>AVERAGE(AV111:AY111)</f>
        <v>2.552560516</v>
      </c>
      <c r="CK111" s="121">
        <f>AVERAGE(AZ111:BC111)</f>
        <v>2.680188542</v>
      </c>
      <c r="CL111" s="121">
        <f>AVERAGE(BD111:BG111)</f>
        <v>2.814197969</v>
      </c>
      <c r="CM111" s="121">
        <f>AVERAGE(BH111:BK111)</f>
        <v>2.954907867</v>
      </c>
      <c r="CN111" s="121">
        <f>AVERAGE(BL111:BO111)</f>
        <v>3.102653261</v>
      </c>
      <c r="CO111" s="121">
        <f>AVERAGE(BP111:BS111)</f>
        <v>3.257785924</v>
      </c>
      <c r="CP111" s="121">
        <f>AVERAGE(BT111:BW111)</f>
        <v>3.42067522</v>
      </c>
      <c r="CQ111" s="6" t="s">
        <v>35</v>
      </c>
    </row>
    <row r="112" ht="14.25" customHeight="1">
      <c r="B112" s="10" t="str">
        <f t="shared" ref="B112:C112" si="160">B105</f>
        <v>a/a %</v>
      </c>
      <c r="C112" s="9" t="str">
        <f t="shared" si="160"/>
        <v>[%]</v>
      </c>
      <c r="I112" s="18">
        <f t="shared" ref="I112:BW112" si="161">I111/E111-1</f>
        <v>-3.283952741</v>
      </c>
      <c r="J112" s="18">
        <f t="shared" si="161"/>
        <v>-1.596210716</v>
      </c>
      <c r="K112" s="18">
        <f t="shared" si="161"/>
        <v>-1.739439953</v>
      </c>
      <c r="L112" s="18">
        <f t="shared" si="161"/>
        <v>-0.7088745505</v>
      </c>
      <c r="M112" s="18">
        <f t="shared" si="161"/>
        <v>-0.3621655317</v>
      </c>
      <c r="N112" s="18">
        <f t="shared" si="161"/>
        <v>-1.25394659</v>
      </c>
      <c r="O112" s="18">
        <f t="shared" si="161"/>
        <v>0.0797163738</v>
      </c>
      <c r="P112" s="18">
        <f t="shared" si="161"/>
        <v>13.53037285</v>
      </c>
      <c r="Q112" s="18">
        <f t="shared" si="161"/>
        <v>-14.53413669</v>
      </c>
      <c r="R112" s="18">
        <f t="shared" si="161"/>
        <v>5.968328687</v>
      </c>
      <c r="S112" s="18">
        <f t="shared" si="161"/>
        <v>-0.3688533539</v>
      </c>
      <c r="T112" s="18">
        <f t="shared" si="161"/>
        <v>-0.9607376301</v>
      </c>
      <c r="U112" s="18">
        <f t="shared" si="161"/>
        <v>-1.336682542</v>
      </c>
      <c r="V112" s="18">
        <f t="shared" si="161"/>
        <v>-2.277141943</v>
      </c>
      <c r="W112" s="18">
        <f t="shared" si="161"/>
        <v>0.04938912112</v>
      </c>
      <c r="X112" s="18">
        <f t="shared" si="161"/>
        <v>17.2770515</v>
      </c>
      <c r="Y112" s="18">
        <f t="shared" si="161"/>
        <v>0.1209293295</v>
      </c>
      <c r="Z112" s="18">
        <f t="shared" si="161"/>
        <v>0.9919324566</v>
      </c>
      <c r="AA112" s="18">
        <f t="shared" si="161"/>
        <v>1.804602461</v>
      </c>
      <c r="AB112" s="18">
        <f t="shared" si="161"/>
        <v>0.4118117133</v>
      </c>
      <c r="AC112" s="18">
        <f t="shared" si="161"/>
        <v>0.2661340442</v>
      </c>
      <c r="AD112" s="18">
        <f t="shared" si="161"/>
        <v>-0.2053821303</v>
      </c>
      <c r="AE112" s="18">
        <f t="shared" si="161"/>
        <v>-0.09443558748</v>
      </c>
      <c r="AF112" s="18">
        <f t="shared" si="161"/>
        <v>-0.2196658772</v>
      </c>
      <c r="AG112" s="18">
        <f t="shared" si="161"/>
        <v>-0.6617870667</v>
      </c>
      <c r="AH112" s="18">
        <f t="shared" si="161"/>
        <v>0.7518927412</v>
      </c>
      <c r="AI112" s="18">
        <f t="shared" si="161"/>
        <v>0.8959676608</v>
      </c>
      <c r="AJ112" s="18">
        <f t="shared" si="161"/>
        <v>-0.04353987305</v>
      </c>
      <c r="AK112" s="18">
        <f t="shared" si="161"/>
        <v>1.515660559</v>
      </c>
      <c r="AL112" s="18">
        <f t="shared" si="161"/>
        <v>-0.06041177541</v>
      </c>
      <c r="AM112" s="18">
        <f t="shared" si="161"/>
        <v>-0.1461446589</v>
      </c>
      <c r="AN112" s="18">
        <f t="shared" si="161"/>
        <v>0.8885414701</v>
      </c>
      <c r="AO112" s="18">
        <f t="shared" si="161"/>
        <v>0.6204332353</v>
      </c>
      <c r="AP112" s="18">
        <f t="shared" si="161"/>
        <v>0.0979659794</v>
      </c>
      <c r="AQ112" s="18">
        <f t="shared" si="161"/>
        <v>0.2969770904</v>
      </c>
      <c r="AR112" s="18">
        <f t="shared" si="161"/>
        <v>0.1232413226</v>
      </c>
      <c r="AS112" s="18">
        <f t="shared" si="161"/>
        <v>0.1184945332</v>
      </c>
      <c r="AT112" s="18">
        <f t="shared" si="161"/>
        <v>0.1139293158</v>
      </c>
      <c r="AU112" s="18">
        <f t="shared" si="161"/>
        <v>0.1108327234</v>
      </c>
      <c r="AV112" s="18">
        <f t="shared" si="161"/>
        <v>0.09671836602</v>
      </c>
      <c r="AW112" s="18">
        <f t="shared" si="161"/>
        <v>0.09708914219</v>
      </c>
      <c r="AX112" s="18">
        <f t="shared" si="161"/>
        <v>0.09413073469</v>
      </c>
      <c r="AY112" s="18">
        <f t="shared" si="161"/>
        <v>0.09543776642</v>
      </c>
      <c r="AZ112" s="18">
        <f t="shared" si="161"/>
        <v>0.05</v>
      </c>
      <c r="BA112" s="18">
        <f t="shared" si="161"/>
        <v>0.05</v>
      </c>
      <c r="BB112" s="18">
        <f t="shared" si="161"/>
        <v>0.05</v>
      </c>
      <c r="BC112" s="18">
        <f t="shared" si="161"/>
        <v>0.05</v>
      </c>
      <c r="BD112" s="18">
        <f t="shared" si="161"/>
        <v>0.05</v>
      </c>
      <c r="BE112" s="18">
        <f t="shared" si="161"/>
        <v>0.05</v>
      </c>
      <c r="BF112" s="18">
        <f t="shared" si="161"/>
        <v>0.05</v>
      </c>
      <c r="BG112" s="18">
        <f t="shared" si="161"/>
        <v>0.05</v>
      </c>
      <c r="BH112" s="18">
        <f t="shared" si="161"/>
        <v>0.05</v>
      </c>
      <c r="BI112" s="18">
        <f t="shared" si="161"/>
        <v>0.05</v>
      </c>
      <c r="BJ112" s="18">
        <f t="shared" si="161"/>
        <v>0.05</v>
      </c>
      <c r="BK112" s="18">
        <f t="shared" si="161"/>
        <v>0.05</v>
      </c>
      <c r="BL112" s="18">
        <f t="shared" si="161"/>
        <v>0.05</v>
      </c>
      <c r="BM112" s="18">
        <f t="shared" si="161"/>
        <v>0.05</v>
      </c>
      <c r="BN112" s="18">
        <f t="shared" si="161"/>
        <v>0.05</v>
      </c>
      <c r="BO112" s="18">
        <f t="shared" si="161"/>
        <v>0.05</v>
      </c>
      <c r="BP112" s="18">
        <f t="shared" si="161"/>
        <v>0.05</v>
      </c>
      <c r="BQ112" s="18">
        <f t="shared" si="161"/>
        <v>0.05</v>
      </c>
      <c r="BR112" s="18">
        <f t="shared" si="161"/>
        <v>0.05</v>
      </c>
      <c r="BS112" s="18">
        <f t="shared" si="161"/>
        <v>0.05</v>
      </c>
      <c r="BT112" s="18">
        <f t="shared" si="161"/>
        <v>0.05</v>
      </c>
      <c r="BU112" s="18">
        <f t="shared" si="161"/>
        <v>0.05</v>
      </c>
      <c r="BV112" s="18">
        <f t="shared" si="161"/>
        <v>0.05</v>
      </c>
      <c r="BW112" s="18">
        <f t="shared" si="161"/>
        <v>0.05</v>
      </c>
      <c r="BX112" s="6" t="s">
        <v>35</v>
      </c>
      <c r="BZ112" s="18">
        <f t="shared" ref="BZ112:CP112" si="162">BZ111/BY111-1</f>
        <v>-1.789086749</v>
      </c>
      <c r="CA112" s="18">
        <f t="shared" si="162"/>
        <v>-0.4483049036</v>
      </c>
      <c r="CB112" s="18">
        <f t="shared" si="162"/>
        <v>-2.950247932</v>
      </c>
      <c r="CC112" s="18">
        <f t="shared" si="162"/>
        <v>-2.287862465</v>
      </c>
      <c r="CD112" s="18">
        <f t="shared" si="162"/>
        <v>1.160276709</v>
      </c>
      <c r="CE112" s="18">
        <f t="shared" si="162"/>
        <v>0.05878363401</v>
      </c>
      <c r="CF112" s="18">
        <f t="shared" si="162"/>
        <v>0.1261851245</v>
      </c>
      <c r="CG112" s="18">
        <f t="shared" si="162"/>
        <v>0.04203671221</v>
      </c>
      <c r="CH112" s="18">
        <f t="shared" si="162"/>
        <v>0.4003036421</v>
      </c>
      <c r="CI112" s="18">
        <f t="shared" si="162"/>
        <v>0.1163208114</v>
      </c>
      <c r="CJ112" s="18">
        <f t="shared" si="162"/>
        <v>0.09579173881</v>
      </c>
      <c r="CK112" s="18">
        <f t="shared" si="162"/>
        <v>0.05</v>
      </c>
      <c r="CL112" s="18">
        <f t="shared" si="162"/>
        <v>0.05</v>
      </c>
      <c r="CM112" s="18">
        <f t="shared" si="162"/>
        <v>0.05</v>
      </c>
      <c r="CN112" s="18">
        <f t="shared" si="162"/>
        <v>0.05</v>
      </c>
      <c r="CO112" s="18">
        <f t="shared" si="162"/>
        <v>0.05</v>
      </c>
      <c r="CP112" s="18">
        <f t="shared" si="162"/>
        <v>0.05</v>
      </c>
      <c r="CQ112" s="6" t="s">
        <v>35</v>
      </c>
    </row>
    <row r="113" ht="14.25" customHeight="1"/>
    <row r="114" ht="14.25" customHeight="1">
      <c r="AF114" s="127"/>
      <c r="AG114" s="127"/>
      <c r="AH114" s="127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9.0" ySplit="7.0" topLeftCell="BH8" activePane="bottomRight" state="frozen"/>
      <selection activeCell="BH1" sqref="BH1" pane="topRight"/>
      <selection activeCell="A8" sqref="A8" pane="bottomLeft"/>
      <selection activeCell="BH8" sqref="BH8" pane="bottomRight"/>
    </sheetView>
  </sheetViews>
  <sheetFormatPr customHeight="1" defaultColWidth="14.43" defaultRowHeight="15.0"/>
  <cols>
    <col customWidth="1" min="1" max="1" width="8.71"/>
    <col customWidth="1" min="2" max="2" width="41.0"/>
    <col customWidth="1" min="3" max="3" width="11.86"/>
    <col customWidth="1" hidden="1" min="4" max="59" width="9.14"/>
    <col customWidth="1" min="60" max="62" width="8.71"/>
    <col customWidth="1" min="63" max="63" width="17.57"/>
    <col customWidth="1" min="64" max="70" width="8.71"/>
    <col customWidth="1" min="71" max="71" width="10.14"/>
    <col customWidth="1" min="72" max="73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A7" s="1"/>
      <c r="B7" s="2" t="s">
        <v>0</v>
      </c>
      <c r="C7" s="3" t="s">
        <v>1</v>
      </c>
      <c r="BA7" s="7">
        <f>Modelo!BY7</f>
        <v>2017</v>
      </c>
      <c r="BB7" s="7">
        <f>Modelo!BZ7</f>
        <v>2018</v>
      </c>
      <c r="BC7" s="7">
        <f>Modelo!CA7</f>
        <v>2019</v>
      </c>
      <c r="BD7" s="7">
        <f>Modelo!CB7</f>
        <v>2020</v>
      </c>
      <c r="BE7" s="7">
        <f>Modelo!CC7</f>
        <v>2021</v>
      </c>
      <c r="BF7" s="7">
        <f>Modelo!CD7</f>
        <v>2022</v>
      </c>
      <c r="BG7" s="7">
        <f>Modelo!CE7</f>
        <v>2023</v>
      </c>
      <c r="BH7" s="8">
        <f>Modelo!CF7</f>
        <v>2024</v>
      </c>
      <c r="BI7" s="8">
        <f>Modelo!CG7</f>
        <v>2025</v>
      </c>
      <c r="BJ7" s="8">
        <f>Modelo!CH7</f>
        <v>2026</v>
      </c>
      <c r="BK7" s="8">
        <f>Modelo!CI7</f>
        <v>2027</v>
      </c>
      <c r="BL7" s="8">
        <f>Modelo!CJ7</f>
        <v>2028</v>
      </c>
      <c r="BM7" s="8">
        <f>Modelo!CK7</f>
        <v>2029</v>
      </c>
      <c r="BN7" s="8">
        <f>Modelo!CL7</f>
        <v>2030</v>
      </c>
      <c r="BO7" s="8">
        <f>Modelo!CM7</f>
        <v>2031</v>
      </c>
      <c r="BP7" s="8">
        <f>Modelo!CN7</f>
        <v>2032</v>
      </c>
      <c r="BQ7" s="8">
        <f>Modelo!CO7</f>
        <v>2033</v>
      </c>
      <c r="BR7" s="8">
        <f>Modelo!CP7</f>
        <v>2034</v>
      </c>
      <c r="BS7" s="8" t="s">
        <v>202</v>
      </c>
      <c r="BT7" s="8"/>
      <c r="BU7" s="128" t="str">
        <f>Modelo!CQ7</f>
        <v>x</v>
      </c>
    </row>
    <row r="8" ht="14.25" customHeight="1">
      <c r="BU8" s="128" t="str">
        <f>Modelo!CQ8</f>
        <v>x</v>
      </c>
    </row>
    <row r="9" ht="14.25" customHeight="1">
      <c r="A9" s="11" t="s">
        <v>36</v>
      </c>
      <c r="B9" s="2" t="s">
        <v>203</v>
      </c>
      <c r="BS9" s="129"/>
      <c r="BT9" s="129"/>
      <c r="BU9" s="128" t="str">
        <f>Modelo!CQ9</f>
        <v>x</v>
      </c>
    </row>
    <row r="10" ht="14.25" customHeight="1">
      <c r="BU10" s="128" t="str">
        <f>Modelo!CQ10</f>
        <v>x</v>
      </c>
    </row>
    <row r="11" ht="14.25" customHeight="1">
      <c r="BH11" s="129">
        <v>45657.0</v>
      </c>
      <c r="BI11" s="130">
        <v>46022.0</v>
      </c>
      <c r="BJ11" s="130">
        <v>46387.0</v>
      </c>
      <c r="BK11" s="130">
        <v>46752.0</v>
      </c>
      <c r="BL11" s="130">
        <v>47118.0</v>
      </c>
      <c r="BM11" s="130">
        <v>47483.0</v>
      </c>
      <c r="BN11" s="130">
        <v>47848.0</v>
      </c>
      <c r="BO11" s="130">
        <v>48213.0</v>
      </c>
      <c r="BP11" s="130">
        <v>48579.0</v>
      </c>
      <c r="BQ11" s="130">
        <v>48944.0</v>
      </c>
      <c r="BR11" s="130">
        <v>49309.0</v>
      </c>
      <c r="BU11" s="128" t="str">
        <f>Modelo!CQ11</f>
        <v>x</v>
      </c>
    </row>
    <row r="12" ht="14.25" customHeight="1">
      <c r="B12" s="32" t="s">
        <v>94</v>
      </c>
      <c r="C12" s="90" t="s">
        <v>39</v>
      </c>
      <c r="BH12" s="131">
        <f t="shared" ref="BH12:BR12" si="1">+BH13+BH14+BH15+BH16</f>
        <v>145.9563325</v>
      </c>
      <c r="BI12" s="131">
        <f t="shared" si="1"/>
        <v>248.5421694</v>
      </c>
      <c r="BJ12" s="131">
        <f t="shared" si="1"/>
        <v>260.6127308</v>
      </c>
      <c r="BK12" s="131">
        <f t="shared" si="1"/>
        <v>268.1047157</v>
      </c>
      <c r="BL12" s="131">
        <f t="shared" si="1"/>
        <v>287.3449396</v>
      </c>
      <c r="BM12" s="131">
        <f t="shared" si="1"/>
        <v>307.8850777</v>
      </c>
      <c r="BN12" s="131">
        <f t="shared" si="1"/>
        <v>332.2227985</v>
      </c>
      <c r="BO12" s="131">
        <f t="shared" si="1"/>
        <v>359.2209267</v>
      </c>
      <c r="BP12" s="131">
        <f t="shared" si="1"/>
        <v>389.1504517</v>
      </c>
      <c r="BQ12" s="131">
        <f t="shared" si="1"/>
        <v>421.1909119</v>
      </c>
      <c r="BR12" s="131">
        <f t="shared" si="1"/>
        <v>455.7975025</v>
      </c>
      <c r="BS12" s="131"/>
      <c r="BU12" s="128" t="str">
        <f>Modelo!CQ12</f>
        <v>x</v>
      </c>
    </row>
    <row r="13" ht="14.25" customHeight="1">
      <c r="B13" s="10" t="s">
        <v>204</v>
      </c>
      <c r="C13" s="9"/>
      <c r="BH13" s="81">
        <f>Modelo!CF52</f>
        <v>160.6183325</v>
      </c>
      <c r="BI13" s="81">
        <f>Modelo!CG52</f>
        <v>193.946547</v>
      </c>
      <c r="BJ13" s="81">
        <f>Modelo!CH52</f>
        <v>250.9016734</v>
      </c>
      <c r="BK13" s="81">
        <f>Modelo!CI52</f>
        <v>284.0488531</v>
      </c>
      <c r="BL13" s="81">
        <f>Modelo!CJ52</f>
        <v>316.8013933</v>
      </c>
      <c r="BM13" s="81">
        <f>Modelo!CK52</f>
        <v>343.341717</v>
      </c>
      <c r="BN13" s="81">
        <f>Modelo!CL52</f>
        <v>372.7355165</v>
      </c>
      <c r="BO13" s="81">
        <f>Modelo!CM52</f>
        <v>405.1354598</v>
      </c>
      <c r="BP13" s="81">
        <f>Modelo!CN52</f>
        <v>440.8178075</v>
      </c>
      <c r="BQ13" s="81">
        <f>Modelo!CO52</f>
        <v>478.5994295</v>
      </c>
      <c r="BR13" s="81">
        <f>Modelo!CP52</f>
        <v>517.8069018</v>
      </c>
      <c r="BU13" s="128" t="str">
        <f>Modelo!CQ13</f>
        <v>x</v>
      </c>
    </row>
    <row r="14" ht="14.25" customHeight="1">
      <c r="B14" s="10" t="s">
        <v>205</v>
      </c>
      <c r="C14" s="9"/>
      <c r="BH14" s="81">
        <f>Modelo!CF42</f>
        <v>-17.147</v>
      </c>
      <c r="BI14" s="81">
        <f>Modelo!CG42</f>
        <v>-18.63205906</v>
      </c>
      <c r="BJ14" s="81">
        <f>Modelo!CH42</f>
        <v>-39.28141198</v>
      </c>
      <c r="BK14" s="81">
        <f>Modelo!CI42</f>
        <v>-51.33767684</v>
      </c>
      <c r="BL14" s="81">
        <f>Modelo!CJ42</f>
        <v>-63.5824462</v>
      </c>
      <c r="BM14" s="81">
        <f>Modelo!CK42</f>
        <v>-72.52329283</v>
      </c>
      <c r="BN14" s="81">
        <f>Modelo!CL42</f>
        <v>-81.76730414</v>
      </c>
      <c r="BO14" s="81">
        <f>Modelo!CM42</f>
        <v>-91.92349265</v>
      </c>
      <c r="BP14" s="81">
        <f>Modelo!CN42</f>
        <v>-103.0885462</v>
      </c>
      <c r="BQ14" s="81">
        <f>Modelo!CO42</f>
        <v>-115.5359517</v>
      </c>
      <c r="BR14" s="81">
        <f>Modelo!CP42</f>
        <v>-129.8981648</v>
      </c>
      <c r="BU14" s="128" t="str">
        <f>Modelo!CQ14</f>
        <v>x</v>
      </c>
    </row>
    <row r="15" ht="14.25" customHeight="1">
      <c r="B15" s="10" t="s">
        <v>206</v>
      </c>
      <c r="C15" s="9"/>
      <c r="BH15" s="81">
        <f>Modelo!CF140</f>
        <v>-20.891</v>
      </c>
      <c r="BI15" s="81">
        <f>Modelo!CG140</f>
        <v>27.11275075</v>
      </c>
      <c r="BJ15" s="81">
        <f>Modelo!CH140</f>
        <v>-8.252754574</v>
      </c>
      <c r="BK15" s="81">
        <f>Modelo!CI140</f>
        <v>-15.56892496</v>
      </c>
      <c r="BL15" s="81">
        <f>Modelo!CJ140</f>
        <v>-16.68443369</v>
      </c>
      <c r="BM15" s="81">
        <f>Modelo!CK140</f>
        <v>-18.22998303</v>
      </c>
      <c r="BN15" s="81">
        <f>Modelo!CL140</f>
        <v>-19.91870312</v>
      </c>
      <c r="BO15" s="81">
        <f>Modelo!CM140</f>
        <v>-21.76385646</v>
      </c>
      <c r="BP15" s="81">
        <f>Modelo!CN140</f>
        <v>-23.77993412</v>
      </c>
      <c r="BQ15" s="81">
        <f>Modelo!CO140</f>
        <v>-25.98276954</v>
      </c>
      <c r="BR15" s="81">
        <f>Modelo!CP140</f>
        <v>-28.38966288</v>
      </c>
      <c r="BU15" s="128" t="str">
        <f>Modelo!CQ15</f>
        <v>x</v>
      </c>
    </row>
    <row r="16" ht="14.25" customHeight="1">
      <c r="B16" s="10" t="s">
        <v>207</v>
      </c>
      <c r="C16" s="9"/>
      <c r="BH16" s="60">
        <f>Modelo!CF35</f>
        <v>23.376</v>
      </c>
      <c r="BI16" s="60">
        <f>Modelo!CG35</f>
        <v>46.11493075</v>
      </c>
      <c r="BJ16" s="60">
        <f>Modelo!CH35</f>
        <v>57.24522399</v>
      </c>
      <c r="BK16" s="60">
        <f>Modelo!CI35</f>
        <v>50.96246443</v>
      </c>
      <c r="BL16" s="60">
        <f>Modelo!CJ35</f>
        <v>50.81042616</v>
      </c>
      <c r="BM16" s="60">
        <f>Modelo!CK35</f>
        <v>55.29663654</v>
      </c>
      <c r="BN16" s="60">
        <f>Modelo!CL35</f>
        <v>61.17328927</v>
      </c>
      <c r="BO16" s="60">
        <f>Modelo!CM35</f>
        <v>67.77281599</v>
      </c>
      <c r="BP16" s="60">
        <f>Modelo!CN35</f>
        <v>75.20112452</v>
      </c>
      <c r="BQ16" s="60">
        <f>Modelo!CO35</f>
        <v>84.11020362</v>
      </c>
      <c r="BR16" s="60">
        <f>Modelo!CP35</f>
        <v>96.27842834</v>
      </c>
      <c r="BS16" s="60"/>
      <c r="BU16" s="128" t="str">
        <f>Modelo!CQ16</f>
        <v>x</v>
      </c>
    </row>
    <row r="17" ht="14.25" customHeight="1">
      <c r="B17" s="32" t="s">
        <v>96</v>
      </c>
      <c r="C17" s="90"/>
      <c r="BH17" s="34">
        <f t="shared" ref="BH17:BR17" si="2">+BH18</f>
        <v>-93.599</v>
      </c>
      <c r="BI17" s="34">
        <f t="shared" si="2"/>
        <v>-85.62362188</v>
      </c>
      <c r="BJ17" s="34">
        <f t="shared" si="2"/>
        <v>-97.64845702</v>
      </c>
      <c r="BK17" s="34">
        <f t="shared" si="2"/>
        <v>-107.2593083</v>
      </c>
      <c r="BL17" s="34">
        <f t="shared" si="2"/>
        <v>-117.1951897</v>
      </c>
      <c r="BM17" s="34">
        <f t="shared" si="2"/>
        <v>-128.0514735</v>
      </c>
      <c r="BN17" s="34">
        <f t="shared" si="2"/>
        <v>-139.9134207</v>
      </c>
      <c r="BO17" s="34">
        <f t="shared" si="2"/>
        <v>-152.8741899</v>
      </c>
      <c r="BP17" s="34">
        <f t="shared" si="2"/>
        <v>-167.0355698</v>
      </c>
      <c r="BQ17" s="34">
        <f t="shared" si="2"/>
        <v>-152.0906483</v>
      </c>
      <c r="BR17" s="34">
        <f t="shared" si="2"/>
        <v>-166.1794454</v>
      </c>
      <c r="BS17" s="132"/>
      <c r="BU17" s="128" t="str">
        <f>Modelo!CQ17</f>
        <v>x</v>
      </c>
    </row>
    <row r="18" ht="14.25" customHeight="1">
      <c r="B18" s="10" t="s">
        <v>95</v>
      </c>
      <c r="C18" s="9"/>
      <c r="BH18" s="81">
        <f>Modelo!CF144+Modelo!CF145</f>
        <v>-93.599</v>
      </c>
      <c r="BI18" s="81">
        <f>Modelo!CG144+Modelo!CG145</f>
        <v>-85.62362188</v>
      </c>
      <c r="BJ18" s="81">
        <f>Modelo!CH144+Modelo!CH145</f>
        <v>-97.64845702</v>
      </c>
      <c r="BK18" s="81">
        <f>Modelo!CI144+Modelo!CI145</f>
        <v>-107.2593083</v>
      </c>
      <c r="BL18" s="81">
        <f>Modelo!CJ144+Modelo!CJ145</f>
        <v>-117.1951897</v>
      </c>
      <c r="BM18" s="81">
        <f>Modelo!CK144+Modelo!CK145</f>
        <v>-128.0514735</v>
      </c>
      <c r="BN18" s="81">
        <f>Modelo!CL144+Modelo!CL145</f>
        <v>-139.9134207</v>
      </c>
      <c r="BO18" s="81">
        <f>Modelo!CM144+Modelo!CM145</f>
        <v>-152.8741899</v>
      </c>
      <c r="BP18" s="81">
        <f>Modelo!CN144+Modelo!CN145</f>
        <v>-167.0355698</v>
      </c>
      <c r="BQ18" s="81">
        <f>Modelo!CO144+Modelo!CO145</f>
        <v>-152.0906483</v>
      </c>
      <c r="BR18" s="81">
        <f>Modelo!CP144+Modelo!CP145</f>
        <v>-166.1794454</v>
      </c>
      <c r="BU18" s="128" t="str">
        <f>Modelo!CQ18</f>
        <v>x</v>
      </c>
    </row>
    <row r="19" ht="14.25" customHeight="1">
      <c r="B19" s="73" t="s">
        <v>100</v>
      </c>
      <c r="C19" s="90"/>
      <c r="BH19" s="133">
        <f t="shared" ref="BH19:BR19" si="3">+BH20+BH21+BH22</f>
        <v>39.855</v>
      </c>
      <c r="BI19" s="133">
        <f t="shared" si="3"/>
        <v>47.954302</v>
      </c>
      <c r="BJ19" s="133">
        <f t="shared" si="3"/>
        <v>-107.3002515</v>
      </c>
      <c r="BK19" s="133">
        <f t="shared" si="3"/>
        <v>-91.925404</v>
      </c>
      <c r="BL19" s="133">
        <f t="shared" si="3"/>
        <v>-81.4057715</v>
      </c>
      <c r="BM19" s="133">
        <f t="shared" si="3"/>
        <v>-78.978164</v>
      </c>
      <c r="BN19" s="133">
        <f t="shared" si="3"/>
        <v>-78.978164</v>
      </c>
      <c r="BO19" s="133">
        <f t="shared" si="3"/>
        <v>-78.978164</v>
      </c>
      <c r="BP19" s="133">
        <f t="shared" si="3"/>
        <v>-78.978164</v>
      </c>
      <c r="BQ19" s="133">
        <f t="shared" si="3"/>
        <v>-78.978164</v>
      </c>
      <c r="BR19" s="133">
        <f t="shared" si="3"/>
        <v>-78.978164</v>
      </c>
      <c r="BS19" s="134"/>
      <c r="BU19" s="128" t="str">
        <f>Modelo!CQ19</f>
        <v>x</v>
      </c>
    </row>
    <row r="20" ht="14.25" customHeight="1">
      <c r="B20" s="10" t="s">
        <v>208</v>
      </c>
      <c r="C20" s="9"/>
      <c r="BH20" s="60">
        <f>Modelo!CF36</f>
        <v>-75.456</v>
      </c>
      <c r="BI20" s="60">
        <f>Modelo!CG36</f>
        <v>-107.285698</v>
      </c>
      <c r="BJ20" s="60">
        <f>Modelo!CH36</f>
        <v>-107.3002515</v>
      </c>
      <c r="BK20" s="60">
        <f>Modelo!CI36</f>
        <v>-91.925404</v>
      </c>
      <c r="BL20" s="60">
        <f>Modelo!CJ36</f>
        <v>-81.4057715</v>
      </c>
      <c r="BM20" s="60">
        <f>Modelo!CK36</f>
        <v>-78.978164</v>
      </c>
      <c r="BN20" s="60">
        <f>Modelo!CL36</f>
        <v>-78.978164</v>
      </c>
      <c r="BO20" s="60">
        <f>Modelo!CM36</f>
        <v>-78.978164</v>
      </c>
      <c r="BP20" s="60">
        <f>Modelo!CN36</f>
        <v>-78.978164</v>
      </c>
      <c r="BQ20" s="60">
        <f>Modelo!CO36</f>
        <v>-78.978164</v>
      </c>
      <c r="BR20" s="60">
        <f>Modelo!CP36</f>
        <v>-78.978164</v>
      </c>
      <c r="BS20" s="60"/>
      <c r="BU20" s="128" t="str">
        <f>Modelo!CQ20</f>
        <v>x</v>
      </c>
    </row>
    <row r="21" ht="14.25" customHeight="1">
      <c r="B21" s="10" t="s">
        <v>98</v>
      </c>
      <c r="C21" s="9"/>
      <c r="BH21" s="60">
        <f>Modelo!CF149</f>
        <v>84.603</v>
      </c>
      <c r="BI21" s="60">
        <f>Modelo!CG149</f>
        <v>0</v>
      </c>
      <c r="BJ21" s="60">
        <f>Modelo!CH149</f>
        <v>0</v>
      </c>
      <c r="BK21" s="60">
        <f>Modelo!CI149</f>
        <v>0</v>
      </c>
      <c r="BL21" s="60">
        <f>Modelo!CJ149</f>
        <v>0</v>
      </c>
      <c r="BM21" s="60">
        <f>Modelo!CK149</f>
        <v>0</v>
      </c>
      <c r="BN21" s="60">
        <f>Modelo!CL149</f>
        <v>0</v>
      </c>
      <c r="BO21" s="60">
        <f>Modelo!CM149</f>
        <v>0</v>
      </c>
      <c r="BP21" s="60">
        <f>Modelo!CN149</f>
        <v>0</v>
      </c>
      <c r="BQ21" s="60">
        <f>Modelo!CO149</f>
        <v>0</v>
      </c>
      <c r="BR21" s="60">
        <f>Modelo!CP149</f>
        <v>0</v>
      </c>
      <c r="BS21" s="60"/>
      <c r="BU21" s="128" t="str">
        <f>Modelo!CQ21</f>
        <v>x</v>
      </c>
    </row>
    <row r="22" ht="14.25" customHeight="1">
      <c r="B22" s="10" t="s">
        <v>99</v>
      </c>
      <c r="C22" s="9"/>
      <c r="BH22" s="60">
        <f>+Modelo!CF150+Modelo!CF151</f>
        <v>30.708</v>
      </c>
      <c r="BI22" s="60">
        <f>+Modelo!CG150+Modelo!CG151</f>
        <v>155.24</v>
      </c>
      <c r="BJ22" s="60">
        <f>+Modelo!CH150+Modelo!CH151</f>
        <v>0</v>
      </c>
      <c r="BK22" s="60">
        <f>+Modelo!CI150+Modelo!CI151</f>
        <v>0</v>
      </c>
      <c r="BL22" s="60">
        <f>+Modelo!CJ150+Modelo!CJ151</f>
        <v>0</v>
      </c>
      <c r="BM22" s="60">
        <f>+Modelo!CK150+Modelo!CK151</f>
        <v>0</v>
      </c>
      <c r="BN22" s="60">
        <f>+Modelo!CL150+Modelo!CL151</f>
        <v>0</v>
      </c>
      <c r="BO22" s="60">
        <f>+Modelo!CM150+Modelo!CM151</f>
        <v>0</v>
      </c>
      <c r="BP22" s="60">
        <f>+Modelo!CN150+Modelo!CN151</f>
        <v>0</v>
      </c>
      <c r="BQ22" s="60">
        <f>+Modelo!CO150+Modelo!CO151</f>
        <v>0</v>
      </c>
      <c r="BR22" s="60">
        <f>+Modelo!CP150+Modelo!CP151</f>
        <v>0</v>
      </c>
      <c r="BS22" s="60"/>
      <c r="BU22" s="128" t="str">
        <f>Modelo!CQ22</f>
        <v>x</v>
      </c>
    </row>
    <row r="23" ht="14.25" customHeight="1">
      <c r="B23" s="73" t="s">
        <v>209</v>
      </c>
      <c r="C23" s="90"/>
      <c r="BH23" s="133">
        <f t="shared" ref="BH23:BR23" si="4">+BH12+BH17+BH19</f>
        <v>92.21233251</v>
      </c>
      <c r="BI23" s="133">
        <f t="shared" si="4"/>
        <v>210.8728495</v>
      </c>
      <c r="BJ23" s="133">
        <f t="shared" si="4"/>
        <v>55.6640223</v>
      </c>
      <c r="BK23" s="133">
        <f t="shared" si="4"/>
        <v>68.92000339</v>
      </c>
      <c r="BL23" s="133">
        <f t="shared" si="4"/>
        <v>88.74397843</v>
      </c>
      <c r="BM23" s="133">
        <f t="shared" si="4"/>
        <v>100.8554401</v>
      </c>
      <c r="BN23" s="133">
        <f t="shared" si="4"/>
        <v>113.3312138</v>
      </c>
      <c r="BO23" s="133">
        <f t="shared" si="4"/>
        <v>127.3685728</v>
      </c>
      <c r="BP23" s="133">
        <f t="shared" si="4"/>
        <v>143.1367179</v>
      </c>
      <c r="BQ23" s="133">
        <f t="shared" si="4"/>
        <v>190.1220996</v>
      </c>
      <c r="BR23" s="133">
        <f t="shared" si="4"/>
        <v>210.6398931</v>
      </c>
      <c r="BS23" s="133">
        <f>BR23*(1+$C$29)/(C58-C29)</f>
        <v>2086.337988</v>
      </c>
      <c r="BU23" s="128" t="str">
        <f>Modelo!CQ23</f>
        <v>x</v>
      </c>
    </row>
    <row r="24" ht="14.25" customHeight="1">
      <c r="B24" s="59"/>
      <c r="C24" s="9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U24" s="128" t="str">
        <f>Modelo!CQ24</f>
        <v>x</v>
      </c>
    </row>
    <row r="25" ht="14.25" customHeight="1">
      <c r="B25" s="22" t="s">
        <v>210</v>
      </c>
      <c r="C25" s="78" t="s">
        <v>1</v>
      </c>
      <c r="BH25" s="135"/>
      <c r="BI25" s="135">
        <v>1.0</v>
      </c>
      <c r="BJ25" s="135">
        <f t="shared" ref="BJ25:BR25" si="5">BI25+1</f>
        <v>2</v>
      </c>
      <c r="BK25" s="135">
        <f t="shared" si="5"/>
        <v>3</v>
      </c>
      <c r="BL25" s="135">
        <f t="shared" si="5"/>
        <v>4</v>
      </c>
      <c r="BM25" s="135">
        <f t="shared" si="5"/>
        <v>5</v>
      </c>
      <c r="BN25" s="135">
        <f t="shared" si="5"/>
        <v>6</v>
      </c>
      <c r="BO25" s="135">
        <f t="shared" si="5"/>
        <v>7</v>
      </c>
      <c r="BP25" s="135">
        <f t="shared" si="5"/>
        <v>8</v>
      </c>
      <c r="BQ25" s="135">
        <f t="shared" si="5"/>
        <v>9</v>
      </c>
      <c r="BR25" s="135">
        <f t="shared" si="5"/>
        <v>10</v>
      </c>
      <c r="BU25" s="128" t="str">
        <f>Modelo!CQ25</f>
        <v>x</v>
      </c>
    </row>
    <row r="26" ht="14.25" customHeight="1">
      <c r="B26" s="10" t="s">
        <v>209</v>
      </c>
      <c r="C26" s="96" t="s">
        <v>39</v>
      </c>
      <c r="BH26" s="38"/>
      <c r="BI26" s="38">
        <f t="shared" ref="BI26:BR26" si="6">BI23/(1+$C$58)^BI25</f>
        <v>184.1684276</v>
      </c>
      <c r="BJ26" s="38">
        <f t="shared" si="6"/>
        <v>42.45839881</v>
      </c>
      <c r="BK26" s="38">
        <f t="shared" si="6"/>
        <v>45.91227681</v>
      </c>
      <c r="BL26" s="38">
        <f t="shared" si="6"/>
        <v>51.63176219</v>
      </c>
      <c r="BM26" s="38">
        <f t="shared" si="6"/>
        <v>51.24740696</v>
      </c>
      <c r="BN26" s="38">
        <f t="shared" si="6"/>
        <v>50.29405126</v>
      </c>
      <c r="BO26" s="38">
        <f t="shared" si="6"/>
        <v>49.36553813</v>
      </c>
      <c r="BP26" s="38">
        <f t="shared" si="6"/>
        <v>48.45149268</v>
      </c>
      <c r="BQ26" s="38">
        <f t="shared" si="6"/>
        <v>56.20607022</v>
      </c>
      <c r="BR26" s="38">
        <f t="shared" si="6"/>
        <v>54.38582975</v>
      </c>
      <c r="BS26" s="136">
        <f>BS23/(1+$C$58)^BR25</f>
        <v>538.6786947</v>
      </c>
      <c r="BU26" s="128" t="str">
        <f>Modelo!CQ22</f>
        <v>x</v>
      </c>
    </row>
    <row r="27" ht="14.25" customHeight="1">
      <c r="B27" s="10"/>
      <c r="C27" s="9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U27" s="128" t="str">
        <f>Modelo!CQ23</f>
        <v>x</v>
      </c>
    </row>
    <row r="28" ht="14.25" customHeight="1">
      <c r="B28" s="20"/>
      <c r="C28" s="9"/>
      <c r="BU28" s="128" t="str">
        <f>Modelo!CQ24</f>
        <v>x</v>
      </c>
    </row>
    <row r="29" ht="14.25" customHeight="1">
      <c r="B29" s="137" t="s">
        <v>211</v>
      </c>
      <c r="C29" s="138">
        <v>0.04</v>
      </c>
      <c r="BU29" s="128" t="str">
        <f>Modelo!CQ25</f>
        <v>x</v>
      </c>
    </row>
    <row r="30" ht="14.25" customHeight="1">
      <c r="BU30" s="128" t="str">
        <f>Modelo!CQ26</f>
        <v>x</v>
      </c>
    </row>
    <row r="31" ht="14.25" customHeight="1">
      <c r="A31" s="11" t="s">
        <v>36</v>
      </c>
      <c r="B31" s="2" t="s">
        <v>212</v>
      </c>
      <c r="BU31" s="128" t="str">
        <f>Modelo!CQ27</f>
        <v>x</v>
      </c>
    </row>
    <row r="32" ht="14.25" customHeight="1">
      <c r="BU32" s="128" t="str">
        <f>Modelo!CQ28</f>
        <v>x</v>
      </c>
    </row>
    <row r="33" ht="14.25" customHeight="1">
      <c r="B33" s="139" t="s">
        <v>213</v>
      </c>
      <c r="C33" s="140"/>
      <c r="BU33" s="128" t="str">
        <f>Modelo!CQ29</f>
        <v>x</v>
      </c>
    </row>
    <row r="34" ht="14.25" customHeight="1">
      <c r="B34" s="141" t="s">
        <v>214</v>
      </c>
      <c r="C34" s="142">
        <v>15.0</v>
      </c>
      <c r="BU34" s="128" t="str">
        <f>Modelo!CQ30</f>
        <v>x</v>
      </c>
    </row>
    <row r="35" ht="14.25" customHeight="1">
      <c r="B35" s="141" t="s">
        <v>215</v>
      </c>
      <c r="C35" s="143">
        <v>45700.0</v>
      </c>
      <c r="BU35" s="128" t="str">
        <f>Modelo!CQ31</f>
        <v>x</v>
      </c>
    </row>
    <row r="36" ht="14.25" customHeight="1">
      <c r="B36" s="141" t="s">
        <v>216</v>
      </c>
      <c r="C36" s="142"/>
      <c r="BU36" s="128" t="str">
        <f>Modelo!CQ32</f>
        <v>x</v>
      </c>
    </row>
    <row r="37" ht="14.25" customHeight="1">
      <c r="B37" s="141" t="s">
        <v>217</v>
      </c>
      <c r="C37" s="142"/>
      <c r="BU37" s="128" t="str">
        <f>Modelo!CQ33</f>
        <v>x</v>
      </c>
    </row>
    <row r="38" ht="14.25" customHeight="1">
      <c r="B38" s="141" t="s">
        <v>218</v>
      </c>
      <c r="C38" s="144">
        <v>46.7</v>
      </c>
      <c r="BU38" s="128" t="str">
        <f>Modelo!CQ34</f>
        <v>x</v>
      </c>
    </row>
    <row r="39" ht="14.25" customHeight="1">
      <c r="B39" s="145" t="s">
        <v>219</v>
      </c>
      <c r="C39" s="146">
        <f>C38*C34</f>
        <v>700.5</v>
      </c>
      <c r="BU39" s="128" t="str">
        <f>Modelo!CQ35</f>
        <v>x</v>
      </c>
    </row>
    <row r="40" ht="14.25" customHeight="1">
      <c r="BU40" s="128" t="str">
        <f>Modelo!CQ36</f>
        <v>x</v>
      </c>
    </row>
    <row r="41" ht="14.25" customHeight="1">
      <c r="A41" s="11" t="s">
        <v>36</v>
      </c>
      <c r="B41" s="2" t="s">
        <v>220</v>
      </c>
      <c r="BU41" s="128" t="str">
        <f>Modelo!CQ37</f>
        <v>x</v>
      </c>
    </row>
    <row r="42" ht="14.25" customHeight="1">
      <c r="BU42" s="128" t="str">
        <f>Modelo!CQ38</f>
        <v>x</v>
      </c>
    </row>
    <row r="43" ht="14.25" customHeight="1">
      <c r="B43" s="139" t="s">
        <v>209</v>
      </c>
      <c r="C43" s="140"/>
      <c r="BU43" s="128" t="str">
        <f>Modelo!CQ39</f>
        <v>x</v>
      </c>
    </row>
    <row r="44" ht="14.25" customHeight="1">
      <c r="B44" s="141" t="s">
        <v>221</v>
      </c>
      <c r="C44" s="144">
        <f>SUM(BI26:BR26)</f>
        <v>634.1212544</v>
      </c>
      <c r="BU44" s="128" t="str">
        <f>Modelo!CQ40</f>
        <v>x</v>
      </c>
    </row>
    <row r="45" ht="14.25" customHeight="1">
      <c r="B45" s="141" t="s">
        <v>222</v>
      </c>
      <c r="C45" s="144">
        <f>BS26</f>
        <v>538.6786947</v>
      </c>
      <c r="BU45" s="128" t="str">
        <f>Modelo!CQ41</f>
        <v>x</v>
      </c>
    </row>
    <row r="46" ht="14.25" customHeight="1">
      <c r="B46" s="141" t="s">
        <v>223</v>
      </c>
      <c r="C46" s="144">
        <f>SUM(C44,C45)</f>
        <v>1172.799949</v>
      </c>
      <c r="BU46" s="128" t="str">
        <f>Modelo!CQ42</f>
        <v>x</v>
      </c>
    </row>
    <row r="47" ht="14.25" customHeight="1">
      <c r="B47" s="141" t="s">
        <v>224</v>
      </c>
      <c r="C47" s="147">
        <f>C46/C38</f>
        <v>25.11348927</v>
      </c>
      <c r="BU47" s="128"/>
    </row>
    <row r="48" ht="14.25" customHeight="1">
      <c r="B48" s="148" t="s">
        <v>225</v>
      </c>
      <c r="C48" s="149">
        <f>C47/C34-1</f>
        <v>0.6742326182</v>
      </c>
      <c r="BU48" s="128"/>
    </row>
    <row r="49" ht="14.25" customHeight="1">
      <c r="BU49" s="128" t="str">
        <f>Modelo!CQ57</f>
        <v>x</v>
      </c>
    </row>
    <row r="50" ht="14.25" customHeight="1">
      <c r="A50" s="11" t="s">
        <v>36</v>
      </c>
      <c r="B50" s="2" t="s">
        <v>226</v>
      </c>
      <c r="BU50" s="128" t="str">
        <f>Modelo!CQ58</f>
        <v>x</v>
      </c>
    </row>
    <row r="51" ht="14.25" customHeight="1">
      <c r="BU51" s="128" t="str">
        <f>Modelo!CQ59</f>
        <v>x</v>
      </c>
    </row>
    <row r="52" ht="14.25" customHeight="1">
      <c r="B52" s="150" t="s">
        <v>227</v>
      </c>
      <c r="C52" s="151"/>
      <c r="BU52" s="128" t="str">
        <f>Modelo!CQ60</f>
        <v>x</v>
      </c>
    </row>
    <row r="53" ht="14.25" customHeight="1">
      <c r="B53" s="141" t="s">
        <v>228</v>
      </c>
      <c r="C53" s="142">
        <v>1.0</v>
      </c>
      <c r="BU53" s="128" t="str">
        <f>Modelo!CQ61</f>
        <v>x</v>
      </c>
    </row>
    <row r="54" ht="14.25" customHeight="1">
      <c r="B54" s="141" t="s">
        <v>229</v>
      </c>
      <c r="C54" s="152">
        <v>0.045</v>
      </c>
      <c r="BU54" s="128" t="str">
        <f>Modelo!CQ62</f>
        <v>x</v>
      </c>
    </row>
    <row r="55" ht="14.25" customHeight="1">
      <c r="B55" s="141" t="s">
        <v>230</v>
      </c>
      <c r="C55" s="152">
        <v>0.1</v>
      </c>
      <c r="BU55" s="128" t="str">
        <f>Modelo!CQ63</f>
        <v>x</v>
      </c>
    </row>
    <row r="56" ht="14.25" customHeight="1">
      <c r="B56" s="141" t="s">
        <v>231</v>
      </c>
      <c r="C56" s="152">
        <v>0.044</v>
      </c>
      <c r="BS56" s="153"/>
      <c r="BU56" s="128" t="str">
        <f>Modelo!CQ64</f>
        <v>x</v>
      </c>
    </row>
    <row r="57" ht="14.25" customHeight="1">
      <c r="B57" s="141" t="s">
        <v>232</v>
      </c>
      <c r="C57" s="152">
        <v>1.0</v>
      </c>
      <c r="BL57" s="154"/>
      <c r="BM57" s="154"/>
      <c r="BN57" s="154"/>
      <c r="BO57" s="154"/>
      <c r="BP57" s="154"/>
      <c r="BQ57" s="154"/>
      <c r="BR57" s="154"/>
      <c r="BS57" s="154"/>
      <c r="BU57" s="128" t="str">
        <f>Modelo!CQ65</f>
        <v>x</v>
      </c>
    </row>
    <row r="58" ht="14.25" customHeight="1">
      <c r="B58" s="148" t="s">
        <v>233</v>
      </c>
      <c r="C58" s="155">
        <f>(1+(C54+C53*(C55-C56)+C56))*C57-1</f>
        <v>0.145</v>
      </c>
      <c r="BK58" s="156" t="s">
        <v>234</v>
      </c>
      <c r="BL58" s="19"/>
      <c r="BM58" s="19"/>
      <c r="BN58" s="19"/>
      <c r="BO58" s="19"/>
      <c r="BP58" s="19"/>
      <c r="BQ58" s="19"/>
      <c r="BR58" s="19"/>
      <c r="BS58" s="154"/>
      <c r="BU58" s="128" t="str">
        <f>Modelo!CQ66</f>
        <v>x</v>
      </c>
    </row>
    <row r="59" ht="14.25" customHeight="1">
      <c r="BU59" s="128" t="str">
        <f>Modelo!CQ67</f>
        <v>x</v>
      </c>
    </row>
    <row r="60" ht="14.25" customHeight="1">
      <c r="B60" s="150" t="s">
        <v>235</v>
      </c>
      <c r="C60" s="151"/>
      <c r="BU60" s="128" t="str">
        <f>Modelo!CQ36</f>
        <v>x</v>
      </c>
    </row>
    <row r="61" ht="14.25" customHeight="1">
      <c r="B61" s="35" t="s">
        <v>236</v>
      </c>
      <c r="C61" s="157"/>
      <c r="BU61" s="128" t="str">
        <f>Modelo!CQ10</f>
        <v>x</v>
      </c>
    </row>
    <row r="62" ht="14.25" customHeight="1">
      <c r="B62" s="141" t="s">
        <v>237</v>
      </c>
      <c r="C62" s="144">
        <v>247.548</v>
      </c>
      <c r="BU62" s="128" t="str">
        <f>Modelo!CQ11</f>
        <v>x</v>
      </c>
    </row>
    <row r="63" ht="14.25" customHeight="1">
      <c r="B63" s="141" t="s">
        <v>238</v>
      </c>
      <c r="C63" s="152">
        <v>0.022</v>
      </c>
      <c r="BU63" s="128" t="str">
        <f>Modelo!CQ12</f>
        <v>x</v>
      </c>
    </row>
    <row r="64" ht="14.25" customHeight="1">
      <c r="B64" s="141" t="s">
        <v>239</v>
      </c>
      <c r="C64" s="152">
        <f>C63+Macro!$BH$10</f>
        <v>0.1367</v>
      </c>
      <c r="BU64" s="128" t="str">
        <f>Modelo!CQ13</f>
        <v>x</v>
      </c>
    </row>
    <row r="65" ht="14.25" customHeight="1">
      <c r="B65" s="145" t="s">
        <v>240</v>
      </c>
      <c r="C65" s="152">
        <f>C62/C81</f>
        <v>0.6521921262</v>
      </c>
      <c r="BU65" s="128" t="str">
        <f>Modelo!CQ14</f>
        <v>x</v>
      </c>
    </row>
    <row r="66" ht="14.25" customHeight="1">
      <c r="B66" s="35" t="s">
        <v>241</v>
      </c>
      <c r="C66" s="157"/>
      <c r="BU66" s="128" t="str">
        <f>Modelo!CQ15</f>
        <v>x</v>
      </c>
    </row>
    <row r="67" ht="14.25" customHeight="1">
      <c r="B67" s="141" t="s">
        <v>237</v>
      </c>
      <c r="C67" s="144">
        <v>78.937</v>
      </c>
      <c r="BU67" s="128" t="str">
        <f>Modelo!CQ16</f>
        <v>x</v>
      </c>
    </row>
    <row r="68" ht="14.25" customHeight="1">
      <c r="B68" s="141" t="s">
        <v>238</v>
      </c>
      <c r="C68" s="152">
        <v>0.022</v>
      </c>
      <c r="BU68" s="128" t="str">
        <f>Modelo!CQ17</f>
        <v>x</v>
      </c>
    </row>
    <row r="69" ht="14.25" customHeight="1">
      <c r="B69" s="141" t="s">
        <v>239</v>
      </c>
      <c r="C69" s="152">
        <f>C68+Macro!$BI$10</f>
        <v>0.172</v>
      </c>
      <c r="BU69" s="128" t="str">
        <f>Modelo!CQ18</f>
        <v>x</v>
      </c>
    </row>
    <row r="70" ht="14.25" customHeight="1">
      <c r="B70" s="145" t="s">
        <v>240</v>
      </c>
      <c r="C70" s="152">
        <f>C67/C81</f>
        <v>0.2079681107</v>
      </c>
      <c r="BU70" s="128" t="str">
        <f>Modelo!CQ19</f>
        <v>x</v>
      </c>
    </row>
    <row r="71" ht="14.25" customHeight="1">
      <c r="B71" s="141" t="s">
        <v>242</v>
      </c>
      <c r="C71" s="157"/>
      <c r="BU71" s="128" t="str">
        <f>Modelo!CQ20</f>
        <v>x</v>
      </c>
    </row>
    <row r="72" ht="14.25" customHeight="1">
      <c r="B72" s="141" t="s">
        <v>237</v>
      </c>
      <c r="C72" s="144">
        <v>38.012</v>
      </c>
      <c r="BU72" s="128" t="str">
        <f>Modelo!CQ21</f>
        <v>x</v>
      </c>
    </row>
    <row r="73" ht="14.25" customHeight="1">
      <c r="B73" s="141" t="s">
        <v>238</v>
      </c>
      <c r="C73" s="152">
        <v>0.022</v>
      </c>
      <c r="BU73" s="128" t="str">
        <f>Modelo!CQ22</f>
        <v>x</v>
      </c>
    </row>
    <row r="74" ht="14.25" customHeight="1">
      <c r="B74" s="141" t="s">
        <v>239</v>
      </c>
      <c r="C74" s="152">
        <f>C73+Macro!$BI$10</f>
        <v>0.172</v>
      </c>
      <c r="BU74" s="128" t="str">
        <f>Modelo!CQ23</f>
        <v>x</v>
      </c>
    </row>
    <row r="75" ht="14.25" customHeight="1">
      <c r="B75" s="145" t="s">
        <v>240</v>
      </c>
      <c r="C75" s="152">
        <f>C72/C81</f>
        <v>0.1001467477</v>
      </c>
      <c r="BU75" s="128" t="str">
        <f>Modelo!CQ24</f>
        <v>x</v>
      </c>
    </row>
    <row r="76" ht="14.25" customHeight="1">
      <c r="B76" s="141" t="s">
        <v>243</v>
      </c>
      <c r="C76" s="157"/>
      <c r="BU76" s="128" t="str">
        <f>Modelo!CQ25</f>
        <v>x</v>
      </c>
    </row>
    <row r="77" ht="14.25" customHeight="1">
      <c r="B77" s="141" t="s">
        <v>237</v>
      </c>
      <c r="C77" s="144">
        <v>15.066</v>
      </c>
      <c r="BU77" s="128" t="str">
        <f>Modelo!CQ26</f>
        <v>x</v>
      </c>
    </row>
    <row r="78" ht="14.25" customHeight="1">
      <c r="B78" s="141" t="s">
        <v>238</v>
      </c>
      <c r="C78" s="152">
        <v>0.022</v>
      </c>
      <c r="BU78" s="128" t="str">
        <f>Modelo!CQ27</f>
        <v>x</v>
      </c>
    </row>
    <row r="79" ht="14.25" customHeight="1">
      <c r="B79" s="141" t="s">
        <v>239</v>
      </c>
      <c r="C79" s="152">
        <f>C78+Macro!$BI$10</f>
        <v>0.172</v>
      </c>
      <c r="BU79" s="128" t="str">
        <f>Modelo!CQ28</f>
        <v>x</v>
      </c>
    </row>
    <row r="80" ht="14.25" customHeight="1">
      <c r="B80" s="145" t="s">
        <v>240</v>
      </c>
      <c r="C80" s="152">
        <f>C77/C81</f>
        <v>0.03969301539</v>
      </c>
      <c r="BU80" s="128" t="str">
        <f>Modelo!CQ29</f>
        <v>x</v>
      </c>
    </row>
    <row r="81" ht="14.25" customHeight="1">
      <c r="B81" s="150" t="s">
        <v>76</v>
      </c>
      <c r="C81" s="158">
        <f>SUM(C72,C67,C62,C77)</f>
        <v>379.563</v>
      </c>
      <c r="BU81" s="128" t="str">
        <f>Modelo!CQ30</f>
        <v>x</v>
      </c>
    </row>
    <row r="82" ht="14.25" customHeight="1">
      <c r="B82" s="159" t="s">
        <v>244</v>
      </c>
      <c r="C82" s="155">
        <f>(C64*C65)+(C69*C70)+(C74*C75)+(C79*C80)</f>
        <v>0.1489776179</v>
      </c>
      <c r="BU82" s="128" t="str">
        <f>Modelo!CQ31</f>
        <v>x</v>
      </c>
    </row>
    <row r="83" ht="14.25" customHeight="1">
      <c r="B83" s="159" t="s">
        <v>244</v>
      </c>
      <c r="C83" s="155">
        <f>C82*(1-Modelo!CF43)</f>
        <v>0.1059736919</v>
      </c>
      <c r="BU83" s="128" t="str">
        <f>Modelo!CQ32</f>
        <v>x</v>
      </c>
    </row>
    <row r="84" ht="14.25" customHeight="1">
      <c r="BU84" s="128" t="str">
        <f>Modelo!CQ33</f>
        <v>x</v>
      </c>
    </row>
    <row r="85" ht="14.25" customHeight="1">
      <c r="B85" s="35" t="s">
        <v>245</v>
      </c>
      <c r="C85" s="157"/>
      <c r="BU85" s="128" t="str">
        <f>Modelo!CQ33</f>
        <v>x</v>
      </c>
    </row>
    <row r="86" ht="14.25" customHeight="1">
      <c r="B86" s="141" t="s">
        <v>233</v>
      </c>
      <c r="C86" s="152">
        <f>C58</f>
        <v>0.145</v>
      </c>
      <c r="BU86" s="128" t="str">
        <f>Modelo!CQ34</f>
        <v>x</v>
      </c>
    </row>
    <row r="87" ht="14.25" customHeight="1">
      <c r="B87" s="141" t="s">
        <v>246</v>
      </c>
      <c r="C87" s="152">
        <f>C83</f>
        <v>0.1059736919</v>
      </c>
      <c r="BU87" s="128" t="str">
        <f>Modelo!CQ35</f>
        <v>x</v>
      </c>
    </row>
    <row r="88" ht="14.25" customHeight="1">
      <c r="B88" s="141" t="s">
        <v>247</v>
      </c>
      <c r="C88" s="144">
        <f>C81</f>
        <v>379.563</v>
      </c>
      <c r="BU88" s="128" t="str">
        <f>Modelo!CQ36</f>
        <v>x</v>
      </c>
    </row>
    <row r="89" ht="14.25" customHeight="1">
      <c r="B89" s="141" t="s">
        <v>248</v>
      </c>
      <c r="C89" s="144">
        <f>C39</f>
        <v>700.5</v>
      </c>
      <c r="BU89" s="128" t="str">
        <f>Modelo!CQ37</f>
        <v>x</v>
      </c>
    </row>
    <row r="90" ht="14.25" customHeight="1">
      <c r="B90" s="148" t="s">
        <v>226</v>
      </c>
      <c r="C90" s="155">
        <f>C86*(C89/(C89+C88))+C87*(C88/(C88+C89))*(1-Modelo!CF43)</f>
        <v>0.1205348287</v>
      </c>
      <c r="BU90" s="128" t="str">
        <f>Modelo!CQ38</f>
        <v>x</v>
      </c>
    </row>
    <row r="91" ht="14.25" customHeight="1">
      <c r="BU91" s="128" t="str">
        <f>Modelo!CQ39</f>
        <v>x</v>
      </c>
    </row>
    <row r="92" ht="14.25" customHeight="1">
      <c r="B92" s="20" t="s">
        <v>249</v>
      </c>
      <c r="C92" s="60">
        <f>C39+Modelo!CG108+150</f>
        <v>1046.513625</v>
      </c>
      <c r="BH92" s="93">
        <f t="shared" ref="BH92:BR92" si="7">$C$92/BH13</f>
        <v>6.515530378</v>
      </c>
      <c r="BI92" s="93">
        <f t="shared" si="7"/>
        <v>5.395886861</v>
      </c>
      <c r="BJ92" s="93">
        <f t="shared" si="7"/>
        <v>4.17101094</v>
      </c>
      <c r="BK92" s="93">
        <f t="shared" si="7"/>
        <v>3.684273368</v>
      </c>
      <c r="BL92" s="93">
        <f t="shared" si="7"/>
        <v>3.303374438</v>
      </c>
      <c r="BM92" s="93">
        <f t="shared" si="7"/>
        <v>3.048023508</v>
      </c>
      <c r="BN92" s="93">
        <f t="shared" si="7"/>
        <v>2.807657383</v>
      </c>
      <c r="BO92" s="93">
        <f t="shared" si="7"/>
        <v>2.583120286</v>
      </c>
      <c r="BP92" s="93">
        <f t="shared" si="7"/>
        <v>2.374027562</v>
      </c>
      <c r="BQ92" s="93">
        <f t="shared" si="7"/>
        <v>2.18661695</v>
      </c>
      <c r="BR92" s="93">
        <f t="shared" si="7"/>
        <v>2.021049973</v>
      </c>
      <c r="BU92" s="128" t="str">
        <f>Modelo!CQ40</f>
        <v>x</v>
      </c>
    </row>
    <row r="93" ht="14.25" customHeight="1">
      <c r="B93" s="20" t="s">
        <v>250</v>
      </c>
      <c r="C93" s="60">
        <f>C39</f>
        <v>700.5</v>
      </c>
      <c r="BH93" s="93">
        <f>$C$93/Modelo!CF47</f>
        <v>16.57791977</v>
      </c>
      <c r="BI93" s="93">
        <f>$C$93/Modelo!CG47</f>
        <v>17.12760133</v>
      </c>
      <c r="BJ93" s="93">
        <f>$C$93/Modelo!CH47</f>
        <v>8.124007345</v>
      </c>
      <c r="BK93" s="93">
        <f>$C$93/Modelo!CI47</f>
        <v>6.216145707</v>
      </c>
      <c r="BL93" s="93">
        <f>$C$93/Modelo!CJ47</f>
        <v>5.019034317</v>
      </c>
      <c r="BM93" s="93">
        <f>$C$93/Modelo!CK47</f>
        <v>4.400275649</v>
      </c>
      <c r="BN93" s="93">
        <f>$C$93/Modelo!CL47</f>
        <v>3.902812779</v>
      </c>
      <c r="BO93" s="93">
        <f>$C$93/Modelo!CM47</f>
        <v>3.471609599</v>
      </c>
      <c r="BP93" s="93">
        <f>$C$93/Modelo!CN47</f>
        <v>3.095615286</v>
      </c>
      <c r="BQ93" s="93">
        <f>$C$93/Modelo!CO47</f>
        <v>2.76210543</v>
      </c>
      <c r="BR93" s="93">
        <f>$C$93/Modelo!CP47</f>
        <v>2.456712765</v>
      </c>
      <c r="BU93" s="128" t="str">
        <f>Modelo!CQ41</f>
        <v>x</v>
      </c>
    </row>
    <row r="94" ht="14.25" customHeight="1">
      <c r="BU94" s="128" t="str">
        <f>Modelo!CQ42</f>
        <v>x</v>
      </c>
    </row>
    <row r="95" ht="14.25" customHeight="1">
      <c r="BU95" s="128" t="str">
        <f>Modelo!CQ43</f>
        <v>x</v>
      </c>
    </row>
    <row r="96" ht="14.25" customHeight="1">
      <c r="B96" s="69" t="s">
        <v>251</v>
      </c>
      <c r="BU96" s="128" t="str">
        <f>Modelo!CQ44</f>
        <v>x</v>
      </c>
    </row>
    <row r="97" ht="14.25" customHeight="1"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81">
        <v>1.0</v>
      </c>
      <c r="BJ97" s="81">
        <f t="shared" ref="BJ97:BR97" si="8">BI97+1</f>
        <v>2</v>
      </c>
      <c r="BK97" s="81">
        <f t="shared" si="8"/>
        <v>3</v>
      </c>
      <c r="BL97" s="81">
        <f t="shared" si="8"/>
        <v>4</v>
      </c>
      <c r="BM97" s="81">
        <f t="shared" si="8"/>
        <v>5</v>
      </c>
      <c r="BN97" s="81">
        <f t="shared" si="8"/>
        <v>6</v>
      </c>
      <c r="BO97" s="81">
        <f t="shared" si="8"/>
        <v>7</v>
      </c>
      <c r="BP97" s="81">
        <f t="shared" si="8"/>
        <v>8</v>
      </c>
      <c r="BQ97" s="81">
        <f t="shared" si="8"/>
        <v>9</v>
      </c>
      <c r="BR97" s="81">
        <f t="shared" si="8"/>
        <v>10</v>
      </c>
      <c r="BS97" s="81"/>
      <c r="BU97" s="128" t="str">
        <f>Modelo!CQ45</f>
        <v>x</v>
      </c>
    </row>
    <row r="98" ht="14.25" customHeight="1">
      <c r="B98" s="30" t="s">
        <v>252</v>
      </c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3"/>
      <c r="BC98" s="93"/>
      <c r="BD98" s="93"/>
      <c r="BE98" s="93"/>
      <c r="BF98" s="93"/>
      <c r="BG98" s="93"/>
      <c r="BH98" s="93"/>
      <c r="BI98" s="81">
        <f t="shared" ref="BI98:BS98" si="9">BI23</f>
        <v>210.8728495</v>
      </c>
      <c r="BJ98" s="81">
        <f t="shared" si="9"/>
        <v>55.6640223</v>
      </c>
      <c r="BK98" s="81">
        <f t="shared" si="9"/>
        <v>68.92000339</v>
      </c>
      <c r="BL98" s="81">
        <f t="shared" si="9"/>
        <v>88.74397843</v>
      </c>
      <c r="BM98" s="81">
        <f t="shared" si="9"/>
        <v>100.8554401</v>
      </c>
      <c r="BN98" s="81">
        <f t="shared" si="9"/>
        <v>113.3312138</v>
      </c>
      <c r="BO98" s="81">
        <f t="shared" si="9"/>
        <v>127.3685728</v>
      </c>
      <c r="BP98" s="81">
        <f t="shared" si="9"/>
        <v>143.1367179</v>
      </c>
      <c r="BQ98" s="81">
        <f t="shared" si="9"/>
        <v>190.1220996</v>
      </c>
      <c r="BR98" s="81">
        <f t="shared" si="9"/>
        <v>210.6398931</v>
      </c>
      <c r="BS98" s="81">
        <f t="shared" si="9"/>
        <v>2086.337988</v>
      </c>
      <c r="BU98" s="128" t="str">
        <f>Modelo!CQ46</f>
        <v>x</v>
      </c>
    </row>
    <row r="99" ht="14.25" customHeight="1"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  <c r="BB99" s="93"/>
      <c r="BC99" s="93"/>
      <c r="BD99" s="93"/>
      <c r="BE99" s="93"/>
      <c r="BF99" s="93"/>
      <c r="BG99" s="93"/>
      <c r="BH99" s="93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U99" s="128" t="str">
        <f>Modelo!CQ47</f>
        <v>x</v>
      </c>
    </row>
    <row r="100" ht="14.25" customHeight="1">
      <c r="C100" s="160">
        <v>2025.0</v>
      </c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81">
        <f t="shared" ref="BI100:BR100" si="10">BI98/(1+$C$90)^BI97</f>
        <v>188.1894647</v>
      </c>
      <c r="BJ100" s="81">
        <f t="shared" si="10"/>
        <v>44.3326677</v>
      </c>
      <c r="BK100" s="81">
        <f t="shared" si="10"/>
        <v>48.98568781</v>
      </c>
      <c r="BL100" s="81">
        <f t="shared" si="10"/>
        <v>56.29080439</v>
      </c>
      <c r="BM100" s="81">
        <f t="shared" si="10"/>
        <v>57.09164142</v>
      </c>
      <c r="BN100" s="81">
        <f t="shared" si="10"/>
        <v>57.25288562</v>
      </c>
      <c r="BO100" s="81">
        <f t="shared" si="10"/>
        <v>57.42285256</v>
      </c>
      <c r="BP100" s="81">
        <f t="shared" si="10"/>
        <v>57.59014543</v>
      </c>
      <c r="BQ100" s="81">
        <f t="shared" si="10"/>
        <v>68.26598522</v>
      </c>
      <c r="BR100" s="81">
        <f t="shared" si="10"/>
        <v>67.49739724</v>
      </c>
      <c r="BS100" s="81">
        <f>BS98/(1+$C$90)^BR97</f>
        <v>668.5456489</v>
      </c>
      <c r="BU100" s="128" t="str">
        <f>Modelo!CQ48</f>
        <v>x</v>
      </c>
    </row>
    <row r="101" ht="14.25" customHeight="1">
      <c r="C101" s="160">
        <v>2026.0</v>
      </c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81"/>
      <c r="BJ101" s="81">
        <f t="shared" ref="BJ101:BR101" si="11">BJ98/(1+$C$90)^BI97</f>
        <v>49.67629821</v>
      </c>
      <c r="BK101" s="81">
        <f t="shared" si="11"/>
        <v>54.8901693</v>
      </c>
      <c r="BL101" s="81">
        <f t="shared" si="11"/>
        <v>63.07580686</v>
      </c>
      <c r="BM101" s="81">
        <f t="shared" si="11"/>
        <v>63.97317264</v>
      </c>
      <c r="BN101" s="81">
        <f t="shared" si="11"/>
        <v>64.15385238</v>
      </c>
      <c r="BO101" s="81">
        <f t="shared" si="11"/>
        <v>64.34430626</v>
      </c>
      <c r="BP101" s="81">
        <f t="shared" si="11"/>
        <v>64.53176374</v>
      </c>
      <c r="BQ101" s="81">
        <f t="shared" si="11"/>
        <v>76.49441406</v>
      </c>
      <c r="BR101" s="81">
        <f t="shared" si="11"/>
        <v>75.63318446</v>
      </c>
      <c r="BS101" s="81">
        <f>BS98/(1+$C$90)^BQ97</f>
        <v>749.1286842</v>
      </c>
      <c r="BU101" s="128" t="str">
        <f>Modelo!CQ49</f>
        <v>x</v>
      </c>
    </row>
    <row r="102" ht="14.25" customHeight="1">
      <c r="C102" s="160">
        <v>2027.0</v>
      </c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3"/>
      <c r="BC102" s="93"/>
      <c r="BD102" s="93"/>
      <c r="BE102" s="93"/>
      <c r="BF102" s="93"/>
      <c r="BG102" s="93"/>
      <c r="BH102" s="93"/>
      <c r="BI102" s="81"/>
      <c r="BJ102" s="81"/>
      <c r="BK102" s="81">
        <f t="shared" ref="BK102:BR102" si="12">BK98/(1+$C$90)^BI97</f>
        <v>61.50634646</v>
      </c>
      <c r="BL102" s="81">
        <f t="shared" si="12"/>
        <v>70.67863843</v>
      </c>
      <c r="BM102" s="81">
        <f t="shared" si="12"/>
        <v>71.68416804</v>
      </c>
      <c r="BN102" s="81">
        <f t="shared" si="12"/>
        <v>71.88662599</v>
      </c>
      <c r="BO102" s="81">
        <f t="shared" si="12"/>
        <v>72.10003619</v>
      </c>
      <c r="BP102" s="81">
        <f t="shared" si="12"/>
        <v>72.31008883</v>
      </c>
      <c r="BQ102" s="81">
        <f t="shared" si="12"/>
        <v>85.71465516</v>
      </c>
      <c r="BR102" s="81">
        <f t="shared" si="12"/>
        <v>84.7496174</v>
      </c>
      <c r="BS102" s="81">
        <f>BS98/(1+$C$90)^BP97</f>
        <v>839.4247818</v>
      </c>
      <c r="BU102" s="128" t="str">
        <f>Modelo!CQ50</f>
        <v>x</v>
      </c>
    </row>
    <row r="103" ht="14.25" customHeight="1">
      <c r="C103" s="160">
        <v>2028.0</v>
      </c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/>
      <c r="BF103" s="93"/>
      <c r="BG103" s="93"/>
      <c r="BH103" s="93"/>
      <c r="BI103" s="81"/>
      <c r="BJ103" s="81"/>
      <c r="BK103" s="81"/>
      <c r="BL103" s="81">
        <f t="shared" ref="BL103:BR103" si="13">BL98/(1+$C$90)^BI97</f>
        <v>79.19787601</v>
      </c>
      <c r="BM103" s="81">
        <f t="shared" si="13"/>
        <v>80.32460696</v>
      </c>
      <c r="BN103" s="81">
        <f t="shared" si="13"/>
        <v>80.55146814</v>
      </c>
      <c r="BO103" s="81">
        <f t="shared" si="13"/>
        <v>80.79060171</v>
      </c>
      <c r="BP103" s="81">
        <f t="shared" si="13"/>
        <v>81.02597301</v>
      </c>
      <c r="BQ103" s="81">
        <f t="shared" si="13"/>
        <v>96.04625643</v>
      </c>
      <c r="BR103" s="81">
        <f t="shared" si="13"/>
        <v>94.96489801</v>
      </c>
      <c r="BS103" s="81">
        <f>BS98/(1+$C$90)^BO97</f>
        <v>940.6047041</v>
      </c>
      <c r="BU103" s="128" t="str">
        <f>Modelo!CQ51</f>
        <v>x</v>
      </c>
    </row>
    <row r="104" ht="14.25" customHeight="1">
      <c r="C104" s="160">
        <v>2029.0</v>
      </c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81"/>
      <c r="BJ104" s="81"/>
      <c r="BK104" s="81"/>
      <c r="BL104" s="81"/>
      <c r="BM104" s="81">
        <f t="shared" ref="BM104:BR104" si="14">BM98/(1+$C$90)^BI97</f>
        <v>90.0065197</v>
      </c>
      <c r="BN104" s="81">
        <f t="shared" si="14"/>
        <v>90.26072556</v>
      </c>
      <c r="BO104" s="81">
        <f t="shared" si="14"/>
        <v>90.52868305</v>
      </c>
      <c r="BP104" s="81">
        <f t="shared" si="14"/>
        <v>90.79242478</v>
      </c>
      <c r="BQ104" s="81">
        <f t="shared" si="14"/>
        <v>107.6231755</v>
      </c>
      <c r="BR104" s="81">
        <f t="shared" si="14"/>
        <v>106.4114757</v>
      </c>
      <c r="BS104" s="81">
        <f>BS98/(1+$C$90)^BN97</f>
        <v>1053.980331</v>
      </c>
      <c r="BU104" s="128" t="str">
        <f>Modelo!CQ52</f>
        <v>x</v>
      </c>
    </row>
    <row r="105" ht="14.25" customHeight="1">
      <c r="C105" s="160">
        <v>2030.0</v>
      </c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81"/>
      <c r="BJ105" s="81"/>
      <c r="BK105" s="81"/>
      <c r="BL105" s="81"/>
      <c r="BM105" s="81"/>
      <c r="BN105" s="81">
        <f t="shared" ref="BN105:BR105" si="15">BN98/(1+$C$90)^BI97</f>
        <v>101.1402867</v>
      </c>
      <c r="BO105" s="81">
        <f t="shared" si="15"/>
        <v>101.4405424</v>
      </c>
      <c r="BP105" s="81">
        <f t="shared" si="15"/>
        <v>101.7360742</v>
      </c>
      <c r="BQ105" s="81">
        <f t="shared" si="15"/>
        <v>120.5955165</v>
      </c>
      <c r="BR105" s="81">
        <f t="shared" si="15"/>
        <v>119.2377647</v>
      </c>
      <c r="BS105" s="81">
        <f>BS98/(1+$C$90)^BM97</f>
        <v>1181.02167</v>
      </c>
      <c r="BU105" s="128" t="str">
        <f>Modelo!CQ53</f>
        <v>x</v>
      </c>
    </row>
    <row r="106" ht="14.25" customHeight="1">
      <c r="C106" s="160">
        <v>2031.0</v>
      </c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93"/>
      <c r="BC106" s="93"/>
      <c r="BD106" s="93"/>
      <c r="BE106" s="93"/>
      <c r="BF106" s="93"/>
      <c r="BG106" s="93"/>
      <c r="BH106" s="93"/>
      <c r="BI106" s="81"/>
      <c r="BJ106" s="81"/>
      <c r="BK106" s="81"/>
      <c r="BL106" s="81"/>
      <c r="BM106" s="81"/>
      <c r="BN106" s="81"/>
      <c r="BO106" s="81">
        <f t="shared" ref="BO106:BR106" si="16">BO98/(1+$C$90)^BI97</f>
        <v>113.6676608</v>
      </c>
      <c r="BP106" s="81">
        <f t="shared" si="16"/>
        <v>113.9988144</v>
      </c>
      <c r="BQ106" s="81">
        <f t="shared" si="16"/>
        <v>135.1314765</v>
      </c>
      <c r="BR106" s="81">
        <f t="shared" si="16"/>
        <v>133.6100683</v>
      </c>
      <c r="BS106" s="81">
        <f>BS98/(1+$C$90)^BL97</f>
        <v>1323.375914</v>
      </c>
      <c r="BU106" s="128" t="str">
        <f>Modelo!CQ54</f>
        <v>x</v>
      </c>
    </row>
    <row r="107" ht="14.25" customHeight="1">
      <c r="C107" s="160">
        <v>2032.0</v>
      </c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93"/>
      <c r="BE107" s="93"/>
      <c r="BF107" s="93"/>
      <c r="BG107" s="93"/>
      <c r="BH107" s="93"/>
      <c r="BI107" s="81"/>
      <c r="BJ107" s="81"/>
      <c r="BK107" s="81"/>
      <c r="BL107" s="81"/>
      <c r="BM107" s="81"/>
      <c r="BN107" s="81"/>
      <c r="BO107" s="81"/>
      <c r="BP107" s="81">
        <f t="shared" ref="BP107:BR107" si="17">BP98/(1+$C$90)^BI97</f>
        <v>127.739642</v>
      </c>
      <c r="BQ107" s="81">
        <f t="shared" si="17"/>
        <v>151.4195258</v>
      </c>
      <c r="BR107" s="81">
        <f t="shared" si="17"/>
        <v>149.714735</v>
      </c>
      <c r="BS107" s="81">
        <f>BS98/(1+$C$90)^BK97</f>
        <v>1482.888804</v>
      </c>
      <c r="BU107" s="128" t="str">
        <f>Modelo!CQ55</f>
        <v>x</v>
      </c>
    </row>
    <row r="108" ht="14.25" customHeight="1">
      <c r="C108" s="160">
        <v>2033.0</v>
      </c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81"/>
      <c r="BJ108" s="81"/>
      <c r="BK108" s="81"/>
      <c r="BL108" s="81"/>
      <c r="BM108" s="81"/>
      <c r="BN108" s="81"/>
      <c r="BO108" s="81"/>
      <c r="BP108" s="81"/>
      <c r="BQ108" s="81">
        <f t="shared" ref="BQ108:BS108" si="18">BQ98/(1+$C$90)^BI97</f>
        <v>169.6708524</v>
      </c>
      <c r="BR108" s="81">
        <f t="shared" si="18"/>
        <v>167.7605749</v>
      </c>
      <c r="BS108" s="81">
        <f t="shared" si="18"/>
        <v>1482.888804</v>
      </c>
      <c r="BU108" s="128" t="str">
        <f>Modelo!CQ56</f>
        <v>x</v>
      </c>
    </row>
    <row r="109" ht="14.25" customHeight="1">
      <c r="C109" s="160">
        <v>2034.0</v>
      </c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>
        <f>BR98/(1+$C$90)^BI97</f>
        <v>187.9815671</v>
      </c>
      <c r="BS109" s="81">
        <f>BS98/(1+$C$90)^BI97</f>
        <v>1861.912664</v>
      </c>
      <c r="BU109" s="128" t="str">
        <f>Modelo!CQ57</f>
        <v>x</v>
      </c>
    </row>
    <row r="110" ht="14.25" customHeight="1">
      <c r="BU110" s="128" t="str">
        <f>Modelo!CQ58</f>
        <v>x</v>
      </c>
    </row>
    <row r="111" ht="14.25" customHeight="1">
      <c r="B111" s="161" t="s">
        <v>253</v>
      </c>
      <c r="C111" s="161"/>
      <c r="D111" s="161"/>
      <c r="E111" s="161"/>
      <c r="F111" s="161"/>
      <c r="G111" s="161"/>
      <c r="H111" s="161"/>
      <c r="I111" s="161"/>
      <c r="J111" s="161"/>
      <c r="K111" s="161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87">
        <f>SUM(BI100:BS100)</f>
        <v>1371.465181</v>
      </c>
      <c r="BJ111" s="87">
        <f>SUM(BJ101:BS101)</f>
        <v>1325.901652</v>
      </c>
      <c r="BK111" s="87">
        <f>SUM(BK102:BS102)</f>
        <v>1430.054958</v>
      </c>
      <c r="BL111" s="87">
        <f>SUM(BL103:BS103)</f>
        <v>1533.506384</v>
      </c>
      <c r="BM111" s="87">
        <f>SUM(BM104:BS104)</f>
        <v>1629.603335</v>
      </c>
      <c r="BN111" s="87">
        <f>SUM(BN105:BS105)</f>
        <v>1725.171854</v>
      </c>
      <c r="BO111" s="87">
        <f>SUM(BO106:BS106)</f>
        <v>1819.783934</v>
      </c>
      <c r="BP111" s="87">
        <f>SUM(BP107:BS107)</f>
        <v>1911.762706</v>
      </c>
      <c r="BQ111" s="87">
        <f>SUM(BQ108:BS108)</f>
        <v>1820.320231</v>
      </c>
      <c r="BR111" s="87">
        <f>SUM(BR109:BS109)</f>
        <v>2049.894231</v>
      </c>
      <c r="BU111" s="128" t="str">
        <f>Modelo!CQ59</f>
        <v>x</v>
      </c>
    </row>
    <row r="112" ht="14.25" customHeight="1">
      <c r="B112" s="161" t="s">
        <v>254</v>
      </c>
      <c r="BI112" s="162">
        <f>BI111/Modelo!CG47</f>
        <v>33.53306046</v>
      </c>
      <c r="BJ112" s="162">
        <f>BJ111/Modelo!CH47</f>
        <v>15.37706604</v>
      </c>
      <c r="BK112" s="162">
        <f>BK111/Modelo!CI47</f>
        <v>12.69012133</v>
      </c>
      <c r="BL112" s="162">
        <f>BL111/Modelo!CJ47</f>
        <v>10.98746776</v>
      </c>
      <c r="BM112" s="162">
        <f>BM111/Modelo!CK47</f>
        <v>10.23655086</v>
      </c>
      <c r="BN112" s="162">
        <f>BN111/Modelo!CL47</f>
        <v>9.611738412</v>
      </c>
      <c r="BO112" s="162">
        <f>BO111/Modelo!CM47</f>
        <v>9.018671484</v>
      </c>
      <c r="BP112" s="162">
        <f>BP111/Modelo!CN47</f>
        <v>8.448368104</v>
      </c>
      <c r="BQ112" s="162">
        <f>BQ111/Modelo!CO47</f>
        <v>7.17761084</v>
      </c>
      <c r="BR112" s="162">
        <f>BR111/Modelo!CP47</f>
        <v>7.189152498</v>
      </c>
      <c r="BU112" s="128" t="str">
        <f>Modelo!CQ60</f>
        <v>x</v>
      </c>
    </row>
    <row r="113" ht="14.25" customHeight="1">
      <c r="BU113" s="128" t="str">
        <f>Modelo!CQ61</f>
        <v>x</v>
      </c>
    </row>
    <row r="114" ht="14.25" customHeight="1">
      <c r="B114" s="163" t="s">
        <v>255</v>
      </c>
      <c r="BI114" s="81">
        <f>-C39</f>
        <v>-700.5</v>
      </c>
      <c r="BJ114" s="81"/>
      <c r="BK114" s="81"/>
      <c r="BL114" s="81"/>
      <c r="BM114" s="81"/>
      <c r="BN114" s="81">
        <f>BN111</f>
        <v>1725.171854</v>
      </c>
      <c r="BR114" s="127"/>
    </row>
    <row r="115" ht="14.25" customHeight="1">
      <c r="B115" s="163" t="s">
        <v>256</v>
      </c>
      <c r="BI115" s="81">
        <f>-Modelo!CG250</f>
        <v>9.220474213</v>
      </c>
      <c r="BJ115" s="81">
        <f>-Modelo!CH250</f>
        <v>21.55647977</v>
      </c>
      <c r="BK115" s="81">
        <f>-Modelo!CI250</f>
        <v>28.17260216</v>
      </c>
      <c r="BL115" s="81">
        <f>-Modelo!CJ250</f>
        <v>34.89217027</v>
      </c>
      <c r="BM115" s="81">
        <f>-Modelo!CK250</f>
        <v>39.79864307</v>
      </c>
      <c r="BN115" s="81">
        <f>-Modelo!CL250</f>
        <v>44.8714837</v>
      </c>
    </row>
    <row r="116" ht="14.25" customHeight="1">
      <c r="BI116" s="81"/>
      <c r="BJ116" s="81"/>
      <c r="BK116" s="81"/>
      <c r="BL116" s="81"/>
      <c r="BM116" s="81"/>
      <c r="BN116" s="81"/>
    </row>
    <row r="117" ht="14.25" customHeight="1">
      <c r="B117" s="68" t="s">
        <v>257</v>
      </c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87">
        <f t="shared" ref="BI117:BN117" si="19">SUM(BI114:BI115)</f>
        <v>-691.2795258</v>
      </c>
      <c r="BJ117" s="87">
        <f t="shared" si="19"/>
        <v>21.55647977</v>
      </c>
      <c r="BK117" s="87">
        <f t="shared" si="19"/>
        <v>28.17260216</v>
      </c>
      <c r="BL117" s="87">
        <f t="shared" si="19"/>
        <v>34.89217027</v>
      </c>
      <c r="BM117" s="87">
        <f t="shared" si="19"/>
        <v>39.79864307</v>
      </c>
      <c r="BN117" s="87">
        <f t="shared" si="19"/>
        <v>1770.043338</v>
      </c>
      <c r="BO117" s="48"/>
      <c r="BP117" s="48"/>
      <c r="BQ117" s="48"/>
      <c r="BR117" s="48"/>
    </row>
    <row r="118" ht="14.25" customHeight="1"/>
    <row r="119" ht="14.25" customHeight="1">
      <c r="B119" s="69" t="s">
        <v>258</v>
      </c>
      <c r="C119" s="164">
        <f>IRR(BI117:BN117)</f>
        <v>0.2336307268</v>
      </c>
    </row>
    <row r="120" ht="14.25" customHeight="1"/>
    <row r="121" ht="14.25" customHeight="1"/>
    <row r="122" ht="14.25" customHeight="1">
      <c r="B122" s="163" t="s">
        <v>255</v>
      </c>
      <c r="BI122" s="81">
        <f>-C39</f>
        <v>-700.5</v>
      </c>
      <c r="BJ122" s="81"/>
      <c r="BK122" s="81"/>
      <c r="BL122" s="81"/>
      <c r="BM122" s="81"/>
      <c r="BN122" s="81"/>
      <c r="BO122" s="163"/>
      <c r="BR122" s="81">
        <f>BR111</f>
        <v>2049.894231</v>
      </c>
    </row>
    <row r="123" ht="14.25" customHeight="1">
      <c r="B123" s="163" t="s">
        <v>256</v>
      </c>
      <c r="BI123" s="81">
        <f>-Modelo!CG250</f>
        <v>9.220474213</v>
      </c>
      <c r="BJ123" s="81">
        <f>-Modelo!CH250</f>
        <v>21.55647977</v>
      </c>
      <c r="BK123" s="81">
        <f>-Modelo!CI250</f>
        <v>28.17260216</v>
      </c>
      <c r="BL123" s="81">
        <f>-Modelo!CJ250</f>
        <v>34.89217027</v>
      </c>
      <c r="BM123" s="81">
        <f>-Modelo!CK250</f>
        <v>39.79864307</v>
      </c>
      <c r="BN123" s="81">
        <f>-Modelo!CL250</f>
        <v>44.8714837</v>
      </c>
      <c r="BO123" s="81">
        <f>-Modelo!CM250</f>
        <v>50.44490027</v>
      </c>
      <c r="BP123" s="81">
        <f>-Modelo!CN250</f>
        <v>56.5719522</v>
      </c>
      <c r="BQ123" s="81">
        <f>-Modelo!CO250</f>
        <v>63.40272103</v>
      </c>
      <c r="BR123" s="81">
        <f>-Modelo!CP250</f>
        <v>71.28427975</v>
      </c>
    </row>
    <row r="124" ht="14.25" customHeight="1"/>
    <row r="125" ht="14.25" customHeight="1">
      <c r="B125" s="68" t="s">
        <v>257</v>
      </c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87">
        <f t="shared" ref="BI125:BR125" si="20">SUM(BI122:BI123)</f>
        <v>-691.2795258</v>
      </c>
      <c r="BJ125" s="87">
        <f t="shared" si="20"/>
        <v>21.55647977</v>
      </c>
      <c r="BK125" s="87">
        <f t="shared" si="20"/>
        <v>28.17260216</v>
      </c>
      <c r="BL125" s="87">
        <f t="shared" si="20"/>
        <v>34.89217027</v>
      </c>
      <c r="BM125" s="87">
        <f t="shared" si="20"/>
        <v>39.79864307</v>
      </c>
      <c r="BN125" s="87">
        <f t="shared" si="20"/>
        <v>44.8714837</v>
      </c>
      <c r="BO125" s="87">
        <f t="shared" si="20"/>
        <v>50.44490027</v>
      </c>
      <c r="BP125" s="87">
        <f t="shared" si="20"/>
        <v>56.5719522</v>
      </c>
      <c r="BQ125" s="87">
        <f t="shared" si="20"/>
        <v>63.40272103</v>
      </c>
      <c r="BR125" s="87">
        <f t="shared" si="20"/>
        <v>2121.178511</v>
      </c>
    </row>
    <row r="126" ht="14.25" customHeight="1"/>
    <row r="127" ht="14.25" customHeight="1">
      <c r="B127" s="69" t="s">
        <v>259</v>
      </c>
      <c r="C127" s="164">
        <f>IRR(BI125:BR125)</f>
        <v>0.1665711541</v>
      </c>
    </row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71"/>
    <col customWidth="1" min="2" max="2" width="84.57"/>
    <col customWidth="1" min="3" max="4" width="8.71"/>
    <col customWidth="1" min="5" max="5" width="10.14"/>
    <col customWidth="1" min="6" max="9" width="8.71"/>
    <col customWidth="1" min="10" max="14" width="9.14"/>
    <col customWidth="1" min="15" max="15" width="10.14"/>
    <col customWidth="1" min="16" max="21" width="9.14"/>
    <col customWidth="1" min="22" max="22" width="9.57"/>
    <col customWidth="1" min="23" max="25" width="10.14"/>
    <col customWidth="1" min="26" max="36" width="11.14"/>
    <col customWidth="1" min="37" max="38" width="12.86"/>
    <col customWidth="1" min="39" max="39" width="8.71"/>
    <col customWidth="1" min="40" max="40" width="10.14"/>
    <col customWidth="1" min="41" max="41" width="8.71"/>
    <col customWidth="1" min="42" max="42" width="10.14"/>
    <col customWidth="1" min="43" max="43" width="8.71"/>
    <col customWidth="1" min="44" max="44" width="10.14"/>
    <col customWidth="1" min="45" max="46" width="8.71"/>
    <col customWidth="1" min="47" max="47" width="10.14"/>
  </cols>
  <sheetData>
    <row r="1" ht="14.25" customHeight="1">
      <c r="E1" s="30" t="str">
        <f t="shared" ref="E1:AI1" si="1">'[40]Balance Sheet'!E3</f>
        <v>#REF!</v>
      </c>
      <c r="F1" s="30" t="str">
        <f t="shared" si="1"/>
        <v>#REF!</v>
      </c>
      <c r="G1" s="30" t="str">
        <f t="shared" si="1"/>
        <v>#REF!</v>
      </c>
      <c r="H1" s="30" t="str">
        <f t="shared" si="1"/>
        <v>#REF!</v>
      </c>
      <c r="I1" s="30" t="str">
        <f t="shared" si="1"/>
        <v>#REF!</v>
      </c>
      <c r="J1" s="30" t="str">
        <f t="shared" si="1"/>
        <v>#REF!</v>
      </c>
      <c r="K1" s="30" t="str">
        <f t="shared" si="1"/>
        <v>#REF!</v>
      </c>
      <c r="L1" s="30" t="str">
        <f t="shared" si="1"/>
        <v>#REF!</v>
      </c>
      <c r="M1" s="30" t="str">
        <f t="shared" si="1"/>
        <v>#REF!</v>
      </c>
      <c r="N1" s="30" t="str">
        <f t="shared" si="1"/>
        <v>#REF!</v>
      </c>
      <c r="O1" s="30" t="str">
        <f t="shared" si="1"/>
        <v>#REF!</v>
      </c>
      <c r="P1" s="30" t="str">
        <f t="shared" si="1"/>
        <v>#REF!</v>
      </c>
      <c r="Q1" s="30" t="str">
        <f t="shared" si="1"/>
        <v>#REF!</v>
      </c>
      <c r="R1" s="30" t="str">
        <f t="shared" si="1"/>
        <v>#REF!</v>
      </c>
      <c r="S1" s="30" t="str">
        <f t="shared" si="1"/>
        <v>#REF!</v>
      </c>
      <c r="T1" s="30" t="str">
        <f t="shared" si="1"/>
        <v>#REF!</v>
      </c>
      <c r="U1" s="30" t="str">
        <f t="shared" si="1"/>
        <v>#REF!</v>
      </c>
      <c r="V1" s="30" t="str">
        <f t="shared" si="1"/>
        <v>#REF!</v>
      </c>
      <c r="W1" s="30" t="str">
        <f t="shared" si="1"/>
        <v>#REF!</v>
      </c>
      <c r="X1" s="30" t="str">
        <f t="shared" si="1"/>
        <v>#REF!</v>
      </c>
      <c r="Y1" s="30" t="str">
        <f t="shared" si="1"/>
        <v>#REF!</v>
      </c>
      <c r="Z1" s="30" t="str">
        <f t="shared" si="1"/>
        <v>#REF!</v>
      </c>
      <c r="AA1" s="30" t="str">
        <f t="shared" si="1"/>
        <v>#REF!</v>
      </c>
      <c r="AB1" s="30" t="str">
        <f t="shared" si="1"/>
        <v>#REF!</v>
      </c>
      <c r="AC1" s="30" t="str">
        <f t="shared" si="1"/>
        <v>#REF!</v>
      </c>
      <c r="AD1" s="30" t="str">
        <f t="shared" si="1"/>
        <v>#REF!</v>
      </c>
      <c r="AE1" s="30" t="str">
        <f t="shared" si="1"/>
        <v>#REF!</v>
      </c>
      <c r="AF1" s="30" t="str">
        <f t="shared" si="1"/>
        <v>#REF!</v>
      </c>
      <c r="AG1" s="30" t="str">
        <f t="shared" si="1"/>
        <v>#REF!</v>
      </c>
      <c r="AH1" s="30" t="str">
        <f t="shared" si="1"/>
        <v>#REF!</v>
      </c>
      <c r="AI1" s="30" t="str">
        <f t="shared" si="1"/>
        <v>#REF!</v>
      </c>
      <c r="AJ1" s="30" t="s">
        <v>260</v>
      </c>
      <c r="AK1" s="30" t="s">
        <v>261</v>
      </c>
      <c r="AL1" s="30" t="s">
        <v>262</v>
      </c>
      <c r="AN1" s="30">
        <f>Modelo!BY7</f>
        <v>2017</v>
      </c>
      <c r="AO1" s="30">
        <f>Modelo!BZ7</f>
        <v>2018</v>
      </c>
      <c r="AP1" s="30">
        <f>Modelo!CA7</f>
        <v>2019</v>
      </c>
      <c r="AQ1" s="30">
        <f>Modelo!CB7</f>
        <v>2020</v>
      </c>
      <c r="AR1" s="30">
        <f>Modelo!CC7</f>
        <v>2021</v>
      </c>
      <c r="AS1" s="30">
        <f>Modelo!CD7</f>
        <v>2022</v>
      </c>
      <c r="AT1" s="30">
        <f>Modelo!CE7</f>
        <v>2023</v>
      </c>
      <c r="AU1" s="30" t="s">
        <v>263</v>
      </c>
    </row>
    <row r="2" ht="14.25" customHeight="1">
      <c r="B2" s="165" t="s">
        <v>65</v>
      </c>
    </row>
    <row r="3" ht="14.25" customHeight="1">
      <c r="B3" s="30" t="s">
        <v>264</v>
      </c>
    </row>
    <row r="4" ht="14.25" customHeight="1"/>
    <row r="5" ht="14.25" customHeight="1">
      <c r="B5" s="30" t="s">
        <v>265</v>
      </c>
    </row>
    <row r="6" ht="14.25" customHeight="1">
      <c r="B6" s="30" t="s">
        <v>266</v>
      </c>
      <c r="J6" s="30">
        <v>2367.0</v>
      </c>
      <c r="K6" s="30">
        <v>4754.0</v>
      </c>
      <c r="L6" s="30">
        <v>5101.0</v>
      </c>
      <c r="M6" s="30">
        <v>-3400.0</v>
      </c>
      <c r="N6" s="30">
        <v>4641.0</v>
      </c>
      <c r="O6" s="30">
        <v>12260.0</v>
      </c>
      <c r="P6" s="30">
        <v>13296.0</v>
      </c>
      <c r="Q6" s="30">
        <v>34157.0</v>
      </c>
      <c r="R6" s="30">
        <v>7730.0</v>
      </c>
      <c r="S6" s="30">
        <v>27646.0</v>
      </c>
      <c r="T6" s="30">
        <v>47445.0</v>
      </c>
      <c r="U6" s="30">
        <v>52035.0</v>
      </c>
      <c r="V6" s="30">
        <v>43367.0</v>
      </c>
      <c r="W6" s="30">
        <v>50134.0</v>
      </c>
      <c r="X6" s="30">
        <v>50628.0</v>
      </c>
      <c r="Y6" s="30">
        <v>66038.0</v>
      </c>
      <c r="Z6" s="30">
        <v>53723.0</v>
      </c>
      <c r="AA6" s="30">
        <v>44656.0</v>
      </c>
      <c r="AB6" s="30">
        <v>91538.0</v>
      </c>
      <c r="AC6" s="30">
        <v>105039.0</v>
      </c>
      <c r="AD6" s="30">
        <v>180380.0</v>
      </c>
      <c r="AE6" s="30">
        <v>67826.0</v>
      </c>
      <c r="AF6" s="30">
        <v>82151.0</v>
      </c>
      <c r="AG6" s="30">
        <v>125891.0</v>
      </c>
      <c r="AH6" s="30">
        <v>174881.0</v>
      </c>
      <c r="AI6" s="30">
        <v>179772.0</v>
      </c>
      <c r="AJ6" s="30">
        <v>182138.0</v>
      </c>
      <c r="AK6" s="166">
        <v>232537.0</v>
      </c>
      <c r="AL6" s="30">
        <v>349281.0</v>
      </c>
    </row>
    <row r="7" ht="14.25" customHeight="1">
      <c r="B7" s="30" t="s">
        <v>267</v>
      </c>
      <c r="J7" s="30">
        <v>41.0</v>
      </c>
      <c r="K7" s="30">
        <v>542.0</v>
      </c>
      <c r="L7" s="30">
        <v>6.0</v>
      </c>
      <c r="M7" s="30">
        <v>-28.0</v>
      </c>
      <c r="N7" s="30">
        <v>463.0</v>
      </c>
      <c r="O7" s="30">
        <v>13.0</v>
      </c>
      <c r="P7" s="30">
        <v>3573.0</v>
      </c>
      <c r="Q7" s="30">
        <v>3616.0</v>
      </c>
      <c r="R7" s="30">
        <v>138324.0</v>
      </c>
      <c r="S7" s="30">
        <v>120331.0</v>
      </c>
      <c r="T7" s="30">
        <v>87133.0</v>
      </c>
      <c r="U7" s="30">
        <v>57794.0</v>
      </c>
      <c r="V7" s="30">
        <v>35197.0</v>
      </c>
      <c r="W7" s="30">
        <v>20423.0</v>
      </c>
      <c r="X7" s="30">
        <v>20482.0</v>
      </c>
      <c r="Y7" s="30">
        <v>10611.0</v>
      </c>
      <c r="Z7" s="30">
        <v>12684.0</v>
      </c>
      <c r="AA7" s="30">
        <v>12792.0</v>
      </c>
      <c r="AB7" s="30">
        <v>12482.0</v>
      </c>
      <c r="AC7" s="30">
        <v>10848.0</v>
      </c>
      <c r="AD7" s="30">
        <v>10857.0</v>
      </c>
      <c r="AE7" s="30">
        <v>11038.0</v>
      </c>
      <c r="AF7" s="30">
        <v>10858.0</v>
      </c>
      <c r="AG7" s="30">
        <v>11011.0</v>
      </c>
      <c r="AH7" s="30">
        <v>10960.0</v>
      </c>
      <c r="AI7" s="30">
        <v>11774.0</v>
      </c>
      <c r="AJ7" s="30">
        <v>10977.0</v>
      </c>
      <c r="AK7" s="166">
        <v>11202.0</v>
      </c>
      <c r="AL7" s="30">
        <v>11180.0</v>
      </c>
    </row>
    <row r="8" ht="14.25" customHeight="1">
      <c r="B8" s="30" t="s">
        <v>268</v>
      </c>
      <c r="J8" s="30">
        <v>0.0</v>
      </c>
      <c r="K8" s="30">
        <v>0.0</v>
      </c>
      <c r="L8" s="30">
        <v>0.0</v>
      </c>
      <c r="M8" s="30">
        <v>0.0</v>
      </c>
      <c r="N8" s="30">
        <v>0.0</v>
      </c>
      <c r="O8" s="30">
        <v>14637.0</v>
      </c>
      <c r="P8" s="30">
        <v>9800.0</v>
      </c>
      <c r="Q8" s="30">
        <v>6755.0</v>
      </c>
      <c r="R8" s="30">
        <v>1398.0</v>
      </c>
      <c r="S8" s="30">
        <v>1130.0</v>
      </c>
      <c r="T8" s="30">
        <v>863.0</v>
      </c>
      <c r="U8" s="30">
        <v>593.0</v>
      </c>
      <c r="V8" s="30">
        <v>0.0</v>
      </c>
      <c r="W8" s="30">
        <v>0.0</v>
      </c>
      <c r="X8" s="30">
        <v>0.0</v>
      </c>
      <c r="Y8" s="30">
        <v>0.0</v>
      </c>
      <c r="Z8" s="30">
        <v>0.0</v>
      </c>
      <c r="AA8" s="30">
        <v>0.0</v>
      </c>
      <c r="AB8" s="30">
        <v>0.0</v>
      </c>
      <c r="AC8" s="30">
        <v>0.0</v>
      </c>
      <c r="AD8" s="30">
        <v>0.0</v>
      </c>
      <c r="AE8" s="30">
        <v>0.0</v>
      </c>
      <c r="AF8" s="30">
        <v>0.0</v>
      </c>
      <c r="AG8" s="30">
        <v>0.0</v>
      </c>
      <c r="AH8" s="30">
        <v>0.0</v>
      </c>
      <c r="AI8" s="30">
        <v>0.0</v>
      </c>
      <c r="AJ8" s="30">
        <v>0.0</v>
      </c>
      <c r="AK8" s="166">
        <v>0.0</v>
      </c>
      <c r="AL8" s="30">
        <v>0.0</v>
      </c>
    </row>
    <row r="9" ht="14.25" customHeight="1">
      <c r="B9" s="30" t="s">
        <v>269</v>
      </c>
      <c r="J9" s="30">
        <v>76972.0</v>
      </c>
      <c r="K9" s="30">
        <v>70422.0</v>
      </c>
      <c r="L9" s="30">
        <v>66556.0</v>
      </c>
      <c r="M9" s="30">
        <v>-69815.0</v>
      </c>
      <c r="N9" s="30">
        <v>71528.0</v>
      </c>
      <c r="O9" s="30">
        <v>65509.0</v>
      </c>
      <c r="P9" s="30">
        <v>59853.0</v>
      </c>
      <c r="Q9" s="30">
        <v>52607.0</v>
      </c>
      <c r="R9" s="30">
        <v>69489.0</v>
      </c>
      <c r="S9" s="30">
        <v>51624.0</v>
      </c>
      <c r="T9" s="30">
        <v>54726.0</v>
      </c>
      <c r="U9" s="30">
        <v>63078.0</v>
      </c>
      <c r="V9" s="30">
        <v>79141.0</v>
      </c>
      <c r="W9" s="30">
        <v>103303.0</v>
      </c>
      <c r="X9" s="30">
        <v>105848.0</v>
      </c>
      <c r="Y9" s="30">
        <v>108811.0</v>
      </c>
      <c r="Z9" s="30">
        <v>122120.0</v>
      </c>
      <c r="AA9" s="30">
        <v>159082.0</v>
      </c>
      <c r="AB9" s="30">
        <v>205139.0</v>
      </c>
      <c r="AC9" s="30">
        <v>205273.0</v>
      </c>
      <c r="AD9" s="30">
        <v>226922.0</v>
      </c>
      <c r="AE9" s="30">
        <v>271795.0</v>
      </c>
      <c r="AF9" s="30">
        <v>232718.0</v>
      </c>
      <c r="AG9" s="30">
        <v>276728.0</v>
      </c>
      <c r="AH9" s="30">
        <v>239120.0</v>
      </c>
      <c r="AI9" s="30">
        <v>223508.0</v>
      </c>
      <c r="AJ9" s="30">
        <v>344358.0</v>
      </c>
      <c r="AK9" s="166">
        <v>298446.0</v>
      </c>
      <c r="AL9" s="30">
        <v>375586.0</v>
      </c>
    </row>
    <row r="10" ht="14.25" customHeight="1">
      <c r="B10" s="30" t="s">
        <v>270</v>
      </c>
      <c r="J10" s="30">
        <v>1.0</v>
      </c>
      <c r="K10" s="30">
        <v>0.0</v>
      </c>
      <c r="L10" s="30">
        <v>0.0</v>
      </c>
      <c r="M10" s="30">
        <v>0.0</v>
      </c>
      <c r="N10" s="30">
        <v>0.0</v>
      </c>
      <c r="O10" s="30">
        <v>0.0</v>
      </c>
      <c r="P10" s="30">
        <v>0.0</v>
      </c>
      <c r="Q10" s="30">
        <v>0.0</v>
      </c>
      <c r="R10" s="30">
        <v>3.0</v>
      </c>
      <c r="S10" s="30">
        <v>0.0</v>
      </c>
      <c r="T10" s="30">
        <v>0.0</v>
      </c>
      <c r="U10" s="30">
        <v>0.0</v>
      </c>
      <c r="V10" s="30">
        <v>0.0</v>
      </c>
      <c r="W10" s="30">
        <v>0.0</v>
      </c>
      <c r="X10" s="30">
        <v>0.0</v>
      </c>
      <c r="Y10" s="30">
        <v>0.0</v>
      </c>
      <c r="Z10" s="30">
        <v>0.0</v>
      </c>
      <c r="AA10" s="30">
        <v>0.0</v>
      </c>
      <c r="AB10" s="30">
        <v>0.0</v>
      </c>
      <c r="AC10" s="30">
        <v>0.0</v>
      </c>
      <c r="AD10" s="30">
        <v>0.0</v>
      </c>
      <c r="AE10" s="30">
        <v>0.0</v>
      </c>
      <c r="AF10" s="30">
        <v>0.0</v>
      </c>
      <c r="AG10" s="30">
        <v>0.0</v>
      </c>
      <c r="AH10" s="30">
        <v>126.0</v>
      </c>
      <c r="AI10" s="30">
        <v>22.0</v>
      </c>
      <c r="AJ10" s="30">
        <v>11850.0</v>
      </c>
      <c r="AK10" s="166">
        <v>21087.0</v>
      </c>
      <c r="AL10" s="30">
        <v>4654.0</v>
      </c>
    </row>
    <row r="11" ht="14.25" customHeight="1">
      <c r="B11" s="30" t="s">
        <v>271</v>
      </c>
      <c r="J11" s="30">
        <v>0.0</v>
      </c>
      <c r="K11" s="30">
        <v>0.0</v>
      </c>
      <c r="L11" s="30">
        <v>0.0</v>
      </c>
      <c r="M11" s="30">
        <v>0.0</v>
      </c>
      <c r="N11" s="30">
        <v>0.0</v>
      </c>
      <c r="O11" s="30">
        <v>0.0</v>
      </c>
      <c r="P11" s="30">
        <v>272.0</v>
      </c>
      <c r="Q11" s="30">
        <v>0.0</v>
      </c>
      <c r="R11" s="30">
        <v>0.0</v>
      </c>
      <c r="S11" s="30">
        <v>0.0</v>
      </c>
      <c r="T11" s="30">
        <v>0.0</v>
      </c>
      <c r="U11" s="30">
        <v>0.0</v>
      </c>
      <c r="V11" s="30">
        <v>0.0</v>
      </c>
      <c r="W11" s="30">
        <v>0.0</v>
      </c>
      <c r="X11" s="30">
        <v>0.0</v>
      </c>
      <c r="Y11" s="30">
        <v>0.0</v>
      </c>
      <c r="Z11" s="30">
        <v>0.0</v>
      </c>
      <c r="AA11" s="30">
        <v>0.0</v>
      </c>
      <c r="AB11" s="30">
        <v>0.0</v>
      </c>
      <c r="AC11" s="30">
        <v>0.0</v>
      </c>
      <c r="AD11" s="30">
        <v>0.0</v>
      </c>
      <c r="AE11" s="30">
        <v>0.0</v>
      </c>
      <c r="AF11" s="30">
        <v>0.0</v>
      </c>
      <c r="AG11" s="30">
        <v>0.0</v>
      </c>
      <c r="AH11" s="30">
        <v>0.0</v>
      </c>
      <c r="AI11" s="30">
        <v>0.0</v>
      </c>
      <c r="AJ11" s="30">
        <v>0.0</v>
      </c>
      <c r="AK11" s="166">
        <v>0.0</v>
      </c>
      <c r="AL11" s="30">
        <v>0.0</v>
      </c>
    </row>
    <row r="12" ht="14.25" customHeight="1">
      <c r="B12" s="30" t="s">
        <v>109</v>
      </c>
      <c r="J12" s="30">
        <v>67.0</v>
      </c>
      <c r="K12" s="30">
        <v>1469.0</v>
      </c>
      <c r="L12" s="30">
        <v>1529.0</v>
      </c>
      <c r="M12" s="30">
        <v>-1052.0</v>
      </c>
      <c r="N12" s="30">
        <v>1336.0</v>
      </c>
      <c r="O12" s="30">
        <v>684.0</v>
      </c>
      <c r="P12" s="30">
        <v>1442.0</v>
      </c>
      <c r="Q12" s="30">
        <v>692.0</v>
      </c>
      <c r="R12" s="30">
        <v>924.0</v>
      </c>
      <c r="S12" s="30">
        <v>639.0</v>
      </c>
      <c r="T12" s="30">
        <v>1172.0</v>
      </c>
      <c r="U12" s="30">
        <v>1282.0</v>
      </c>
      <c r="V12" s="30">
        <v>2619.0</v>
      </c>
      <c r="W12" s="30">
        <v>2954.0</v>
      </c>
      <c r="X12" s="30">
        <v>3483.0</v>
      </c>
      <c r="Y12" s="30">
        <v>3628.0</v>
      </c>
      <c r="Z12" s="30">
        <v>3529.0</v>
      </c>
      <c r="AA12" s="30">
        <v>4308.0</v>
      </c>
      <c r="AB12" s="30">
        <v>5660.0</v>
      </c>
      <c r="AC12" s="30">
        <v>5361.0</v>
      </c>
      <c r="AD12" s="30">
        <v>4729.0</v>
      </c>
      <c r="AE12" s="30">
        <v>4796.0</v>
      </c>
      <c r="AF12" s="30">
        <v>5988.0</v>
      </c>
      <c r="AG12" s="30">
        <v>4609.0</v>
      </c>
      <c r="AH12" s="30">
        <v>4431.0</v>
      </c>
      <c r="AI12" s="30">
        <v>5692.0</v>
      </c>
      <c r="AJ12" s="30">
        <v>5732.0</v>
      </c>
      <c r="AK12" s="166">
        <v>5778.0</v>
      </c>
      <c r="AL12" s="30">
        <v>6781.0</v>
      </c>
    </row>
    <row r="13" ht="14.25" customHeight="1">
      <c r="B13" s="30" t="s">
        <v>272</v>
      </c>
      <c r="J13" s="30">
        <v>1192.0</v>
      </c>
      <c r="K13" s="30">
        <v>1793.0</v>
      </c>
      <c r="L13" s="30">
        <v>1356.0</v>
      </c>
      <c r="M13" s="30">
        <v>-1189.0</v>
      </c>
      <c r="N13" s="30">
        <v>1140.0</v>
      </c>
      <c r="O13" s="30">
        <v>1511.0</v>
      </c>
      <c r="P13" s="30">
        <v>1518.0</v>
      </c>
      <c r="Q13" s="30">
        <v>1090.0</v>
      </c>
      <c r="R13" s="30">
        <v>1183.0</v>
      </c>
      <c r="S13" s="30">
        <v>1191.0</v>
      </c>
      <c r="T13" s="30">
        <v>1524.0</v>
      </c>
      <c r="U13" s="30">
        <v>1248.0</v>
      </c>
      <c r="V13" s="30">
        <v>1516.0</v>
      </c>
      <c r="W13" s="30">
        <v>1952.0</v>
      </c>
      <c r="X13" s="30">
        <v>2549.0</v>
      </c>
      <c r="Y13" s="30">
        <v>2299.0</v>
      </c>
      <c r="Z13" s="30">
        <v>2360.0</v>
      </c>
      <c r="AA13" s="30">
        <v>2890.0</v>
      </c>
      <c r="AB13" s="30">
        <v>3195.0</v>
      </c>
      <c r="AC13" s="30">
        <v>0.0</v>
      </c>
      <c r="AD13" s="30">
        <v>0.0</v>
      </c>
      <c r="AE13" s="30">
        <v>0.0</v>
      </c>
      <c r="AF13" s="30">
        <v>0.0</v>
      </c>
      <c r="AG13" s="30">
        <v>0.0</v>
      </c>
      <c r="AH13" s="30">
        <v>0.0</v>
      </c>
      <c r="AI13" s="30">
        <v>0.0</v>
      </c>
      <c r="AJ13" s="30">
        <v>0.0</v>
      </c>
      <c r="AK13" s="166">
        <v>0.0</v>
      </c>
      <c r="AL13" s="30">
        <v>0.0</v>
      </c>
    </row>
    <row r="14" ht="14.25" customHeight="1">
      <c r="B14" s="30" t="s">
        <v>89</v>
      </c>
      <c r="J14" s="30">
        <v>12686.0</v>
      </c>
      <c r="K14" s="30">
        <v>14387.0</v>
      </c>
      <c r="L14" s="30">
        <v>18521.0</v>
      </c>
      <c r="M14" s="30">
        <v>-23011.0</v>
      </c>
      <c r="N14" s="30">
        <v>24610.0</v>
      </c>
      <c r="O14" s="30">
        <v>25535.0</v>
      </c>
      <c r="P14" s="30">
        <v>25518.0</v>
      </c>
      <c r="Q14" s="30">
        <v>25022.0</v>
      </c>
      <c r="R14" s="30">
        <v>25696.0</v>
      </c>
      <c r="S14" s="30">
        <v>27577.0</v>
      </c>
      <c r="T14" s="30">
        <v>27586.0</v>
      </c>
      <c r="U14" s="30">
        <v>22788.0</v>
      </c>
      <c r="V14" s="30">
        <v>20244.0</v>
      </c>
      <c r="W14" s="30">
        <v>18391.0</v>
      </c>
      <c r="X14" s="30">
        <v>13698.0</v>
      </c>
      <c r="Y14" s="30">
        <v>12693.0</v>
      </c>
      <c r="Z14" s="30">
        <v>12075.0</v>
      </c>
      <c r="AA14" s="30">
        <v>14482.0</v>
      </c>
      <c r="AB14" s="30">
        <v>16359.0</v>
      </c>
      <c r="AC14" s="30">
        <v>12392.0</v>
      </c>
      <c r="AD14" s="30">
        <v>13637.0</v>
      </c>
      <c r="AE14" s="30">
        <v>17981.0</v>
      </c>
      <c r="AF14" s="30">
        <v>19928.0</v>
      </c>
      <c r="AG14" s="30">
        <v>15428.0</v>
      </c>
      <c r="AH14" s="30">
        <v>21558.0</v>
      </c>
      <c r="AI14" s="30">
        <v>27110.0</v>
      </c>
      <c r="AJ14" s="30">
        <v>25967.0</v>
      </c>
      <c r="AK14" s="166">
        <v>20037.0</v>
      </c>
      <c r="AL14" s="30">
        <v>27294.0</v>
      </c>
    </row>
    <row r="15" ht="14.25" customHeight="1">
      <c r="B15" s="30" t="s">
        <v>273</v>
      </c>
      <c r="J15" s="30">
        <v>0.0</v>
      </c>
      <c r="K15" s="30">
        <v>0.0</v>
      </c>
      <c r="L15" s="30">
        <v>0.0</v>
      </c>
      <c r="M15" s="30">
        <v>0.0</v>
      </c>
      <c r="N15" s="30">
        <v>0.0</v>
      </c>
      <c r="O15" s="30">
        <v>0.0</v>
      </c>
      <c r="P15" s="30">
        <v>0.0</v>
      </c>
      <c r="Q15" s="30">
        <v>0.0</v>
      </c>
      <c r="R15" s="30">
        <v>0.0</v>
      </c>
      <c r="S15" s="30">
        <v>0.0</v>
      </c>
      <c r="T15" s="30">
        <v>0.0</v>
      </c>
      <c r="U15" s="30">
        <v>0.0</v>
      </c>
      <c r="V15" s="30">
        <v>0.0</v>
      </c>
      <c r="W15" s="30">
        <v>0.0</v>
      </c>
      <c r="X15" s="30">
        <v>0.0</v>
      </c>
      <c r="Y15" s="30">
        <v>0.0</v>
      </c>
      <c r="Z15" s="30">
        <v>0.0</v>
      </c>
      <c r="AA15" s="30">
        <v>0.0</v>
      </c>
      <c r="AB15" s="30">
        <v>0.0</v>
      </c>
      <c r="AC15" s="30">
        <v>0.0</v>
      </c>
      <c r="AD15" s="30">
        <v>0.0</v>
      </c>
      <c r="AE15" s="30">
        <v>0.0</v>
      </c>
      <c r="AF15" s="30">
        <v>0.0</v>
      </c>
      <c r="AG15" s="30">
        <v>0.0</v>
      </c>
      <c r="AH15" s="30">
        <v>0.0</v>
      </c>
      <c r="AI15" s="30">
        <v>0.0</v>
      </c>
      <c r="AJ15" s="30">
        <v>0.0</v>
      </c>
      <c r="AK15" s="166">
        <v>0.0</v>
      </c>
      <c r="AL15" s="30">
        <v>0.0</v>
      </c>
    </row>
    <row r="16" ht="14.25" customHeight="1">
      <c r="B16" s="30" t="s">
        <v>274</v>
      </c>
      <c r="K16" s="30">
        <v>0.0</v>
      </c>
      <c r="L16" s="30">
        <v>0.0</v>
      </c>
      <c r="M16" s="30">
        <v>0.0</v>
      </c>
      <c r="N16" s="30">
        <v>0.0</v>
      </c>
      <c r="O16" s="30">
        <v>0.0</v>
      </c>
      <c r="P16" s="30">
        <v>0.0</v>
      </c>
      <c r="Q16" s="30">
        <v>0.0</v>
      </c>
      <c r="R16" s="30">
        <v>0.0</v>
      </c>
      <c r="S16" s="30">
        <v>0.0</v>
      </c>
      <c r="T16" s="30">
        <v>0.0</v>
      </c>
      <c r="U16" s="30">
        <v>0.0</v>
      </c>
      <c r="V16" s="30">
        <v>0.0</v>
      </c>
      <c r="W16" s="30">
        <v>0.0</v>
      </c>
      <c r="X16" s="30">
        <v>0.0</v>
      </c>
      <c r="Y16" s="30">
        <v>0.0</v>
      </c>
      <c r="Z16" s="30">
        <v>0.0</v>
      </c>
      <c r="AA16" s="30">
        <v>10908.0</v>
      </c>
      <c r="AB16" s="30">
        <v>10908.0</v>
      </c>
      <c r="AC16" s="30">
        <v>0.0</v>
      </c>
      <c r="AD16" s="30">
        <v>949.0</v>
      </c>
      <c r="AE16" s="30">
        <v>0.0</v>
      </c>
      <c r="AF16" s="30">
        <v>0.0</v>
      </c>
      <c r="AG16" s="30">
        <v>0.0</v>
      </c>
      <c r="AH16" s="30">
        <v>0.0</v>
      </c>
      <c r="AI16" s="30">
        <v>0.0</v>
      </c>
      <c r="AJ16" s="30">
        <v>0.0</v>
      </c>
      <c r="AK16" s="166">
        <v>0.0</v>
      </c>
      <c r="AL16" s="30">
        <v>0.0</v>
      </c>
    </row>
    <row r="17" ht="14.25" customHeight="1">
      <c r="B17" s="30" t="s">
        <v>275</v>
      </c>
      <c r="J17" s="30">
        <v>2814.0</v>
      </c>
      <c r="K17" s="30">
        <v>1664.0</v>
      </c>
      <c r="L17" s="30">
        <v>1889.0</v>
      </c>
      <c r="M17" s="30">
        <v>-3682.0</v>
      </c>
      <c r="N17" s="30">
        <v>3569.0</v>
      </c>
      <c r="O17" s="30">
        <v>2809.0</v>
      </c>
      <c r="P17" s="30">
        <v>2196.0</v>
      </c>
      <c r="Q17" s="30">
        <v>3043.0</v>
      </c>
      <c r="R17" s="30">
        <v>3623.0</v>
      </c>
      <c r="S17" s="30">
        <v>2113.0</v>
      </c>
      <c r="T17" s="30">
        <v>1612.0</v>
      </c>
      <c r="U17" s="30">
        <v>5485.0</v>
      </c>
      <c r="V17" s="30">
        <v>5745.0</v>
      </c>
      <c r="W17" s="30">
        <v>5255.0</v>
      </c>
      <c r="X17" s="30">
        <v>4646.0</v>
      </c>
      <c r="Y17" s="30">
        <v>7174.0</v>
      </c>
      <c r="Z17" s="30">
        <v>5135.0</v>
      </c>
      <c r="AA17" s="30">
        <v>7736.0</v>
      </c>
      <c r="AB17" s="30">
        <v>6669.0</v>
      </c>
      <c r="AC17" s="30">
        <v>0.0</v>
      </c>
      <c r="AD17" s="30">
        <v>0.0</v>
      </c>
      <c r="AE17" s="30">
        <v>0.0</v>
      </c>
      <c r="AF17" s="30">
        <v>0.0</v>
      </c>
      <c r="AG17" s="30">
        <v>0.0</v>
      </c>
      <c r="AH17" s="30">
        <v>0.0</v>
      </c>
      <c r="AI17" s="30">
        <v>0.0</v>
      </c>
      <c r="AJ17" s="30">
        <v>0.0</v>
      </c>
      <c r="AK17" s="166">
        <v>0.0</v>
      </c>
      <c r="AL17" s="30">
        <v>0.0</v>
      </c>
    </row>
    <row r="18" ht="14.25" customHeight="1">
      <c r="B18" s="30" t="s">
        <v>276</v>
      </c>
      <c r="K18" s="30">
        <v>0.0</v>
      </c>
      <c r="L18" s="30">
        <v>0.0</v>
      </c>
      <c r="M18" s="30">
        <v>0.0</v>
      </c>
      <c r="N18" s="30">
        <v>0.0</v>
      </c>
      <c r="O18" s="30">
        <v>0.0</v>
      </c>
      <c r="P18" s="30">
        <v>0.0</v>
      </c>
      <c r="Q18" s="30">
        <v>0.0</v>
      </c>
      <c r="R18" s="30">
        <v>12218.0</v>
      </c>
      <c r="S18" s="30">
        <v>12218.0</v>
      </c>
      <c r="T18" s="30">
        <v>0.0</v>
      </c>
      <c r="U18" s="30">
        <v>0.0</v>
      </c>
      <c r="V18" s="30">
        <v>0.0</v>
      </c>
      <c r="W18" s="30">
        <v>0.0</v>
      </c>
      <c r="X18" s="30">
        <v>0.0</v>
      </c>
      <c r="Y18" s="30">
        <v>0.0</v>
      </c>
      <c r="Z18" s="30">
        <v>0.0</v>
      </c>
      <c r="AA18" s="30">
        <v>0.0</v>
      </c>
      <c r="AB18" s="30">
        <v>0.0</v>
      </c>
      <c r="AC18" s="30">
        <v>0.0</v>
      </c>
      <c r="AD18" s="30">
        <v>0.0</v>
      </c>
      <c r="AE18" s="30">
        <v>0.0</v>
      </c>
      <c r="AF18" s="30">
        <v>0.0</v>
      </c>
      <c r="AG18" s="30">
        <v>0.0</v>
      </c>
      <c r="AH18" s="30">
        <v>0.0</v>
      </c>
      <c r="AI18" s="30">
        <v>0.0</v>
      </c>
      <c r="AJ18" s="30">
        <v>0.0</v>
      </c>
      <c r="AK18" s="166">
        <v>0.0</v>
      </c>
      <c r="AL18" s="30">
        <v>0.0</v>
      </c>
    </row>
    <row r="19" ht="14.25" customHeight="1">
      <c r="B19" s="30" t="s">
        <v>277</v>
      </c>
      <c r="J19" s="30">
        <v>0.0</v>
      </c>
      <c r="K19" s="30">
        <v>1844.0</v>
      </c>
      <c r="L19" s="30">
        <v>2906.0</v>
      </c>
      <c r="M19" s="30">
        <v>-2163.0</v>
      </c>
      <c r="N19" s="30">
        <v>1197.0</v>
      </c>
      <c r="O19" s="30">
        <v>538.0</v>
      </c>
      <c r="P19" s="30">
        <v>266.0</v>
      </c>
      <c r="Q19" s="30">
        <v>132.0</v>
      </c>
      <c r="R19" s="30">
        <v>108.0</v>
      </c>
      <c r="S19" s="30">
        <v>1899.0</v>
      </c>
      <c r="T19" s="30">
        <v>59.0</v>
      </c>
      <c r="U19" s="30">
        <v>0.0</v>
      </c>
      <c r="V19" s="30">
        <v>0.0</v>
      </c>
      <c r="W19" s="30">
        <v>0.0</v>
      </c>
      <c r="X19" s="30">
        <v>0.0</v>
      </c>
      <c r="Y19" s="30">
        <v>0.0</v>
      </c>
      <c r="Z19" s="30">
        <v>0.0</v>
      </c>
      <c r="AA19" s="30">
        <v>6.0</v>
      </c>
      <c r="AB19" s="30">
        <v>24.0</v>
      </c>
      <c r="AC19" s="30">
        <v>0.0</v>
      </c>
      <c r="AD19" s="30">
        <v>288.0</v>
      </c>
      <c r="AE19" s="30">
        <v>259.0</v>
      </c>
      <c r="AF19" s="30">
        <v>598.0</v>
      </c>
      <c r="AG19" s="30">
        <v>0.0</v>
      </c>
      <c r="AH19" s="30">
        <v>0.0</v>
      </c>
      <c r="AI19" s="30">
        <v>0.0</v>
      </c>
      <c r="AJ19" s="30">
        <v>0.0</v>
      </c>
      <c r="AK19" s="166">
        <v>2685.0</v>
      </c>
      <c r="AL19" s="30">
        <v>4321.0</v>
      </c>
    </row>
    <row r="20" ht="14.25" customHeight="1">
      <c r="B20" s="30" t="s">
        <v>278</v>
      </c>
      <c r="J20" s="30">
        <v>2656.0</v>
      </c>
      <c r="K20" s="30">
        <v>0.0</v>
      </c>
      <c r="L20" s="30">
        <v>0.0</v>
      </c>
      <c r="M20" s="30">
        <v>0.0</v>
      </c>
      <c r="N20" s="30">
        <v>0.0</v>
      </c>
      <c r="O20" s="30">
        <v>0.0</v>
      </c>
      <c r="P20" s="30">
        <v>0.0</v>
      </c>
      <c r="Q20" s="30">
        <v>0.0</v>
      </c>
      <c r="R20" s="30">
        <v>0.0</v>
      </c>
      <c r="S20" s="30">
        <v>0.0</v>
      </c>
      <c r="T20" s="30">
        <v>0.0</v>
      </c>
      <c r="U20" s="30">
        <v>0.0</v>
      </c>
      <c r="V20" s="30">
        <v>0.0</v>
      </c>
      <c r="W20" s="30">
        <v>0.0</v>
      </c>
      <c r="X20" s="30">
        <v>0.0</v>
      </c>
      <c r="Y20" s="30">
        <v>0.0</v>
      </c>
      <c r="Z20" s="30">
        <v>0.0</v>
      </c>
      <c r="AA20" s="30">
        <v>0.0</v>
      </c>
      <c r="AB20" s="30">
        <v>0.0</v>
      </c>
      <c r="AC20" s="30">
        <v>0.0</v>
      </c>
      <c r="AD20" s="30">
        <v>0.0</v>
      </c>
      <c r="AE20" s="30">
        <v>0.0</v>
      </c>
      <c r="AF20" s="30">
        <v>0.0</v>
      </c>
      <c r="AG20" s="30">
        <v>0.0</v>
      </c>
      <c r="AH20" s="30">
        <v>0.0</v>
      </c>
      <c r="AI20" s="30">
        <v>0.0</v>
      </c>
      <c r="AJ20" s="30">
        <v>0.0</v>
      </c>
      <c r="AK20" s="166">
        <v>0.0</v>
      </c>
      <c r="AL20" s="30">
        <v>0.0</v>
      </c>
    </row>
    <row r="21" ht="14.25" customHeight="1">
      <c r="B21" s="30" t="s">
        <v>279</v>
      </c>
      <c r="J21" s="30">
        <v>402.0</v>
      </c>
      <c r="K21" s="30">
        <v>1460.0</v>
      </c>
      <c r="L21" s="30">
        <v>1891.0</v>
      </c>
      <c r="M21" s="30">
        <v>-976.0</v>
      </c>
      <c r="N21" s="30">
        <v>1002.0</v>
      </c>
      <c r="O21" s="30">
        <v>1448.0</v>
      </c>
      <c r="P21" s="30">
        <v>1314.0</v>
      </c>
      <c r="Q21" s="30">
        <v>748.0</v>
      </c>
      <c r="R21" s="30">
        <v>1618.0</v>
      </c>
      <c r="S21" s="30">
        <v>469.0</v>
      </c>
      <c r="T21" s="30">
        <v>331.0</v>
      </c>
      <c r="U21" s="30">
        <v>544.0</v>
      </c>
      <c r="V21" s="30">
        <v>612.0</v>
      </c>
      <c r="W21" s="30">
        <v>763.0</v>
      </c>
      <c r="X21" s="30">
        <v>833.0</v>
      </c>
      <c r="Y21" s="30">
        <v>850.0</v>
      </c>
      <c r="Z21" s="30">
        <v>1179.0</v>
      </c>
      <c r="AA21" s="30">
        <v>1498.0</v>
      </c>
      <c r="AB21" s="30">
        <v>1883.0</v>
      </c>
      <c r="AC21" s="30">
        <v>14975.0</v>
      </c>
      <c r="AD21" s="30">
        <v>16082.0</v>
      </c>
      <c r="AE21" s="30">
        <v>20221.0</v>
      </c>
      <c r="AF21" s="30">
        <v>15569.0</v>
      </c>
      <c r="AG21" s="30">
        <v>11560.0</v>
      </c>
      <c r="AH21" s="30">
        <v>10882.0</v>
      </c>
      <c r="AI21" s="30">
        <v>15623.0</v>
      </c>
      <c r="AJ21" s="30">
        <v>36951.0</v>
      </c>
      <c r="AK21" s="166">
        <v>17992.0</v>
      </c>
      <c r="AL21" s="30">
        <v>16132.0</v>
      </c>
    </row>
    <row r="22" ht="14.25" customHeight="1">
      <c r="J22" s="30">
        <v>99198.0</v>
      </c>
      <c r="K22" s="30">
        <v>98335.0</v>
      </c>
      <c r="L22" s="30">
        <v>99755.0</v>
      </c>
      <c r="M22" s="30">
        <v>-105316.0</v>
      </c>
      <c r="N22" s="30">
        <v>109486.0</v>
      </c>
      <c r="O22" s="30">
        <v>124944.0</v>
      </c>
      <c r="P22" s="30">
        <v>119048.0</v>
      </c>
      <c r="Q22" s="30">
        <v>127862.0</v>
      </c>
      <c r="R22" s="30">
        <v>262314.0</v>
      </c>
      <c r="S22" s="30">
        <v>246837.0</v>
      </c>
      <c r="T22" s="30">
        <v>222451.0</v>
      </c>
      <c r="U22" s="30">
        <v>204847.0</v>
      </c>
      <c r="V22" s="30">
        <v>188441.0</v>
      </c>
      <c r="W22" s="30">
        <v>203175.0</v>
      </c>
      <c r="X22" s="30">
        <v>202167.0</v>
      </c>
      <c r="Y22" s="30">
        <v>212104.0</v>
      </c>
      <c r="Z22" s="30">
        <v>212805.0</v>
      </c>
      <c r="AA22" s="30">
        <v>258358.0</v>
      </c>
      <c r="AB22" s="30">
        <v>353857.0</v>
      </c>
      <c r="AC22" s="30">
        <v>353888.0</v>
      </c>
      <c r="AD22" s="30">
        <v>453844.0</v>
      </c>
      <c r="AE22" s="30">
        <v>393916.0</v>
      </c>
      <c r="AF22" s="30">
        <v>367810.0</v>
      </c>
      <c r="AG22" s="30">
        <v>445227.0</v>
      </c>
      <c r="AH22" s="30">
        <v>461958.0</v>
      </c>
      <c r="AI22" s="30">
        <v>463501.0</v>
      </c>
      <c r="AJ22" s="30">
        <f t="shared" ref="AJ22:AK22" si="2">SUM(AJ6:AJ21)</f>
        <v>617973</v>
      </c>
      <c r="AK22" s="167">
        <f t="shared" si="2"/>
        <v>609764</v>
      </c>
      <c r="AL22" s="30">
        <v>795229.0</v>
      </c>
    </row>
    <row r="23" ht="14.25" customHeight="1">
      <c r="B23" s="30" t="s">
        <v>280</v>
      </c>
      <c r="K23" s="30">
        <v>0.0</v>
      </c>
      <c r="L23" s="30">
        <v>0.0</v>
      </c>
      <c r="M23" s="30">
        <v>0.0</v>
      </c>
      <c r="N23" s="30">
        <v>0.0</v>
      </c>
      <c r="O23" s="30">
        <v>0.0</v>
      </c>
      <c r="P23" s="30">
        <v>0.0</v>
      </c>
      <c r="Q23" s="30">
        <v>0.0</v>
      </c>
      <c r="R23" s="30">
        <v>0.0</v>
      </c>
      <c r="S23" s="30">
        <v>0.0</v>
      </c>
      <c r="T23" s="30">
        <v>0.0</v>
      </c>
      <c r="U23" s="30">
        <v>0.0</v>
      </c>
      <c r="V23" s="30">
        <v>0.0</v>
      </c>
      <c r="W23" s="30">
        <v>0.0</v>
      </c>
      <c r="X23" s="30">
        <v>0.0</v>
      </c>
      <c r="Y23" s="30">
        <v>0.0</v>
      </c>
      <c r="Z23" s="30">
        <v>0.0</v>
      </c>
      <c r="AA23" s="30">
        <v>0.0</v>
      </c>
      <c r="AB23" s="30">
        <v>0.0</v>
      </c>
      <c r="AC23" s="30">
        <v>0.0</v>
      </c>
      <c r="AD23" s="30">
        <v>0.0</v>
      </c>
      <c r="AE23" s="30">
        <v>0.0</v>
      </c>
      <c r="AF23" s="30">
        <v>0.0</v>
      </c>
      <c r="AG23" s="30">
        <v>0.0</v>
      </c>
      <c r="AH23" s="30">
        <v>0.0</v>
      </c>
      <c r="AI23" s="30">
        <v>0.0</v>
      </c>
    </row>
    <row r="24" ht="14.25" customHeight="1">
      <c r="B24" s="30" t="s">
        <v>269</v>
      </c>
      <c r="J24" s="30">
        <v>334.0</v>
      </c>
      <c r="K24" s="30">
        <v>177.0</v>
      </c>
      <c r="L24" s="30">
        <v>0.0</v>
      </c>
      <c r="M24" s="30">
        <v>0.0</v>
      </c>
      <c r="N24" s="30">
        <v>0.0</v>
      </c>
      <c r="O24" s="30">
        <v>0.0</v>
      </c>
      <c r="P24" s="30">
        <v>0.0</v>
      </c>
      <c r="Q24" s="30">
        <v>0.0</v>
      </c>
      <c r="R24" s="30">
        <v>0.0</v>
      </c>
      <c r="S24" s="30">
        <v>0.0</v>
      </c>
      <c r="T24" s="30">
        <v>0.0</v>
      </c>
      <c r="U24" s="30">
        <v>0.0</v>
      </c>
      <c r="V24" s="30">
        <v>0.0</v>
      </c>
      <c r="W24" s="30">
        <v>0.0</v>
      </c>
      <c r="X24" s="30">
        <v>0.0</v>
      </c>
      <c r="Y24" s="30">
        <v>0.0</v>
      </c>
      <c r="Z24" s="30">
        <v>0.0</v>
      </c>
      <c r="AA24" s="30">
        <v>0.0</v>
      </c>
      <c r="AB24" s="30">
        <v>0.0</v>
      </c>
      <c r="AC24" s="30">
        <v>0.0</v>
      </c>
      <c r="AD24" s="30">
        <v>0.0</v>
      </c>
      <c r="AE24" s="30">
        <v>0.0</v>
      </c>
      <c r="AF24" s="30">
        <v>0.0</v>
      </c>
      <c r="AG24" s="30">
        <v>0.0</v>
      </c>
      <c r="AH24" s="30">
        <v>0.0</v>
      </c>
      <c r="AI24" s="30">
        <v>0.0</v>
      </c>
      <c r="AJ24" s="30">
        <v>0.0</v>
      </c>
      <c r="AK24" s="30">
        <v>0.0</v>
      </c>
      <c r="AL24" s="30">
        <v>0.0</v>
      </c>
    </row>
    <row r="25" ht="14.25" customHeight="1">
      <c r="B25" s="30" t="s">
        <v>281</v>
      </c>
      <c r="J25" s="30">
        <v>0.0</v>
      </c>
      <c r="K25" s="30">
        <v>0.0</v>
      </c>
      <c r="L25" s="30">
        <v>0.0</v>
      </c>
      <c r="M25" s="30">
        <v>0.0</v>
      </c>
      <c r="N25" s="30">
        <v>0.0</v>
      </c>
      <c r="O25" s="30">
        <v>0.0</v>
      </c>
      <c r="P25" s="30">
        <v>997.0</v>
      </c>
      <c r="Q25" s="30">
        <v>997.0</v>
      </c>
      <c r="R25" s="30">
        <v>4251.0</v>
      </c>
      <c r="S25" s="30">
        <v>4251.0</v>
      </c>
      <c r="T25" s="30">
        <v>4251.0</v>
      </c>
      <c r="U25" s="30">
        <v>4251.0</v>
      </c>
      <c r="V25" s="30">
        <v>4251.0</v>
      </c>
      <c r="W25" s="30">
        <v>4251.0</v>
      </c>
      <c r="X25" s="30">
        <v>4251.0</v>
      </c>
      <c r="Y25" s="30">
        <v>4251.0</v>
      </c>
      <c r="Z25" s="30">
        <v>4251.0</v>
      </c>
      <c r="AA25" s="30">
        <v>4251.0</v>
      </c>
      <c r="AB25" s="30">
        <v>4251.0</v>
      </c>
      <c r="AC25" s="30">
        <v>4251.188349999999</v>
      </c>
      <c r="AD25" s="30">
        <v>4251.0</v>
      </c>
      <c r="AE25" s="30">
        <v>4805.0</v>
      </c>
      <c r="AF25" s="30">
        <v>4805.0</v>
      </c>
      <c r="AG25" s="30">
        <v>4805.0</v>
      </c>
      <c r="AH25" s="30">
        <v>4804.689429999999</v>
      </c>
      <c r="AI25" s="30">
        <v>4805.0</v>
      </c>
      <c r="AJ25" s="30">
        <v>5452.0</v>
      </c>
      <c r="AK25" s="30">
        <v>5100.0</v>
      </c>
      <c r="AL25" s="30">
        <v>5123.0</v>
      </c>
    </row>
    <row r="26" ht="14.25" customHeight="1">
      <c r="B26" s="30" t="s">
        <v>267</v>
      </c>
      <c r="J26" s="30">
        <v>0.0</v>
      </c>
      <c r="K26" s="30">
        <v>0.0</v>
      </c>
      <c r="L26" s="30">
        <v>16.0</v>
      </c>
      <c r="M26" s="30">
        <v>-46.0</v>
      </c>
      <c r="N26" s="30">
        <v>76.0</v>
      </c>
      <c r="O26" s="30">
        <v>106.0</v>
      </c>
      <c r="P26" s="30">
        <v>137.0</v>
      </c>
      <c r="Q26" s="30">
        <v>0.0</v>
      </c>
      <c r="R26" s="30">
        <v>0.0</v>
      </c>
      <c r="S26" s="30">
        <v>0.0</v>
      </c>
      <c r="T26" s="30">
        <v>0.0</v>
      </c>
      <c r="U26" s="30">
        <v>0.0</v>
      </c>
      <c r="V26" s="30">
        <v>0.0</v>
      </c>
      <c r="W26" s="30">
        <v>0.0</v>
      </c>
      <c r="X26" s="30">
        <v>1317.0</v>
      </c>
      <c r="Y26" s="30">
        <v>1317.0</v>
      </c>
      <c r="Z26" s="30">
        <v>1317.0</v>
      </c>
      <c r="AA26" s="30">
        <v>1317.0</v>
      </c>
      <c r="AB26" s="30">
        <v>1317.0</v>
      </c>
      <c r="AC26" s="30">
        <v>1317.0</v>
      </c>
      <c r="AD26" s="30">
        <v>1317.0</v>
      </c>
      <c r="AE26" s="30">
        <v>1317.0</v>
      </c>
      <c r="AF26" s="30">
        <v>1371.0</v>
      </c>
      <c r="AG26" s="30">
        <v>1371.0</v>
      </c>
      <c r="AH26" s="30">
        <v>1317.0</v>
      </c>
      <c r="AI26" s="30">
        <v>2013.0</v>
      </c>
      <c r="AJ26" s="30">
        <v>2767.0</v>
      </c>
      <c r="AK26" s="30">
        <v>2812.0</v>
      </c>
      <c r="AL26" s="30">
        <v>2839.0</v>
      </c>
    </row>
    <row r="27" ht="14.25" customHeight="1">
      <c r="B27" s="30" t="s">
        <v>271</v>
      </c>
      <c r="J27" s="30">
        <v>0.0</v>
      </c>
      <c r="K27" s="30">
        <v>0.0</v>
      </c>
      <c r="L27" s="30">
        <v>0.0</v>
      </c>
      <c r="M27" s="30">
        <v>-245.0</v>
      </c>
      <c r="N27" s="30">
        <v>254.0</v>
      </c>
      <c r="O27" s="30">
        <v>263.0</v>
      </c>
      <c r="P27" s="30">
        <v>0.0</v>
      </c>
      <c r="Q27" s="30">
        <v>0.0</v>
      </c>
      <c r="R27" s="30">
        <v>0.0</v>
      </c>
      <c r="S27" s="30">
        <v>0.0</v>
      </c>
      <c r="T27" s="30">
        <v>0.0</v>
      </c>
      <c r="U27" s="30">
        <v>0.0</v>
      </c>
      <c r="V27" s="30">
        <v>0.0</v>
      </c>
      <c r="W27" s="30">
        <v>0.0</v>
      </c>
      <c r="X27" s="30">
        <v>0.0</v>
      </c>
      <c r="Y27" s="30">
        <v>0.0</v>
      </c>
      <c r="Z27" s="30">
        <v>0.0</v>
      </c>
      <c r="AA27" s="30">
        <v>0.0</v>
      </c>
      <c r="AB27" s="30">
        <v>0.0</v>
      </c>
      <c r="AC27" s="30">
        <v>0.0</v>
      </c>
      <c r="AD27" s="30">
        <v>0.0</v>
      </c>
      <c r="AE27" s="30">
        <v>0.0</v>
      </c>
      <c r="AF27" s="30">
        <v>0.0</v>
      </c>
      <c r="AG27" s="30">
        <v>0.0</v>
      </c>
      <c r="AH27" s="30">
        <v>0.0</v>
      </c>
      <c r="AI27" s="30">
        <v>0.0</v>
      </c>
      <c r="AJ27" s="30">
        <v>0.0</v>
      </c>
      <c r="AK27" s="30">
        <v>0.0</v>
      </c>
      <c r="AL27" s="30">
        <v>0.0</v>
      </c>
    </row>
    <row r="28" ht="14.25" customHeight="1">
      <c r="B28" s="30" t="s">
        <v>272</v>
      </c>
      <c r="J28" s="30">
        <v>0.0</v>
      </c>
      <c r="K28" s="30">
        <v>4.0</v>
      </c>
      <c r="L28" s="30">
        <v>2.0</v>
      </c>
      <c r="M28" s="30">
        <v>0.0</v>
      </c>
      <c r="N28" s="30">
        <v>0.0</v>
      </c>
      <c r="O28" s="30">
        <v>0.0</v>
      </c>
      <c r="P28" s="30">
        <v>0.0</v>
      </c>
      <c r="Q28" s="30">
        <v>0.0</v>
      </c>
      <c r="R28" s="30">
        <v>313.0</v>
      </c>
      <c r="S28" s="30">
        <v>202.0</v>
      </c>
      <c r="T28" s="30">
        <v>163.0</v>
      </c>
      <c r="U28" s="30">
        <v>171.0</v>
      </c>
      <c r="V28" s="30">
        <v>153.0</v>
      </c>
      <c r="W28" s="30">
        <v>207.0</v>
      </c>
      <c r="X28" s="30">
        <v>154.0</v>
      </c>
      <c r="Y28" s="30">
        <v>154.0</v>
      </c>
      <c r="Z28" s="30">
        <v>21.0</v>
      </c>
      <c r="AA28" s="30">
        <v>8.0</v>
      </c>
      <c r="AB28" s="30">
        <v>5.0</v>
      </c>
      <c r="AC28" s="30">
        <v>3.0</v>
      </c>
      <c r="AD28" s="30">
        <v>0.0</v>
      </c>
      <c r="AE28" s="30">
        <v>0.0</v>
      </c>
      <c r="AF28" s="30">
        <v>0.0</v>
      </c>
      <c r="AG28" s="30">
        <v>0.0</v>
      </c>
      <c r="AH28" s="30">
        <v>0.0</v>
      </c>
      <c r="AI28" s="30">
        <v>0.0</v>
      </c>
      <c r="AJ28" s="30">
        <v>0.0</v>
      </c>
      <c r="AK28" s="30">
        <v>0.0</v>
      </c>
      <c r="AL28" s="30">
        <v>0.0</v>
      </c>
    </row>
    <row r="29" ht="14.25" customHeight="1">
      <c r="B29" s="30" t="s">
        <v>278</v>
      </c>
      <c r="J29" s="30">
        <v>23.0</v>
      </c>
      <c r="K29" s="30">
        <v>2656.0</v>
      </c>
      <c r="L29" s="30">
        <v>2656.0</v>
      </c>
      <c r="M29" s="30">
        <v>-2656.0</v>
      </c>
      <c r="N29" s="30">
        <v>2656.0</v>
      </c>
      <c r="O29" s="30">
        <v>2656.0</v>
      </c>
      <c r="P29" s="30">
        <v>2656.0</v>
      </c>
      <c r="Q29" s="30">
        <v>2656.0</v>
      </c>
      <c r="R29" s="30">
        <v>2656.0</v>
      </c>
      <c r="S29" s="30">
        <v>2656.0</v>
      </c>
      <c r="T29" s="30">
        <v>2656.0</v>
      </c>
      <c r="U29" s="30">
        <v>2656.0</v>
      </c>
      <c r="V29" s="30">
        <v>2656.0</v>
      </c>
      <c r="W29" s="30">
        <v>2656.0</v>
      </c>
      <c r="X29" s="30">
        <v>2656.0</v>
      </c>
      <c r="Y29" s="30">
        <v>2656.0</v>
      </c>
      <c r="Z29" s="30">
        <v>2656.0</v>
      </c>
      <c r="AA29" s="30">
        <v>2655.61973</v>
      </c>
      <c r="AB29" s="30">
        <v>2656.0</v>
      </c>
      <c r="AC29" s="30">
        <v>0.0</v>
      </c>
      <c r="AD29" s="30">
        <v>0.0</v>
      </c>
      <c r="AE29" s="30">
        <v>0.0</v>
      </c>
      <c r="AF29" s="30">
        <v>0.0</v>
      </c>
      <c r="AG29" s="30">
        <v>0.0</v>
      </c>
      <c r="AH29" s="30">
        <v>0.0</v>
      </c>
      <c r="AI29" s="30">
        <v>0.0</v>
      </c>
      <c r="AJ29" s="30">
        <v>0.0</v>
      </c>
    </row>
    <row r="30" ht="14.25" customHeight="1">
      <c r="B30" s="30" t="s">
        <v>282</v>
      </c>
      <c r="K30" s="30">
        <v>0.0</v>
      </c>
      <c r="L30" s="30">
        <v>0.0</v>
      </c>
      <c r="M30" s="30">
        <v>0.0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51.0</v>
      </c>
      <c r="U30" s="30">
        <v>52.0</v>
      </c>
      <c r="V30" s="30">
        <v>52.0</v>
      </c>
      <c r="W30" s="30">
        <v>52.0</v>
      </c>
      <c r="X30" s="30">
        <v>52.0</v>
      </c>
      <c r="Y30" s="30">
        <v>52.0</v>
      </c>
      <c r="Z30" s="30">
        <v>64.0</v>
      </c>
      <c r="AA30" s="30">
        <v>64.0</v>
      </c>
      <c r="AB30" s="30">
        <v>74.0</v>
      </c>
      <c r="AC30" s="30">
        <v>1935.0</v>
      </c>
      <c r="AD30" s="30">
        <v>2038.0</v>
      </c>
      <c r="AE30" s="30">
        <v>2059.0</v>
      </c>
      <c r="AF30" s="30">
        <v>2074.0</v>
      </c>
      <c r="AG30" s="30">
        <v>339.0</v>
      </c>
      <c r="AH30" s="30">
        <v>414.0</v>
      </c>
      <c r="AI30" s="30">
        <v>524.0</v>
      </c>
      <c r="AJ30" s="30">
        <v>578.0</v>
      </c>
      <c r="AK30" s="30">
        <v>1091.0</v>
      </c>
      <c r="AL30" s="30">
        <v>1347.0</v>
      </c>
    </row>
    <row r="31" ht="14.25" customHeight="1">
      <c r="B31" s="30" t="s">
        <v>275</v>
      </c>
      <c r="J31" s="30">
        <v>68.0</v>
      </c>
      <c r="K31" s="30">
        <v>53.0</v>
      </c>
      <c r="L31" s="30">
        <v>39.0</v>
      </c>
      <c r="M31" s="30">
        <v>-24.0</v>
      </c>
      <c r="N31" s="30">
        <v>10.0</v>
      </c>
      <c r="O31" s="30">
        <v>0.0</v>
      </c>
      <c r="P31" s="30">
        <v>0.0</v>
      </c>
      <c r="Q31" s="30">
        <v>0.0</v>
      </c>
      <c r="R31" s="30">
        <v>0.0</v>
      </c>
      <c r="S31" s="30">
        <v>0.0</v>
      </c>
      <c r="T31" s="30">
        <v>0.0</v>
      </c>
      <c r="U31" s="30">
        <v>0.0</v>
      </c>
      <c r="V31" s="30">
        <v>0.0</v>
      </c>
      <c r="W31" s="30">
        <v>0.0</v>
      </c>
      <c r="X31" s="30">
        <v>0.0</v>
      </c>
      <c r="Y31" s="30">
        <v>0.0</v>
      </c>
      <c r="Z31" s="30">
        <v>0.0</v>
      </c>
      <c r="AA31" s="30">
        <v>144.0</v>
      </c>
      <c r="AB31" s="30">
        <v>133.0</v>
      </c>
      <c r="AC31" s="30">
        <v>0.0</v>
      </c>
      <c r="AD31" s="30">
        <v>0.0</v>
      </c>
      <c r="AE31" s="30">
        <v>0.0</v>
      </c>
      <c r="AF31" s="30">
        <v>0.0</v>
      </c>
      <c r="AG31" s="30">
        <v>0.0</v>
      </c>
      <c r="AH31" s="30">
        <v>0.0</v>
      </c>
      <c r="AI31" s="30">
        <v>0.0</v>
      </c>
      <c r="AJ31" s="30">
        <v>0.0</v>
      </c>
    </row>
    <row r="32" ht="14.25" customHeight="1">
      <c r="B32" s="30" t="s">
        <v>276</v>
      </c>
      <c r="J32" s="30">
        <v>2377.0</v>
      </c>
      <c r="K32" s="30">
        <v>5525.0</v>
      </c>
      <c r="L32" s="30">
        <v>5861.0</v>
      </c>
      <c r="M32" s="30">
        <v>-5820.0</v>
      </c>
      <c r="N32" s="30">
        <v>5689.0</v>
      </c>
      <c r="O32" s="30">
        <v>4866.0</v>
      </c>
      <c r="P32" s="30">
        <v>4193.0</v>
      </c>
      <c r="Q32" s="30">
        <v>4455.0</v>
      </c>
      <c r="R32" s="30">
        <v>0.0</v>
      </c>
      <c r="S32" s="30">
        <v>0.0</v>
      </c>
      <c r="T32" s="30">
        <v>0.0</v>
      </c>
      <c r="U32" s="30">
        <v>0.0</v>
      </c>
      <c r="V32" s="30">
        <v>0.0</v>
      </c>
      <c r="W32" s="30">
        <v>0.0</v>
      </c>
      <c r="X32" s="30">
        <v>0.0</v>
      </c>
      <c r="Y32" s="30">
        <v>0.0</v>
      </c>
      <c r="Z32" s="30">
        <v>0.0</v>
      </c>
      <c r="AA32" s="30">
        <v>0.0</v>
      </c>
      <c r="AB32" s="30">
        <v>3613.0</v>
      </c>
      <c r="AC32" s="30">
        <v>0.0</v>
      </c>
      <c r="AD32" s="30">
        <v>0.0</v>
      </c>
      <c r="AE32" s="30">
        <v>0.0</v>
      </c>
      <c r="AF32" s="30">
        <v>0.0</v>
      </c>
      <c r="AG32" s="30">
        <v>0.0</v>
      </c>
      <c r="AH32" s="30">
        <v>0.0</v>
      </c>
      <c r="AI32" s="30">
        <v>0.0</v>
      </c>
      <c r="AJ32" s="30">
        <v>0.0</v>
      </c>
      <c r="AK32" s="30">
        <v>0.0</v>
      </c>
      <c r="AL32" s="30">
        <v>0.0</v>
      </c>
    </row>
    <row r="33" ht="14.25" customHeight="1">
      <c r="B33" s="30" t="s">
        <v>89</v>
      </c>
      <c r="J33" s="30">
        <v>315.0</v>
      </c>
      <c r="K33" s="30">
        <v>315.0</v>
      </c>
      <c r="L33" s="30">
        <v>315.0</v>
      </c>
      <c r="M33" s="30">
        <v>-315.0</v>
      </c>
      <c r="N33" s="30">
        <v>315.0</v>
      </c>
      <c r="O33" s="30">
        <v>303.0</v>
      </c>
      <c r="P33" s="30">
        <v>1126.0</v>
      </c>
      <c r="Q33" s="30">
        <v>1149.0</v>
      </c>
      <c r="R33" s="30">
        <v>1030.0</v>
      </c>
      <c r="S33" s="30">
        <v>1030.0</v>
      </c>
      <c r="T33" s="30">
        <v>929.0</v>
      </c>
      <c r="U33" s="30">
        <v>854.0</v>
      </c>
      <c r="V33" s="30">
        <v>854.0</v>
      </c>
      <c r="W33" s="30">
        <v>67.0</v>
      </c>
      <c r="X33" s="30">
        <v>67.0</v>
      </c>
      <c r="Y33" s="30">
        <v>854.0</v>
      </c>
      <c r="Z33" s="30">
        <v>668.0</v>
      </c>
      <c r="AA33" s="30">
        <v>639.0</v>
      </c>
      <c r="AB33" s="30">
        <v>419.0</v>
      </c>
      <c r="AC33" s="30">
        <v>327.0</v>
      </c>
      <c r="AD33" s="30">
        <v>307.0</v>
      </c>
      <c r="AE33" s="30">
        <v>242.0</v>
      </c>
      <c r="AF33" s="30">
        <v>228.0</v>
      </c>
      <c r="AG33" s="30">
        <v>602.0</v>
      </c>
      <c r="AH33" s="30">
        <v>602.0</v>
      </c>
      <c r="AI33" s="30">
        <v>567.0</v>
      </c>
      <c r="AJ33" s="30">
        <v>567.0</v>
      </c>
      <c r="AK33" s="30">
        <v>0.0</v>
      </c>
      <c r="AL33" s="30">
        <v>0.0</v>
      </c>
    </row>
    <row r="34" ht="14.25" customHeight="1">
      <c r="B34" s="30" t="s">
        <v>283</v>
      </c>
      <c r="J34" s="30">
        <v>12783.0</v>
      </c>
      <c r="K34" s="30">
        <v>14839.0</v>
      </c>
      <c r="L34" s="30">
        <v>13511.0</v>
      </c>
      <c r="M34" s="30">
        <v>-16813.0</v>
      </c>
      <c r="N34" s="30">
        <v>19263.0</v>
      </c>
      <c r="O34" s="30">
        <v>20598.0</v>
      </c>
      <c r="P34" s="30">
        <v>23668.0</v>
      </c>
      <c r="Q34" s="30">
        <v>18047.0</v>
      </c>
      <c r="R34" s="30">
        <v>14699.0</v>
      </c>
      <c r="S34" s="30">
        <v>13739.0</v>
      </c>
      <c r="T34" s="30">
        <v>18187.0</v>
      </c>
      <c r="U34" s="30">
        <v>34592.0</v>
      </c>
      <c r="V34" s="30">
        <v>35603.0</v>
      </c>
      <c r="W34" s="30">
        <v>36604.0</v>
      </c>
      <c r="X34" s="30">
        <v>37741.0</v>
      </c>
      <c r="Y34" s="30">
        <v>41378.0</v>
      </c>
      <c r="Z34" s="30">
        <v>41597.0</v>
      </c>
      <c r="AA34" s="30">
        <v>41914.0</v>
      </c>
      <c r="AB34" s="30">
        <v>42898.0</v>
      </c>
      <c r="AC34" s="30">
        <v>48007.0</v>
      </c>
      <c r="AD34" s="30">
        <v>49970.0</v>
      </c>
      <c r="AE34" s="30">
        <v>51621.0</v>
      </c>
      <c r="AF34" s="30">
        <v>53745.0</v>
      </c>
      <c r="AG34" s="30">
        <v>64509.0</v>
      </c>
      <c r="AH34" s="30">
        <v>71481.0</v>
      </c>
      <c r="AI34" s="30">
        <v>77689.0</v>
      </c>
      <c r="AJ34" s="30">
        <v>82182.0</v>
      </c>
      <c r="AK34" s="30">
        <v>71891.0</v>
      </c>
      <c r="AL34" s="30">
        <v>81200.0</v>
      </c>
    </row>
    <row r="35" ht="14.25" customHeight="1">
      <c r="B35" s="30" t="s">
        <v>284</v>
      </c>
      <c r="J35" s="30">
        <v>547.0</v>
      </c>
      <c r="K35" s="30">
        <v>607.0</v>
      </c>
      <c r="L35" s="30">
        <v>645.0</v>
      </c>
      <c r="M35" s="30">
        <v>-711.0</v>
      </c>
      <c r="N35" s="30">
        <v>915.0</v>
      </c>
      <c r="O35" s="30">
        <v>938.0</v>
      </c>
      <c r="P35" s="30">
        <v>1066.0</v>
      </c>
      <c r="Q35" s="30">
        <v>1067.0</v>
      </c>
      <c r="R35" s="30">
        <v>1068.0</v>
      </c>
      <c r="S35" s="30">
        <v>1219.0</v>
      </c>
      <c r="T35" s="30">
        <v>3828.0</v>
      </c>
      <c r="U35" s="30">
        <v>3834.0</v>
      </c>
      <c r="V35" s="30">
        <v>3894.0</v>
      </c>
      <c r="W35" s="30">
        <v>4028.0</v>
      </c>
      <c r="X35" s="30">
        <v>4130.0</v>
      </c>
      <c r="Y35" s="30">
        <v>3962.0</v>
      </c>
      <c r="Z35" s="30">
        <v>3945.0</v>
      </c>
      <c r="AA35" s="30">
        <v>4031.0</v>
      </c>
      <c r="AB35" s="30">
        <v>4250.0</v>
      </c>
      <c r="AC35" s="30">
        <v>4426.0</v>
      </c>
      <c r="AD35" s="30">
        <v>4302.0</v>
      </c>
      <c r="AE35" s="30">
        <v>4575.0</v>
      </c>
      <c r="AF35" s="30">
        <v>4782.0</v>
      </c>
      <c r="AG35" s="30">
        <v>4910.0</v>
      </c>
      <c r="AH35" s="30">
        <v>7440.0</v>
      </c>
      <c r="AI35" s="30">
        <v>5620.0</v>
      </c>
      <c r="AJ35" s="30">
        <v>5470.0</v>
      </c>
      <c r="AK35" s="30">
        <v>5689.0</v>
      </c>
      <c r="AL35" s="30">
        <v>5921.0</v>
      </c>
    </row>
    <row r="36" ht="14.25" customHeight="1">
      <c r="B36" s="30" t="s">
        <v>285</v>
      </c>
      <c r="J36" s="30">
        <v>1854.0</v>
      </c>
      <c r="K36" s="30">
        <v>2292.0</v>
      </c>
      <c r="L36" s="30">
        <v>2408.0</v>
      </c>
      <c r="M36" s="30">
        <v>-1696.0</v>
      </c>
      <c r="N36" s="30">
        <v>1533.0</v>
      </c>
      <c r="O36" s="30">
        <v>1821.0</v>
      </c>
      <c r="P36" s="30">
        <v>1565.0</v>
      </c>
      <c r="Q36" s="30">
        <v>1728.0</v>
      </c>
      <c r="R36" s="30">
        <v>1945.0</v>
      </c>
      <c r="S36" s="30">
        <v>0.0</v>
      </c>
      <c r="T36" s="30">
        <v>0.0</v>
      </c>
      <c r="U36" s="30">
        <v>0.0</v>
      </c>
      <c r="V36" s="30">
        <v>0.0</v>
      </c>
      <c r="W36" s="30">
        <v>0.0</v>
      </c>
      <c r="X36" s="30">
        <v>0.0</v>
      </c>
      <c r="Y36" s="30">
        <v>0.0</v>
      </c>
      <c r="Z36" s="30">
        <v>0.0</v>
      </c>
      <c r="AA36" s="30">
        <v>0.0</v>
      </c>
      <c r="AB36" s="30">
        <v>0.0</v>
      </c>
      <c r="AC36" s="30">
        <v>-1.0E-5</v>
      </c>
      <c r="AD36" s="30">
        <v>0.0</v>
      </c>
      <c r="AE36" s="30">
        <v>5.937181413173675E-12</v>
      </c>
      <c r="AF36" s="30">
        <v>2.7939677238464354E-11</v>
      </c>
      <c r="AG36" s="30">
        <v>-9.999955858802424E-6</v>
      </c>
      <c r="AH36" s="30">
        <v>-9.999955858802424E-6</v>
      </c>
      <c r="AI36" s="30">
        <v>0.0</v>
      </c>
      <c r="AJ36" s="30">
        <v>0.0</v>
      </c>
      <c r="AK36" s="30">
        <v>0.0</v>
      </c>
      <c r="AL36" s="30">
        <v>0.0</v>
      </c>
    </row>
    <row r="37" ht="14.25" customHeight="1">
      <c r="B37" s="30" t="s">
        <v>286</v>
      </c>
      <c r="J37" s="30">
        <v>67664.0</v>
      </c>
      <c r="K37" s="30">
        <v>68049.0</v>
      </c>
      <c r="L37" s="30">
        <v>66735.0</v>
      </c>
      <c r="M37" s="30">
        <v>-67964.0</v>
      </c>
      <c r="N37" s="30">
        <v>78724.0</v>
      </c>
      <c r="O37" s="30">
        <v>80360.0</v>
      </c>
      <c r="P37" s="30">
        <v>80430.0</v>
      </c>
      <c r="Q37" s="30">
        <v>77024.0</v>
      </c>
      <c r="R37" s="30">
        <v>74242.0</v>
      </c>
      <c r="S37" s="30">
        <v>70589.0</v>
      </c>
      <c r="T37" s="30">
        <v>71121.0</v>
      </c>
      <c r="U37" s="30">
        <v>75485.0</v>
      </c>
      <c r="V37" s="30">
        <v>91928.0</v>
      </c>
      <c r="W37" s="30">
        <v>91680.0</v>
      </c>
      <c r="X37" s="30">
        <v>97135.0</v>
      </c>
      <c r="Y37" s="30">
        <v>99594.0</v>
      </c>
      <c r="Z37" s="30">
        <v>117618.0</v>
      </c>
      <c r="AA37" s="30">
        <v>132806.0</v>
      </c>
      <c r="AB37" s="30">
        <v>151750.0</v>
      </c>
      <c r="AC37" s="30">
        <v>174189.0</v>
      </c>
      <c r="AD37" s="30">
        <v>192045.0</v>
      </c>
      <c r="AE37" s="30">
        <v>211083.0</v>
      </c>
      <c r="AF37" s="30">
        <v>230886.0</v>
      </c>
      <c r="AG37" s="30">
        <v>255291.0</v>
      </c>
      <c r="AH37" s="30">
        <v>263546.0</v>
      </c>
      <c r="AI37" s="30">
        <v>272059.0</v>
      </c>
      <c r="AJ37" s="30">
        <v>294753.0</v>
      </c>
      <c r="AK37" s="30">
        <v>301842.0</v>
      </c>
      <c r="AL37" s="30">
        <v>295894.0</v>
      </c>
    </row>
    <row r="38" ht="14.25" customHeight="1">
      <c r="B38" s="30" t="s">
        <v>287</v>
      </c>
      <c r="J38" s="30">
        <v>7589.0</v>
      </c>
      <c r="K38" s="30">
        <v>7172.0</v>
      </c>
      <c r="L38" s="30">
        <v>6763.0</v>
      </c>
      <c r="M38" s="30">
        <v>-6380.0</v>
      </c>
      <c r="N38" s="30">
        <v>5943.0</v>
      </c>
      <c r="O38" s="30">
        <v>5461.0</v>
      </c>
      <c r="P38" s="30">
        <v>5017.0</v>
      </c>
      <c r="Q38" s="30">
        <v>4556.0</v>
      </c>
      <c r="R38" s="30">
        <v>4123.0</v>
      </c>
      <c r="S38" s="30">
        <v>5134.0</v>
      </c>
      <c r="T38" s="30">
        <v>4863.0</v>
      </c>
      <c r="U38" s="30">
        <v>9888.0</v>
      </c>
      <c r="V38" s="30">
        <v>9553.0</v>
      </c>
      <c r="W38" s="30">
        <v>9177.0</v>
      </c>
      <c r="X38" s="30">
        <v>8783.0</v>
      </c>
      <c r="Y38" s="30">
        <v>8055.0</v>
      </c>
      <c r="Z38" s="30">
        <v>25498.0</v>
      </c>
      <c r="AA38" s="30">
        <v>28871.0</v>
      </c>
      <c r="AB38" s="30">
        <v>33035.0</v>
      </c>
      <c r="AC38" s="30">
        <v>31596.0</v>
      </c>
      <c r="AD38" s="30">
        <v>54677.0</v>
      </c>
      <c r="AE38" s="30">
        <v>56645.0</v>
      </c>
      <c r="AF38" s="30">
        <v>58360.0</v>
      </c>
      <c r="AG38" s="30">
        <v>59950.0</v>
      </c>
      <c r="AH38" s="30">
        <v>60638.0</v>
      </c>
      <c r="AI38" s="30">
        <v>88221.0</v>
      </c>
      <c r="AJ38" s="30">
        <v>197634.0</v>
      </c>
      <c r="AK38" s="30">
        <v>245411.0</v>
      </c>
      <c r="AL38" s="30">
        <v>225826.0</v>
      </c>
    </row>
    <row r="39" ht="14.25" customHeight="1">
      <c r="J39" s="30">
        <v>93554.0</v>
      </c>
      <c r="K39" s="30">
        <v>101689.0</v>
      </c>
      <c r="L39" s="30">
        <v>98951.0</v>
      </c>
      <c r="M39" s="30">
        <v>-102670.0</v>
      </c>
      <c r="N39" s="30">
        <v>115378.0</v>
      </c>
      <c r="O39" s="30">
        <v>117372.0</v>
      </c>
      <c r="P39" s="30">
        <v>120855.0</v>
      </c>
      <c r="Q39" s="30">
        <v>111679.0</v>
      </c>
      <c r="R39" s="30">
        <v>104327.0</v>
      </c>
      <c r="S39" s="30">
        <v>98820.0</v>
      </c>
      <c r="T39" s="30">
        <v>106049.0</v>
      </c>
      <c r="U39" s="30">
        <v>131783.0</v>
      </c>
      <c r="V39" s="30">
        <v>148944.0</v>
      </c>
      <c r="W39" s="30">
        <v>148722.0</v>
      </c>
      <c r="X39" s="30">
        <v>156286.0</v>
      </c>
      <c r="Y39" s="30">
        <v>162273.0</v>
      </c>
      <c r="Z39" s="30">
        <v>197635.0</v>
      </c>
      <c r="AA39" s="30">
        <v>216700.61973</v>
      </c>
      <c r="AB39" s="30">
        <v>244401.0</v>
      </c>
      <c r="AC39" s="30">
        <v>266051.18834</v>
      </c>
      <c r="AD39" s="30">
        <v>308907.0</v>
      </c>
      <c r="AE39" s="30">
        <v>332347.0</v>
      </c>
      <c r="AF39" s="30">
        <v>356251.0</v>
      </c>
      <c r="AG39" s="30">
        <v>391776.99999000004</v>
      </c>
      <c r="AH39" s="30">
        <v>410242.68942000007</v>
      </c>
      <c r="AI39" s="30">
        <v>451498.0</v>
      </c>
      <c r="AJ39" s="30">
        <f t="shared" ref="AJ39:AK39" si="3">SUM(AJ24:AJ38)</f>
        <v>589403</v>
      </c>
      <c r="AK39" s="30">
        <f t="shared" si="3"/>
        <v>633836</v>
      </c>
      <c r="AL39" s="30">
        <v>618150.0</v>
      </c>
    </row>
    <row r="40" ht="14.25" customHeight="1">
      <c r="K40" s="30">
        <v>0.0</v>
      </c>
      <c r="L40" s="30">
        <v>0.0</v>
      </c>
      <c r="M40" s="30">
        <v>0.0</v>
      </c>
      <c r="N40" s="30">
        <v>0.0</v>
      </c>
      <c r="O40" s="30">
        <v>0.0</v>
      </c>
      <c r="P40" s="30">
        <v>0.0</v>
      </c>
      <c r="Q40" s="30">
        <v>0.0</v>
      </c>
      <c r="R40" s="30">
        <v>0.0</v>
      </c>
      <c r="S40" s="30">
        <v>0.0</v>
      </c>
      <c r="T40" s="30">
        <v>0.0</v>
      </c>
      <c r="U40" s="30">
        <v>0.0</v>
      </c>
      <c r="V40" s="30">
        <v>0.0</v>
      </c>
      <c r="W40" s="30">
        <v>0.0</v>
      </c>
      <c r="X40" s="30">
        <v>0.0</v>
      </c>
      <c r="Y40" s="30">
        <v>0.0</v>
      </c>
      <c r="Z40" s="30">
        <v>0.0</v>
      </c>
      <c r="AA40" s="30">
        <v>0.0</v>
      </c>
      <c r="AB40" s="30">
        <v>0.0</v>
      </c>
      <c r="AC40" s="30">
        <v>0.0</v>
      </c>
      <c r="AD40" s="30">
        <v>0.0</v>
      </c>
      <c r="AE40" s="30">
        <v>0.0</v>
      </c>
      <c r="AF40" s="30">
        <v>0.0</v>
      </c>
      <c r="AG40" s="30">
        <v>0.0</v>
      </c>
      <c r="AH40" s="30">
        <v>0.0</v>
      </c>
      <c r="AI40" s="30">
        <v>0.0</v>
      </c>
    </row>
    <row r="41" ht="14.25" customHeight="1">
      <c r="B41" s="30" t="s">
        <v>288</v>
      </c>
      <c r="J41" s="30">
        <v>192752.0</v>
      </c>
      <c r="K41" s="30">
        <v>200024.0</v>
      </c>
      <c r="L41" s="30">
        <v>198706.0</v>
      </c>
      <c r="M41" s="30">
        <v>-207986.0</v>
      </c>
      <c r="N41" s="30">
        <v>224864.0</v>
      </c>
      <c r="O41" s="30">
        <v>242316.0</v>
      </c>
      <c r="P41" s="30">
        <v>239903.0</v>
      </c>
      <c r="Q41" s="30">
        <v>239541.0</v>
      </c>
      <c r="R41" s="30">
        <v>366641.0</v>
      </c>
      <c r="S41" s="30">
        <v>345657.0</v>
      </c>
      <c r="T41" s="30">
        <v>328500.0</v>
      </c>
      <c r="U41" s="30">
        <v>336630.0</v>
      </c>
      <c r="V41" s="30">
        <v>337385.0</v>
      </c>
      <c r="W41" s="30">
        <v>351897.0</v>
      </c>
      <c r="X41" s="30">
        <v>358453.0</v>
      </c>
      <c r="Y41" s="30">
        <v>374377.0</v>
      </c>
      <c r="Z41" s="30">
        <v>410440.0</v>
      </c>
      <c r="AA41" s="30">
        <v>475058.61973000003</v>
      </c>
      <c r="AB41" s="30">
        <v>598258.0</v>
      </c>
      <c r="AC41" s="30">
        <v>619939.18834</v>
      </c>
      <c r="AD41" s="30">
        <v>762751.0</v>
      </c>
      <c r="AE41" s="30">
        <v>726263.0</v>
      </c>
      <c r="AF41" s="30">
        <v>724061.0</v>
      </c>
      <c r="AG41" s="30">
        <v>837003.99999</v>
      </c>
      <c r="AH41" s="30">
        <v>872200.6894200001</v>
      </c>
      <c r="AI41" s="30">
        <v>914999.0</v>
      </c>
      <c r="AJ41" s="30">
        <f t="shared" ref="AJ41:AK41" si="4">SUM(AJ22+AJ39)</f>
        <v>1207376</v>
      </c>
      <c r="AK41" s="167">
        <f t="shared" si="4"/>
        <v>1243600</v>
      </c>
      <c r="AL41" s="30">
        <v>1413379.0</v>
      </c>
    </row>
    <row r="42" ht="14.25" customHeight="1">
      <c r="K42" s="30">
        <v>0.0</v>
      </c>
      <c r="L42" s="30">
        <v>0.0</v>
      </c>
      <c r="M42" s="30">
        <v>0.0</v>
      </c>
      <c r="N42" s="30">
        <v>0.0</v>
      </c>
      <c r="O42" s="30">
        <v>0.0</v>
      </c>
      <c r="P42" s="30">
        <v>0.0</v>
      </c>
      <c r="Q42" s="30">
        <v>0.0</v>
      </c>
      <c r="R42" s="30">
        <v>0.0</v>
      </c>
      <c r="S42" s="30">
        <v>0.0</v>
      </c>
      <c r="T42" s="30">
        <v>0.0</v>
      </c>
      <c r="U42" s="30">
        <v>0.0</v>
      </c>
      <c r="V42" s="30">
        <v>0.0</v>
      </c>
      <c r="W42" s="30">
        <v>0.0</v>
      </c>
      <c r="X42" s="30">
        <v>0.0</v>
      </c>
      <c r="Y42" s="30">
        <v>0.0</v>
      </c>
      <c r="Z42" s="30">
        <v>0.0</v>
      </c>
      <c r="AA42" s="30">
        <v>0.0</v>
      </c>
      <c r="AB42" s="30">
        <v>0.0</v>
      </c>
      <c r="AC42" s="30">
        <v>0.0</v>
      </c>
      <c r="AD42" s="30">
        <v>0.0</v>
      </c>
      <c r="AE42" s="30">
        <v>0.0</v>
      </c>
      <c r="AF42" s="30">
        <v>0.0</v>
      </c>
      <c r="AG42" s="30">
        <v>0.0</v>
      </c>
      <c r="AH42" s="30">
        <v>0.0</v>
      </c>
      <c r="AI42" s="30">
        <v>0.0</v>
      </c>
    </row>
    <row r="43" ht="14.25" customHeight="1">
      <c r="B43" s="30" t="s">
        <v>289</v>
      </c>
      <c r="K43" s="30">
        <v>0.0</v>
      </c>
      <c r="L43" s="30">
        <v>0.0</v>
      </c>
      <c r="M43" s="30">
        <v>0.0</v>
      </c>
      <c r="N43" s="30">
        <v>0.0</v>
      </c>
      <c r="O43" s="30">
        <v>0.0</v>
      </c>
      <c r="P43" s="30">
        <v>0.0</v>
      </c>
      <c r="Q43" s="30">
        <v>0.0</v>
      </c>
      <c r="R43" s="30">
        <v>0.0</v>
      </c>
      <c r="S43" s="30">
        <v>0.0</v>
      </c>
      <c r="T43" s="30">
        <v>0.0</v>
      </c>
      <c r="U43" s="30">
        <v>0.0</v>
      </c>
      <c r="V43" s="30">
        <v>0.0</v>
      </c>
      <c r="W43" s="30">
        <v>0.0</v>
      </c>
      <c r="X43" s="30">
        <v>0.0</v>
      </c>
      <c r="Y43" s="30">
        <v>0.0</v>
      </c>
      <c r="Z43" s="30">
        <v>0.0</v>
      </c>
      <c r="AA43" s="30">
        <v>0.0</v>
      </c>
      <c r="AB43" s="30">
        <v>0.0</v>
      </c>
      <c r="AC43" s="30">
        <v>0.0</v>
      </c>
      <c r="AD43" s="30">
        <v>0.0</v>
      </c>
      <c r="AE43" s="30">
        <v>0.0</v>
      </c>
      <c r="AF43" s="30">
        <v>0.0</v>
      </c>
      <c r="AG43" s="30">
        <v>0.0</v>
      </c>
      <c r="AH43" s="30">
        <v>0.0</v>
      </c>
      <c r="AI43" s="30">
        <v>0.0</v>
      </c>
    </row>
    <row r="44" ht="14.25" customHeight="1">
      <c r="K44" s="30">
        <v>0.0</v>
      </c>
      <c r="L44" s="30">
        <v>0.0</v>
      </c>
      <c r="M44" s="30">
        <v>0.0</v>
      </c>
      <c r="N44" s="30">
        <v>0.0</v>
      </c>
      <c r="O44" s="30">
        <v>0.0</v>
      </c>
      <c r="P44" s="30">
        <v>0.0</v>
      </c>
      <c r="Q44" s="30">
        <v>0.0</v>
      </c>
      <c r="R44" s="30">
        <v>0.0</v>
      </c>
      <c r="S44" s="30">
        <v>0.0</v>
      </c>
      <c r="T44" s="30">
        <v>0.0</v>
      </c>
      <c r="U44" s="30">
        <v>0.0</v>
      </c>
      <c r="V44" s="30">
        <v>0.0</v>
      </c>
      <c r="W44" s="30">
        <v>0.0</v>
      </c>
      <c r="X44" s="30">
        <v>0.0</v>
      </c>
      <c r="Y44" s="30">
        <v>0.0</v>
      </c>
      <c r="Z44" s="30">
        <v>0.0</v>
      </c>
      <c r="AA44" s="30">
        <v>0.0</v>
      </c>
      <c r="AB44" s="30">
        <v>0.0</v>
      </c>
      <c r="AC44" s="30">
        <v>0.0</v>
      </c>
      <c r="AD44" s="30">
        <v>0.0</v>
      </c>
      <c r="AE44" s="30">
        <v>0.0</v>
      </c>
      <c r="AF44" s="30">
        <v>0.0</v>
      </c>
      <c r="AG44" s="30">
        <v>0.0</v>
      </c>
      <c r="AH44" s="30">
        <v>0.0</v>
      </c>
      <c r="AI44" s="30">
        <v>0.0</v>
      </c>
    </row>
    <row r="45" ht="14.25" customHeight="1">
      <c r="B45" s="30" t="s">
        <v>265</v>
      </c>
      <c r="K45" s="30">
        <v>0.0</v>
      </c>
      <c r="L45" s="30">
        <v>0.0</v>
      </c>
      <c r="M45" s="30">
        <v>0.0</v>
      </c>
      <c r="N45" s="30">
        <v>0.0</v>
      </c>
      <c r="O45" s="30">
        <v>0.0</v>
      </c>
      <c r="P45" s="30">
        <v>0.0</v>
      </c>
      <c r="Q45" s="30">
        <v>0.0</v>
      </c>
      <c r="R45" s="30">
        <v>0.0</v>
      </c>
      <c r="S45" s="30">
        <v>0.0</v>
      </c>
      <c r="T45" s="30">
        <v>0.0</v>
      </c>
      <c r="U45" s="30">
        <v>0.0</v>
      </c>
      <c r="V45" s="30">
        <v>0.0</v>
      </c>
      <c r="W45" s="30">
        <v>0.0</v>
      </c>
      <c r="X45" s="30">
        <v>0.0</v>
      </c>
      <c r="Y45" s="30">
        <v>0.0</v>
      </c>
      <c r="Z45" s="30">
        <v>0.0</v>
      </c>
      <c r="AA45" s="30">
        <v>0.0</v>
      </c>
      <c r="AB45" s="30">
        <v>0.0</v>
      </c>
      <c r="AC45" s="30">
        <v>0.0</v>
      </c>
      <c r="AD45" s="30">
        <v>0.0</v>
      </c>
      <c r="AE45" s="30">
        <v>0.0</v>
      </c>
      <c r="AF45" s="30">
        <v>0.0</v>
      </c>
      <c r="AG45" s="30">
        <v>0.0</v>
      </c>
      <c r="AH45" s="30">
        <v>0.0</v>
      </c>
      <c r="AI45" s="30">
        <v>0.0</v>
      </c>
    </row>
    <row r="46" ht="14.25" customHeight="1">
      <c r="B46" s="30" t="s">
        <v>112</v>
      </c>
      <c r="J46" s="30">
        <v>11524.0</v>
      </c>
      <c r="K46" s="30">
        <v>8844.0</v>
      </c>
      <c r="L46" s="30">
        <v>9590.0</v>
      </c>
      <c r="M46" s="30">
        <v>-12846.0</v>
      </c>
      <c r="N46" s="30">
        <v>14878.0</v>
      </c>
      <c r="O46" s="30">
        <v>12560.0</v>
      </c>
      <c r="P46" s="30">
        <v>11768.0</v>
      </c>
      <c r="Q46" s="30">
        <v>9419.0</v>
      </c>
      <c r="R46" s="30">
        <v>8461.0</v>
      </c>
      <c r="S46" s="30">
        <v>6606.0</v>
      </c>
      <c r="T46" s="30">
        <v>7124.0</v>
      </c>
      <c r="U46" s="30">
        <v>11478.0</v>
      </c>
      <c r="V46" s="30">
        <v>12157.0</v>
      </c>
      <c r="W46" s="30">
        <v>12457.0</v>
      </c>
      <c r="X46" s="30">
        <v>13559.0</v>
      </c>
      <c r="Y46" s="30">
        <v>17250.0</v>
      </c>
      <c r="Z46" s="30">
        <v>18095.0</v>
      </c>
      <c r="AA46" s="30">
        <v>26499.0</v>
      </c>
      <c r="AB46" s="30">
        <v>29798.0</v>
      </c>
      <c r="AC46" s="30">
        <v>33383.0</v>
      </c>
      <c r="AD46" s="30">
        <v>36383.0</v>
      </c>
      <c r="AE46" s="30">
        <v>33689.0</v>
      </c>
      <c r="AF46" s="30">
        <v>29052.0</v>
      </c>
      <c r="AG46" s="30">
        <v>38577.0</v>
      </c>
      <c r="AH46" s="30">
        <v>20957.0</v>
      </c>
      <c r="AI46" s="30">
        <v>21204.0</v>
      </c>
      <c r="AJ46" s="30">
        <v>59339.0</v>
      </c>
      <c r="AK46" s="30">
        <v>42428.0</v>
      </c>
      <c r="AL46" s="30">
        <v>37327.0</v>
      </c>
    </row>
    <row r="47" ht="14.25" customHeight="1">
      <c r="B47" s="30" t="s">
        <v>290</v>
      </c>
      <c r="J47" s="30">
        <v>13.0</v>
      </c>
      <c r="K47" s="30">
        <v>741.0</v>
      </c>
      <c r="L47" s="30">
        <v>298.0</v>
      </c>
      <c r="M47" s="30">
        <v>-400.0</v>
      </c>
      <c r="N47" s="30">
        <v>75.0</v>
      </c>
      <c r="O47" s="30">
        <v>153.0</v>
      </c>
      <c r="P47" s="30">
        <v>996.0</v>
      </c>
      <c r="Q47" s="30">
        <v>342.0</v>
      </c>
      <c r="R47" s="30">
        <v>220.0</v>
      </c>
      <c r="S47" s="30">
        <v>0.0</v>
      </c>
      <c r="T47" s="30">
        <v>0.0</v>
      </c>
      <c r="U47" s="30">
        <v>0.0</v>
      </c>
      <c r="V47" s="30">
        <v>0.0</v>
      </c>
      <c r="W47" s="30">
        <v>0.0</v>
      </c>
      <c r="X47" s="30">
        <v>0.0</v>
      </c>
      <c r="Y47" s="30">
        <v>0.0</v>
      </c>
      <c r="Z47" s="30">
        <v>1.0E-5</v>
      </c>
      <c r="AA47" s="30">
        <v>-5.0E-5</v>
      </c>
      <c r="AB47" s="30">
        <v>4.0E-5</v>
      </c>
      <c r="AC47" s="30">
        <v>5.9999999999999995E-5</v>
      </c>
      <c r="AD47" s="30">
        <v>0.0</v>
      </c>
      <c r="AE47" s="30">
        <v>0.0</v>
      </c>
      <c r="AF47" s="30">
        <v>0.0</v>
      </c>
      <c r="AG47" s="30">
        <v>0.0</v>
      </c>
      <c r="AH47" s="30">
        <v>0.0</v>
      </c>
      <c r="AI47" s="30">
        <v>0.0</v>
      </c>
      <c r="AJ47" s="30">
        <v>700.0</v>
      </c>
      <c r="AK47" s="30">
        <v>2139.0</v>
      </c>
      <c r="AL47" s="30">
        <v>1188.0</v>
      </c>
    </row>
    <row r="48" ht="14.25" customHeight="1">
      <c r="B48" s="30" t="s">
        <v>291</v>
      </c>
      <c r="J48" s="30">
        <v>0.0</v>
      </c>
      <c r="K48" s="30">
        <v>0.0</v>
      </c>
      <c r="L48" s="30">
        <v>0.0</v>
      </c>
      <c r="M48" s="30">
        <v>0.0</v>
      </c>
      <c r="N48" s="30">
        <v>0.0</v>
      </c>
      <c r="O48" s="30">
        <v>2505.0</v>
      </c>
      <c r="P48" s="30">
        <v>7945.0</v>
      </c>
      <c r="Q48" s="30">
        <v>5347.0</v>
      </c>
      <c r="R48" s="30">
        <v>0.0</v>
      </c>
      <c r="S48" s="30">
        <v>0.0</v>
      </c>
      <c r="T48" s="30">
        <v>0.0</v>
      </c>
      <c r="U48" s="30">
        <v>0.0</v>
      </c>
      <c r="V48" s="30">
        <v>0.0</v>
      </c>
      <c r="W48" s="30">
        <v>0.0</v>
      </c>
      <c r="X48" s="30">
        <v>0.0</v>
      </c>
      <c r="Y48" s="30">
        <v>0.0</v>
      </c>
      <c r="Z48" s="30">
        <v>0.0</v>
      </c>
      <c r="AA48" s="30">
        <v>2939.0</v>
      </c>
      <c r="AB48" s="30">
        <v>6941.0</v>
      </c>
      <c r="AC48" s="30">
        <v>19790.0</v>
      </c>
      <c r="AD48" s="30">
        <v>25736.0</v>
      </c>
      <c r="AE48" s="30">
        <v>11003.0</v>
      </c>
      <c r="AF48" s="30">
        <v>0.0</v>
      </c>
      <c r="AG48" s="30">
        <v>0.0</v>
      </c>
      <c r="AH48" s="30">
        <v>0.0</v>
      </c>
      <c r="AI48" s="30">
        <v>0.0</v>
      </c>
      <c r="AJ48" s="30">
        <v>0.0</v>
      </c>
      <c r="AK48" s="30">
        <v>0.0</v>
      </c>
      <c r="AL48" s="30">
        <v>0.0</v>
      </c>
    </row>
    <row r="49" ht="14.25" customHeight="1">
      <c r="B49" s="30" t="s">
        <v>292</v>
      </c>
      <c r="J49" s="30">
        <v>53759.0</v>
      </c>
      <c r="K49" s="30">
        <v>43836.0</v>
      </c>
      <c r="L49" s="30">
        <v>46112.0</v>
      </c>
      <c r="M49" s="30">
        <v>-53735.0</v>
      </c>
      <c r="N49" s="30">
        <v>56805.0</v>
      </c>
      <c r="O49" s="30">
        <v>11932.0</v>
      </c>
      <c r="P49" s="30">
        <v>8334.0</v>
      </c>
      <c r="Q49" s="30">
        <v>8854.0</v>
      </c>
      <c r="R49" s="30">
        <v>4515.0</v>
      </c>
      <c r="S49" s="30">
        <v>5134.0</v>
      </c>
      <c r="T49" s="30">
        <v>2164.0</v>
      </c>
      <c r="U49" s="30">
        <v>929.0</v>
      </c>
      <c r="V49" s="30">
        <v>656.0</v>
      </c>
      <c r="W49" s="30">
        <v>4350.0</v>
      </c>
      <c r="X49" s="30">
        <v>4727.0</v>
      </c>
      <c r="Y49" s="30">
        <v>32864.0</v>
      </c>
      <c r="Z49" s="30">
        <v>31904.0</v>
      </c>
      <c r="AA49" s="30">
        <v>37855.0</v>
      </c>
      <c r="AB49" s="30">
        <v>40282.0</v>
      </c>
      <c r="AC49" s="30">
        <v>35653.0</v>
      </c>
      <c r="AD49" s="30">
        <v>40687.0</v>
      </c>
      <c r="AE49" s="30">
        <v>48643.0</v>
      </c>
      <c r="AF49" s="30">
        <v>60453.0</v>
      </c>
      <c r="AG49" s="30">
        <v>77019.0</v>
      </c>
      <c r="AH49" s="30">
        <v>91419.0</v>
      </c>
      <c r="AI49" s="30">
        <v>95471.0</v>
      </c>
      <c r="AJ49" s="30">
        <v>97974.0</v>
      </c>
      <c r="AK49" s="30">
        <v>267358.0</v>
      </c>
      <c r="AL49" s="30">
        <v>127847.0</v>
      </c>
    </row>
    <row r="50" ht="14.25" customHeight="1">
      <c r="B50" s="30" t="s">
        <v>293</v>
      </c>
      <c r="J50" s="30">
        <v>0.0</v>
      </c>
      <c r="K50" s="30">
        <v>0.0</v>
      </c>
      <c r="L50" s="30">
        <v>0.0</v>
      </c>
      <c r="M50" s="30">
        <v>0.0</v>
      </c>
      <c r="N50" s="30">
        <v>0.0</v>
      </c>
      <c r="O50" s="30">
        <v>629.0</v>
      </c>
      <c r="P50" s="30">
        <v>3981.0</v>
      </c>
      <c r="Q50" s="30">
        <v>11513.0</v>
      </c>
      <c r="R50" s="30">
        <v>17790.0</v>
      </c>
      <c r="S50" s="30">
        <v>22764.0</v>
      </c>
      <c r="T50" s="30">
        <v>24430.0</v>
      </c>
      <c r="U50" s="30">
        <v>24410.0</v>
      </c>
      <c r="V50" s="30">
        <v>24449.0</v>
      </c>
      <c r="W50" s="30">
        <v>24463.0</v>
      </c>
      <c r="X50" s="30">
        <v>24484.0</v>
      </c>
      <c r="Y50" s="30">
        <v>0.0</v>
      </c>
      <c r="Z50" s="30">
        <v>0.0</v>
      </c>
      <c r="AA50" s="30">
        <v>0.0</v>
      </c>
      <c r="AB50" s="30">
        <v>0.0</v>
      </c>
      <c r="AC50" s="30">
        <v>0.0</v>
      </c>
      <c r="AD50" s="30">
        <v>0.0</v>
      </c>
      <c r="AE50" s="30">
        <v>0.0</v>
      </c>
      <c r="AF50" s="30">
        <v>0.0</v>
      </c>
      <c r="AG50" s="30">
        <v>0.0</v>
      </c>
      <c r="AH50" s="30">
        <v>0.0</v>
      </c>
      <c r="AI50" s="30">
        <v>0.0</v>
      </c>
      <c r="AJ50" s="30">
        <v>0.0</v>
      </c>
      <c r="AK50" s="30">
        <v>0.0</v>
      </c>
      <c r="AL50" s="30">
        <v>0.0</v>
      </c>
    </row>
    <row r="51" ht="14.25" customHeight="1">
      <c r="B51" s="30" t="s">
        <v>294</v>
      </c>
      <c r="J51" s="30">
        <v>0.0</v>
      </c>
      <c r="K51" s="30">
        <v>0.0</v>
      </c>
      <c r="L51" s="30">
        <v>0.0</v>
      </c>
      <c r="M51" s="30">
        <v>0.0</v>
      </c>
      <c r="N51" s="30">
        <v>0.0</v>
      </c>
      <c r="O51" s="30">
        <v>0.0</v>
      </c>
      <c r="P51" s="30">
        <v>0.0</v>
      </c>
      <c r="Q51" s="30">
        <v>0.0</v>
      </c>
      <c r="R51" s="30">
        <v>0.0</v>
      </c>
      <c r="S51" s="30">
        <v>0.0</v>
      </c>
      <c r="T51" s="30">
        <v>0.0</v>
      </c>
      <c r="U51" s="30">
        <v>0.0</v>
      </c>
      <c r="V51" s="30">
        <v>0.0</v>
      </c>
      <c r="W51" s="30">
        <v>0.0</v>
      </c>
      <c r="X51" s="30">
        <v>0.0</v>
      </c>
      <c r="Y51" s="30">
        <v>0.0</v>
      </c>
      <c r="Z51" s="30">
        <v>0.0</v>
      </c>
      <c r="AA51" s="30">
        <v>0.0</v>
      </c>
      <c r="AB51" s="30">
        <v>0.0</v>
      </c>
      <c r="AC51" s="30">
        <v>7691.0</v>
      </c>
      <c r="AD51" s="30">
        <v>2100.0</v>
      </c>
      <c r="AE51" s="30">
        <v>20.0</v>
      </c>
      <c r="AF51" s="30">
        <v>0.0</v>
      </c>
      <c r="AG51" s="30">
        <v>0.0</v>
      </c>
      <c r="AH51" s="30">
        <v>0.0</v>
      </c>
      <c r="AI51" s="30">
        <v>0.0</v>
      </c>
      <c r="AJ51" s="30">
        <v>0.0</v>
      </c>
      <c r="AK51" s="30">
        <v>0.0</v>
      </c>
      <c r="AL51" s="30">
        <v>0.0</v>
      </c>
    </row>
    <row r="52" ht="14.25" customHeight="1">
      <c r="B52" s="30" t="s">
        <v>295</v>
      </c>
      <c r="J52" s="30">
        <v>0.0</v>
      </c>
      <c r="K52" s="30">
        <v>0.0</v>
      </c>
      <c r="L52" s="30">
        <v>0.0</v>
      </c>
      <c r="M52" s="30">
        <v>0.0</v>
      </c>
      <c r="N52" s="30">
        <v>1517.0</v>
      </c>
      <c r="O52" s="30">
        <v>1847.0</v>
      </c>
      <c r="P52" s="30">
        <v>1500.0</v>
      </c>
      <c r="Q52" s="30">
        <v>1601.0</v>
      </c>
      <c r="R52" s="30">
        <v>1639.0</v>
      </c>
      <c r="S52" s="30">
        <v>1731.0</v>
      </c>
      <c r="T52" s="30">
        <v>1811.0</v>
      </c>
      <c r="U52" s="30">
        <v>2085.0</v>
      </c>
      <c r="V52" s="30">
        <v>2103.0</v>
      </c>
      <c r="W52" s="30">
        <v>2184.0</v>
      </c>
      <c r="X52" s="30">
        <v>2331.0</v>
      </c>
      <c r="Y52" s="30">
        <v>2343.0</v>
      </c>
      <c r="Z52" s="30">
        <v>4013.0</v>
      </c>
      <c r="AA52" s="30">
        <v>4361.0</v>
      </c>
      <c r="AB52" s="30">
        <v>4588.0</v>
      </c>
      <c r="AC52" s="30">
        <v>4555.0</v>
      </c>
      <c r="AD52" s="30">
        <v>4438.0</v>
      </c>
      <c r="AE52" s="30">
        <v>4941.0</v>
      </c>
      <c r="AF52" s="30">
        <v>5031.0</v>
      </c>
      <c r="AG52" s="30">
        <v>5127.0</v>
      </c>
      <c r="AH52" s="30">
        <v>4531.0</v>
      </c>
      <c r="AI52" s="30">
        <v>4043.0</v>
      </c>
      <c r="AJ52" s="30">
        <v>5432.0</v>
      </c>
      <c r="AK52" s="30">
        <v>5817.0</v>
      </c>
      <c r="AL52" s="30">
        <v>5889.0</v>
      </c>
    </row>
    <row r="53" ht="14.25" customHeight="1">
      <c r="B53" s="30" t="s">
        <v>113</v>
      </c>
      <c r="J53" s="30">
        <v>26582.0</v>
      </c>
      <c r="K53" s="30">
        <v>36642.0</v>
      </c>
      <c r="L53" s="30">
        <v>34914.0</v>
      </c>
      <c r="M53" s="30">
        <v>-28385.0</v>
      </c>
      <c r="N53" s="30">
        <v>31788.0</v>
      </c>
      <c r="O53" s="30">
        <v>35377.0</v>
      </c>
      <c r="P53" s="30">
        <v>34811.0</v>
      </c>
      <c r="Q53" s="30">
        <v>24967.0</v>
      </c>
      <c r="R53" s="30">
        <v>21521.0</v>
      </c>
      <c r="S53" s="30">
        <v>21683.0</v>
      </c>
      <c r="T53" s="30">
        <v>21661.0</v>
      </c>
      <c r="U53" s="30">
        <v>17778.0</v>
      </c>
      <c r="V53" s="30">
        <v>23144.0</v>
      </c>
      <c r="W53" s="30">
        <v>33303.0</v>
      </c>
      <c r="X53" s="30">
        <v>41306.0</v>
      </c>
      <c r="Y53" s="30">
        <v>32982.0</v>
      </c>
      <c r="Z53" s="30">
        <v>40932.0</v>
      </c>
      <c r="AA53" s="30">
        <v>55515.0</v>
      </c>
      <c r="AB53" s="30">
        <v>71069.0</v>
      </c>
      <c r="AC53" s="30">
        <v>69116.0</v>
      </c>
      <c r="AD53" s="30">
        <v>74887.0</v>
      </c>
      <c r="AE53" s="30">
        <v>82899.0</v>
      </c>
      <c r="AF53" s="30">
        <v>97465.0</v>
      </c>
      <c r="AG53" s="30">
        <v>78670.0</v>
      </c>
      <c r="AH53" s="30">
        <v>75311.0</v>
      </c>
      <c r="AI53" s="30">
        <v>77802.0</v>
      </c>
      <c r="AJ53" s="30">
        <v>119224.0</v>
      </c>
      <c r="AK53" s="30">
        <v>100936.0</v>
      </c>
      <c r="AL53" s="30">
        <v>110759.0</v>
      </c>
    </row>
    <row r="54" ht="14.25" customHeight="1">
      <c r="B54" s="30" t="s">
        <v>296</v>
      </c>
      <c r="J54" s="30">
        <v>901.0</v>
      </c>
      <c r="K54" s="30">
        <v>1010.0</v>
      </c>
      <c r="L54" s="30">
        <v>999.0</v>
      </c>
      <c r="M54" s="30">
        <v>-1685.0</v>
      </c>
      <c r="N54" s="30">
        <v>1736.0</v>
      </c>
      <c r="O54" s="30">
        <v>1411.0</v>
      </c>
      <c r="P54" s="30">
        <v>1622.0</v>
      </c>
      <c r="Q54" s="30">
        <v>1667.0</v>
      </c>
      <c r="R54" s="30">
        <v>1546.0</v>
      </c>
      <c r="S54" s="30">
        <v>2815.0</v>
      </c>
      <c r="T54" s="30">
        <v>1164.0</v>
      </c>
      <c r="U54" s="30">
        <v>1417.0</v>
      </c>
      <c r="V54" s="30">
        <v>1585.0</v>
      </c>
      <c r="W54" s="30">
        <v>1858.0</v>
      </c>
      <c r="X54" s="30">
        <v>1935.0</v>
      </c>
      <c r="Y54" s="30">
        <v>1850.0</v>
      </c>
      <c r="Z54" s="30">
        <v>3843.0</v>
      </c>
      <c r="AA54" s="30">
        <v>4778.0</v>
      </c>
      <c r="AB54" s="30">
        <v>7171.0</v>
      </c>
      <c r="AC54" s="30">
        <v>7608.0</v>
      </c>
      <c r="AD54" s="30">
        <v>5559.0</v>
      </c>
      <c r="AE54" s="30">
        <v>5981.0</v>
      </c>
      <c r="AF54" s="30">
        <v>4340.0</v>
      </c>
      <c r="AG54" s="30">
        <v>6743.0</v>
      </c>
      <c r="AH54" s="30">
        <v>0.0</v>
      </c>
      <c r="AI54" s="30">
        <v>0.0</v>
      </c>
      <c r="AJ54" s="30">
        <v>0.0</v>
      </c>
      <c r="AK54" s="30">
        <v>0.0</v>
      </c>
      <c r="AL54" s="30">
        <v>0.0</v>
      </c>
    </row>
    <row r="55" ht="14.25" customHeight="1">
      <c r="B55" s="30" t="s">
        <v>90</v>
      </c>
      <c r="J55" s="30">
        <v>3617.0</v>
      </c>
      <c r="K55" s="30">
        <v>2959.0</v>
      </c>
      <c r="L55" s="30">
        <v>2501.0</v>
      </c>
      <c r="M55" s="30">
        <v>-2596.0</v>
      </c>
      <c r="N55" s="30">
        <v>3007.0</v>
      </c>
      <c r="O55" s="30">
        <v>3142.0</v>
      </c>
      <c r="P55" s="30">
        <v>2844.0</v>
      </c>
      <c r="Q55" s="30">
        <v>2948.0</v>
      </c>
      <c r="R55" s="30">
        <v>3039.0</v>
      </c>
      <c r="S55" s="30">
        <v>3857.0</v>
      </c>
      <c r="T55" s="30">
        <v>2942.0</v>
      </c>
      <c r="U55" s="30">
        <v>2904.0</v>
      </c>
      <c r="V55" s="30">
        <v>2835.0</v>
      </c>
      <c r="W55" s="30">
        <v>2895.0</v>
      </c>
      <c r="X55" s="30">
        <v>3043.0</v>
      </c>
      <c r="Y55" s="30">
        <v>2730.0</v>
      </c>
      <c r="Z55" s="30">
        <v>4000.0</v>
      </c>
      <c r="AA55" s="30">
        <v>7863.0</v>
      </c>
      <c r="AB55" s="30">
        <v>10740.0</v>
      </c>
      <c r="AC55" s="30">
        <v>8608.0</v>
      </c>
      <c r="AD55" s="30">
        <v>9305.0</v>
      </c>
      <c r="AE55" s="30">
        <v>9312.0</v>
      </c>
      <c r="AF55" s="30">
        <v>9594.0</v>
      </c>
      <c r="AG55" s="30">
        <v>10264.0</v>
      </c>
      <c r="AH55" s="30">
        <v>9752.0</v>
      </c>
      <c r="AI55" s="30">
        <v>13350.0</v>
      </c>
      <c r="AJ55" s="30">
        <v>27543.0</v>
      </c>
      <c r="AK55" s="30">
        <v>16443.0</v>
      </c>
      <c r="AL55" s="30">
        <v>14651.0</v>
      </c>
    </row>
    <row r="56" ht="14.25" customHeight="1">
      <c r="B56" s="30" t="s">
        <v>297</v>
      </c>
      <c r="J56" s="30">
        <v>1996.0</v>
      </c>
      <c r="K56" s="30">
        <v>1996.0</v>
      </c>
      <c r="L56" s="30">
        <v>1996.0</v>
      </c>
      <c r="M56" s="30">
        <v>-1996.0</v>
      </c>
      <c r="N56" s="30">
        <v>1692.0</v>
      </c>
      <c r="O56" s="30">
        <v>2111.0</v>
      </c>
      <c r="P56" s="30">
        <v>1808.0</v>
      </c>
      <c r="Q56" s="30">
        <v>1808.0</v>
      </c>
      <c r="R56" s="30">
        <v>0.0</v>
      </c>
      <c r="S56" s="30">
        <v>0.0</v>
      </c>
      <c r="T56" s="30">
        <v>0.0</v>
      </c>
      <c r="U56" s="30">
        <v>0.0</v>
      </c>
      <c r="V56" s="30">
        <v>0.0</v>
      </c>
      <c r="W56" s="30">
        <v>0.0</v>
      </c>
      <c r="X56" s="30">
        <v>0.0</v>
      </c>
      <c r="Y56" s="30">
        <v>3443.0</v>
      </c>
      <c r="Z56" s="30">
        <v>1507.0</v>
      </c>
      <c r="AA56" s="30">
        <v>7.000000000000001E-5</v>
      </c>
      <c r="AB56" s="30">
        <v>7.000000000000001E-5</v>
      </c>
      <c r="AC56" s="30">
        <v>41386.0</v>
      </c>
      <c r="AD56" s="30">
        <v>41386.0</v>
      </c>
      <c r="AE56" s="30">
        <v>0.0</v>
      </c>
      <c r="AF56" s="30">
        <v>1000.0</v>
      </c>
      <c r="AG56" s="30">
        <v>11756.0</v>
      </c>
      <c r="AH56" s="30">
        <v>11756.0</v>
      </c>
      <c r="AI56" s="30">
        <v>4400.0</v>
      </c>
      <c r="AJ56" s="30">
        <v>0.0</v>
      </c>
      <c r="AK56" s="30">
        <v>13590.0</v>
      </c>
      <c r="AL56" s="30">
        <v>13590.0</v>
      </c>
    </row>
    <row r="57" ht="14.25" customHeight="1">
      <c r="B57" s="30" t="s">
        <v>298</v>
      </c>
      <c r="J57" s="30">
        <v>5860.0</v>
      </c>
      <c r="K57" s="30">
        <v>983.0</v>
      </c>
      <c r="L57" s="30">
        <v>6526.0</v>
      </c>
      <c r="M57" s="30">
        <v>-6525.0</v>
      </c>
      <c r="N57" s="30">
        <v>6543.0</v>
      </c>
      <c r="O57" s="30">
        <v>6585.0</v>
      </c>
      <c r="P57" s="30">
        <v>8139.0</v>
      </c>
      <c r="Q57" s="30">
        <v>7864.0</v>
      </c>
      <c r="R57" s="30">
        <v>4087.0</v>
      </c>
      <c r="S57" s="30">
        <v>0.0</v>
      </c>
      <c r="T57" s="30">
        <v>3312.0</v>
      </c>
      <c r="U57" s="30">
        <v>1097.0</v>
      </c>
      <c r="V57" s="30">
        <v>1282.0</v>
      </c>
      <c r="W57" s="30">
        <v>1454.0</v>
      </c>
      <c r="X57" s="30">
        <v>1961.0</v>
      </c>
      <c r="Y57" s="30">
        <v>1017.0</v>
      </c>
      <c r="Z57" s="30">
        <v>8303.0</v>
      </c>
      <c r="AA57" s="30">
        <v>14815.0</v>
      </c>
      <c r="AB57" s="30">
        <v>9992.0</v>
      </c>
      <c r="AC57" s="30">
        <v>14473.0</v>
      </c>
      <c r="AD57" s="30">
        <v>16752.0</v>
      </c>
      <c r="AE57" s="30">
        <v>15241.0</v>
      </c>
      <c r="AF57" s="30">
        <v>17093.0</v>
      </c>
      <c r="AG57" s="30">
        <v>16298.0</v>
      </c>
      <c r="AH57" s="30">
        <v>14961.0</v>
      </c>
      <c r="AI57" s="30">
        <v>24710.0</v>
      </c>
      <c r="AJ57" s="30">
        <v>60100.0</v>
      </c>
      <c r="AK57" s="30">
        <v>67038.0</v>
      </c>
      <c r="AL57" s="30">
        <v>62990.0</v>
      </c>
    </row>
    <row r="58" ht="14.25" customHeight="1">
      <c r="B58" s="30" t="s">
        <v>299</v>
      </c>
      <c r="J58" s="30">
        <v>16.0</v>
      </c>
      <c r="K58" s="30">
        <v>0.0</v>
      </c>
      <c r="L58" s="30">
        <v>0.0</v>
      </c>
      <c r="M58" s="30">
        <v>0.0</v>
      </c>
      <c r="N58" s="30">
        <v>0.0</v>
      </c>
      <c r="O58" s="30">
        <v>0.0</v>
      </c>
      <c r="P58" s="30">
        <v>0.0</v>
      </c>
      <c r="Q58" s="30">
        <v>0.0</v>
      </c>
      <c r="R58" s="30">
        <v>0.0</v>
      </c>
      <c r="S58" s="30">
        <v>0.0</v>
      </c>
      <c r="T58" s="30">
        <v>0.0</v>
      </c>
      <c r="U58" s="30">
        <v>0.0</v>
      </c>
      <c r="V58" s="30">
        <v>0.0</v>
      </c>
      <c r="W58" s="30">
        <v>0.0</v>
      </c>
      <c r="X58" s="30">
        <v>0.0</v>
      </c>
      <c r="Y58" s="30">
        <v>450.0</v>
      </c>
      <c r="Z58" s="30">
        <v>219.0</v>
      </c>
      <c r="AA58" s="30">
        <v>0.0</v>
      </c>
      <c r="AB58" s="30">
        <v>0.0</v>
      </c>
      <c r="AC58" s="30">
        <v>61.0</v>
      </c>
      <c r="AD58" s="30">
        <v>0.0</v>
      </c>
      <c r="AE58" s="30">
        <v>0.0</v>
      </c>
      <c r="AF58" s="30">
        <v>0.0</v>
      </c>
      <c r="AG58" s="30">
        <v>1858.0</v>
      </c>
      <c r="AH58" s="30">
        <v>2454.0</v>
      </c>
      <c r="AI58" s="30">
        <v>1775.0</v>
      </c>
      <c r="AJ58" s="30">
        <v>699.0</v>
      </c>
      <c r="AK58" s="30">
        <v>0.0</v>
      </c>
      <c r="AL58" s="30">
        <v>0.0</v>
      </c>
    </row>
    <row r="59" ht="14.25" customHeight="1">
      <c r="B59" s="30" t="s">
        <v>300</v>
      </c>
      <c r="J59" s="30">
        <v>0.0</v>
      </c>
      <c r="K59" s="30">
        <v>0.0</v>
      </c>
      <c r="L59" s="30">
        <v>0.0</v>
      </c>
      <c r="M59" s="30">
        <v>0.0</v>
      </c>
      <c r="N59" s="30">
        <v>0.0</v>
      </c>
      <c r="O59" s="30">
        <v>0.0</v>
      </c>
      <c r="P59" s="30">
        <v>0.0</v>
      </c>
      <c r="Q59" s="30">
        <v>0.0</v>
      </c>
      <c r="R59" s="30">
        <v>0.0</v>
      </c>
      <c r="S59" s="30">
        <v>73.0</v>
      </c>
      <c r="T59" s="30">
        <v>0.0</v>
      </c>
      <c r="U59" s="30">
        <v>0.0</v>
      </c>
      <c r="V59" s="30">
        <v>0.0</v>
      </c>
      <c r="W59" s="30">
        <v>0.0</v>
      </c>
      <c r="X59" s="30">
        <v>0.0</v>
      </c>
      <c r="Y59" s="30">
        <v>0.0</v>
      </c>
      <c r="Z59" s="30">
        <v>0.0</v>
      </c>
      <c r="AA59" s="30">
        <v>0.0</v>
      </c>
      <c r="AB59" s="30">
        <v>0.0</v>
      </c>
      <c r="AC59" s="30">
        <v>0.0</v>
      </c>
      <c r="AD59" s="30">
        <v>0.0</v>
      </c>
      <c r="AE59" s="30">
        <v>0.0</v>
      </c>
      <c r="AF59" s="30">
        <v>0.0</v>
      </c>
      <c r="AG59" s="30">
        <v>0.0</v>
      </c>
      <c r="AH59" s="30">
        <v>0.0</v>
      </c>
      <c r="AI59" s="30">
        <v>0.0</v>
      </c>
      <c r="AJ59" s="30">
        <v>0.0</v>
      </c>
      <c r="AK59" s="30">
        <v>0.0</v>
      </c>
      <c r="AL59" s="30">
        <v>0.0</v>
      </c>
    </row>
    <row r="60" ht="14.25" customHeight="1">
      <c r="B60" s="30" t="s">
        <v>301</v>
      </c>
      <c r="J60" s="30">
        <v>0.0</v>
      </c>
      <c r="K60" s="30">
        <v>1014.0</v>
      </c>
      <c r="L60" s="30">
        <v>2603.0</v>
      </c>
      <c r="M60" s="30">
        <v>-2676.0</v>
      </c>
      <c r="N60" s="30">
        <v>7462.0</v>
      </c>
      <c r="O60" s="30">
        <v>9325.0</v>
      </c>
      <c r="P60" s="30">
        <v>9507.0</v>
      </c>
      <c r="Q60" s="30">
        <v>9613.0</v>
      </c>
      <c r="R60" s="30">
        <v>0.0</v>
      </c>
      <c r="S60" s="30">
        <v>0.0</v>
      </c>
      <c r="T60" s="30">
        <v>0.0</v>
      </c>
      <c r="U60" s="30">
        <v>0.0</v>
      </c>
      <c r="V60" s="30">
        <v>0.0</v>
      </c>
      <c r="W60" s="30">
        <v>0.0</v>
      </c>
      <c r="X60" s="30">
        <v>0.0</v>
      </c>
      <c r="Y60" s="30">
        <v>0.0</v>
      </c>
      <c r="Z60" s="30">
        <v>0.0</v>
      </c>
      <c r="AA60" s="30">
        <v>0.0</v>
      </c>
      <c r="AB60" s="30">
        <v>0.0</v>
      </c>
      <c r="AC60" s="30">
        <v>0.0</v>
      </c>
      <c r="AD60" s="30">
        <v>0.0</v>
      </c>
      <c r="AE60" s="30">
        <v>0.0</v>
      </c>
      <c r="AF60" s="30">
        <v>0.0</v>
      </c>
      <c r="AG60" s="30">
        <v>0.0</v>
      </c>
      <c r="AH60" s="30">
        <v>0.0</v>
      </c>
      <c r="AI60" s="30">
        <v>0.0</v>
      </c>
      <c r="AJ60" s="30">
        <v>0.0</v>
      </c>
      <c r="AK60" s="30">
        <v>0.0</v>
      </c>
      <c r="AL60" s="30">
        <v>0.0</v>
      </c>
    </row>
    <row r="61" ht="14.25" customHeight="1">
      <c r="B61" s="30" t="s">
        <v>302</v>
      </c>
      <c r="J61" s="30">
        <v>1683.0</v>
      </c>
      <c r="K61" s="30">
        <v>2666.0</v>
      </c>
      <c r="L61" s="30">
        <v>2187.0</v>
      </c>
      <c r="M61" s="30">
        <v>-3173.0</v>
      </c>
      <c r="N61" s="30">
        <v>5147.0</v>
      </c>
      <c r="O61" s="30">
        <v>3147.0</v>
      </c>
      <c r="P61" s="30">
        <v>5506.0</v>
      </c>
      <c r="Q61" s="30">
        <v>7229.0</v>
      </c>
      <c r="R61" s="30">
        <v>6923.0</v>
      </c>
      <c r="S61" s="30">
        <v>4452.0</v>
      </c>
      <c r="T61" s="30">
        <v>3469.0</v>
      </c>
      <c r="U61" s="30">
        <v>4255.0</v>
      </c>
      <c r="V61" s="30">
        <v>5871.0</v>
      </c>
      <c r="W61" s="30">
        <v>8403.0</v>
      </c>
      <c r="X61" s="30">
        <v>10805.0</v>
      </c>
      <c r="Y61" s="30">
        <v>9773.0</v>
      </c>
      <c r="Z61" s="30">
        <v>12426.0</v>
      </c>
      <c r="AA61" s="30">
        <v>12647.0</v>
      </c>
      <c r="AB61" s="30">
        <v>13175.0</v>
      </c>
      <c r="AC61" s="30">
        <v>15624.0</v>
      </c>
      <c r="AD61" s="30">
        <v>19703.0</v>
      </c>
      <c r="AE61" s="30">
        <v>20115.0</v>
      </c>
      <c r="AF61" s="30">
        <v>22102.0</v>
      </c>
      <c r="AG61" s="30">
        <v>29299.0</v>
      </c>
      <c r="AH61" s="30">
        <v>26048.0</v>
      </c>
      <c r="AI61" s="30">
        <v>20826.0</v>
      </c>
      <c r="AJ61" s="30">
        <v>23733.0</v>
      </c>
      <c r="AK61" s="30">
        <v>29883.0</v>
      </c>
      <c r="AL61" s="30">
        <v>29821.0</v>
      </c>
    </row>
    <row r="62" ht="14.25" customHeight="1">
      <c r="B62" s="30" t="s">
        <v>303</v>
      </c>
      <c r="J62" s="30">
        <v>0.0</v>
      </c>
      <c r="K62" s="30">
        <v>0.0</v>
      </c>
      <c r="L62" s="30">
        <v>0.0</v>
      </c>
      <c r="M62" s="30">
        <v>0.0</v>
      </c>
      <c r="N62" s="30">
        <v>0.0</v>
      </c>
      <c r="O62" s="30">
        <v>0.0</v>
      </c>
      <c r="P62" s="30">
        <v>0.0</v>
      </c>
      <c r="Q62" s="30">
        <v>0.0</v>
      </c>
      <c r="R62" s="30">
        <v>0.0</v>
      </c>
      <c r="S62" s="30">
        <v>0.0</v>
      </c>
      <c r="T62" s="30">
        <v>0.0</v>
      </c>
      <c r="U62" s="30">
        <v>0.0</v>
      </c>
      <c r="V62" s="30">
        <v>0.0</v>
      </c>
      <c r="W62" s="30">
        <v>0.0</v>
      </c>
      <c r="X62" s="30">
        <v>0.0</v>
      </c>
      <c r="Y62" s="30">
        <v>0.0</v>
      </c>
      <c r="Z62" s="30">
        <v>0.0</v>
      </c>
      <c r="AA62" s="30">
        <v>0.0</v>
      </c>
      <c r="AB62" s="30">
        <v>0.0</v>
      </c>
      <c r="AC62" s="30">
        <v>0.0</v>
      </c>
      <c r="AD62" s="30">
        <v>0.0</v>
      </c>
      <c r="AE62" s="30">
        <v>0.0</v>
      </c>
      <c r="AF62" s="30">
        <v>0.0</v>
      </c>
      <c r="AG62" s="30">
        <v>0.0</v>
      </c>
      <c r="AH62" s="30">
        <v>0.0</v>
      </c>
      <c r="AI62" s="30">
        <v>0.0</v>
      </c>
      <c r="AJ62" s="30">
        <v>0.0</v>
      </c>
      <c r="AK62" s="30">
        <v>0.0</v>
      </c>
      <c r="AL62" s="30">
        <v>0.0</v>
      </c>
    </row>
    <row r="63" ht="14.25" customHeight="1">
      <c r="B63" s="30" t="s">
        <v>304</v>
      </c>
      <c r="J63" s="30">
        <v>573.0</v>
      </c>
      <c r="K63" s="30">
        <v>780.0</v>
      </c>
      <c r="L63" s="30">
        <v>448.0</v>
      </c>
      <c r="M63" s="30">
        <v>-793.0</v>
      </c>
      <c r="N63" s="30">
        <v>482.0</v>
      </c>
      <c r="O63" s="30">
        <v>1727.0</v>
      </c>
      <c r="P63" s="30">
        <v>2491.0</v>
      </c>
      <c r="Q63" s="30">
        <v>2008.0</v>
      </c>
      <c r="R63" s="30">
        <v>303.0</v>
      </c>
      <c r="S63" s="30">
        <v>265.0</v>
      </c>
      <c r="T63" s="30">
        <v>224.0</v>
      </c>
      <c r="U63" s="30">
        <v>255.0</v>
      </c>
      <c r="V63" s="30">
        <v>184.0</v>
      </c>
      <c r="W63" s="30">
        <v>209.0</v>
      </c>
      <c r="X63" s="30">
        <v>166.0</v>
      </c>
      <c r="Y63" s="30">
        <v>1659.0</v>
      </c>
      <c r="Z63" s="30">
        <v>1800.0</v>
      </c>
      <c r="AA63" s="30">
        <v>3374.0</v>
      </c>
      <c r="AB63" s="30">
        <v>9087.0</v>
      </c>
      <c r="AC63" s="30">
        <v>1174.0</v>
      </c>
      <c r="AD63" s="30">
        <v>12945.0</v>
      </c>
      <c r="AE63" s="30">
        <v>6876.0</v>
      </c>
      <c r="AF63" s="30">
        <v>1270.0</v>
      </c>
      <c r="AG63" s="30">
        <v>1461.0</v>
      </c>
      <c r="AH63" s="30">
        <v>751.0</v>
      </c>
      <c r="AI63" s="30">
        <v>1145.0</v>
      </c>
      <c r="AJ63" s="30">
        <v>1173.0</v>
      </c>
      <c r="AK63" s="30">
        <v>1174.0</v>
      </c>
      <c r="AL63" s="30">
        <v>2132.0</v>
      </c>
    </row>
    <row r="64" ht="14.25" customHeight="1">
      <c r="J64" s="30">
        <v>106524.0</v>
      </c>
      <c r="K64" s="30">
        <v>101471.0</v>
      </c>
      <c r="L64" s="30">
        <v>108174.0</v>
      </c>
      <c r="M64" s="30">
        <v>-114810.0</v>
      </c>
      <c r="N64" s="30">
        <v>131132.0</v>
      </c>
      <c r="O64" s="30">
        <v>92451.0</v>
      </c>
      <c r="P64" s="30">
        <v>101252.0</v>
      </c>
      <c r="Q64" s="30">
        <v>95180.0</v>
      </c>
      <c r="R64" s="30">
        <v>70044.0</v>
      </c>
      <c r="S64" s="30">
        <v>69380.0</v>
      </c>
      <c r="T64" s="30">
        <v>68301.0</v>
      </c>
      <c r="U64" s="30">
        <v>66608.0</v>
      </c>
      <c r="V64" s="30">
        <v>74266.0</v>
      </c>
      <c r="W64" s="30">
        <v>91576.0</v>
      </c>
      <c r="X64" s="30">
        <v>104317.0</v>
      </c>
      <c r="Y64" s="30">
        <v>106361.0</v>
      </c>
      <c r="Z64" s="30">
        <v>127042.00001</v>
      </c>
      <c r="AA64" s="30">
        <v>170646.00002</v>
      </c>
      <c r="AB64" s="30">
        <v>202843.00011000002</v>
      </c>
      <c r="AC64" s="30">
        <v>259122.00006</v>
      </c>
      <c r="AD64" s="30">
        <v>289881.0</v>
      </c>
      <c r="AE64" s="30">
        <v>238720.0</v>
      </c>
      <c r="AF64" s="30">
        <v>247400.0</v>
      </c>
      <c r="AG64" s="30">
        <v>277072.0</v>
      </c>
      <c r="AH64" s="30">
        <v>257940.0</v>
      </c>
      <c r="AI64" s="30">
        <v>264726.0</v>
      </c>
      <c r="AJ64" s="30">
        <f t="shared" ref="AJ64:AK64" si="5">SUM(AJ46:AJ63)</f>
        <v>395917</v>
      </c>
      <c r="AK64" s="30">
        <f t="shared" si="5"/>
        <v>546806</v>
      </c>
      <c r="AL64" s="30">
        <v>406194.0</v>
      </c>
    </row>
    <row r="65" ht="14.25" customHeight="1">
      <c r="B65" s="30" t="s">
        <v>280</v>
      </c>
      <c r="K65" s="30">
        <v>0.0</v>
      </c>
      <c r="L65" s="30">
        <v>0.0</v>
      </c>
      <c r="M65" s="30">
        <v>0.0</v>
      </c>
      <c r="N65" s="30">
        <v>0.0</v>
      </c>
      <c r="O65" s="30">
        <v>0.0</v>
      </c>
      <c r="P65" s="30">
        <v>0.0</v>
      </c>
      <c r="Q65" s="30">
        <v>0.0</v>
      </c>
      <c r="R65" s="30">
        <v>0.0</v>
      </c>
      <c r="S65" s="30">
        <v>0.0</v>
      </c>
      <c r="T65" s="30">
        <v>0.0</v>
      </c>
      <c r="U65" s="30">
        <v>0.0</v>
      </c>
      <c r="V65" s="30">
        <v>0.0</v>
      </c>
      <c r="W65" s="30">
        <v>0.0</v>
      </c>
      <c r="X65" s="30">
        <v>0.0</v>
      </c>
      <c r="Y65" s="30">
        <v>0.0</v>
      </c>
      <c r="Z65" s="30">
        <v>0.0</v>
      </c>
      <c r="AA65" s="30">
        <v>0.0</v>
      </c>
      <c r="AB65" s="30">
        <v>0.0</v>
      </c>
      <c r="AC65" s="30">
        <v>0.0</v>
      </c>
      <c r="AD65" s="30">
        <v>0.0</v>
      </c>
      <c r="AE65" s="30">
        <v>0.0</v>
      </c>
      <c r="AF65" s="30">
        <v>0.0</v>
      </c>
      <c r="AG65" s="30">
        <v>0.0</v>
      </c>
      <c r="AH65" s="30">
        <v>0.0</v>
      </c>
      <c r="AI65" s="30">
        <v>0.0</v>
      </c>
    </row>
    <row r="66" ht="14.25" customHeight="1">
      <c r="B66" s="30" t="s">
        <v>112</v>
      </c>
      <c r="J66" s="30">
        <v>0.0</v>
      </c>
      <c r="K66" s="30">
        <v>0.0</v>
      </c>
      <c r="L66" s="30">
        <v>0.0</v>
      </c>
      <c r="M66" s="30">
        <v>0.0</v>
      </c>
      <c r="N66" s="30">
        <v>0.0</v>
      </c>
      <c r="O66" s="30">
        <v>0.0</v>
      </c>
      <c r="P66" s="30">
        <v>144.0</v>
      </c>
      <c r="Q66" s="30">
        <v>144.0</v>
      </c>
      <c r="R66" s="30">
        <v>144.0</v>
      </c>
      <c r="S66" s="30">
        <v>144.0</v>
      </c>
      <c r="T66" s="30">
        <v>144.0</v>
      </c>
      <c r="U66" s="30">
        <v>0.0</v>
      </c>
      <c r="V66" s="30">
        <v>0.0</v>
      </c>
      <c r="W66" s="30">
        <v>0.0</v>
      </c>
      <c r="X66" s="30">
        <v>0.0</v>
      </c>
      <c r="Y66" s="30">
        <v>0.0</v>
      </c>
      <c r="Z66" s="30">
        <v>0.0</v>
      </c>
      <c r="AA66" s="30">
        <v>0.0</v>
      </c>
      <c r="AB66" s="30">
        <v>0.0</v>
      </c>
      <c r="AC66" s="30">
        <v>0.0</v>
      </c>
      <c r="AD66" s="30">
        <v>0.0</v>
      </c>
      <c r="AE66" s="30">
        <v>0.0</v>
      </c>
      <c r="AF66" s="30">
        <v>16.0</v>
      </c>
      <c r="AG66" s="30">
        <v>0.0</v>
      </c>
      <c r="AH66" s="30">
        <v>0.0</v>
      </c>
      <c r="AI66" s="30">
        <v>0.0</v>
      </c>
      <c r="AJ66" s="30">
        <v>0.0</v>
      </c>
      <c r="AK66" s="30">
        <v>0.0</v>
      </c>
    </row>
    <row r="67" ht="14.25" customHeight="1">
      <c r="B67" s="30" t="s">
        <v>305</v>
      </c>
      <c r="J67" s="30">
        <v>13952.0</v>
      </c>
      <c r="K67" s="30">
        <v>16906.0</v>
      </c>
      <c r="L67" s="30">
        <v>16338.0</v>
      </c>
      <c r="M67" s="30">
        <v>-13902.0</v>
      </c>
      <c r="N67" s="30">
        <v>10296.0</v>
      </c>
      <c r="O67" s="30">
        <v>5713.0</v>
      </c>
      <c r="P67" s="30">
        <v>4419.0</v>
      </c>
      <c r="Q67" s="30">
        <v>3226.0</v>
      </c>
      <c r="R67" s="30">
        <v>1367.0</v>
      </c>
      <c r="S67" s="30">
        <v>1321.0</v>
      </c>
      <c r="T67" s="30">
        <v>1307.0</v>
      </c>
      <c r="U67" s="30">
        <v>1149.0</v>
      </c>
      <c r="V67" s="30">
        <v>985.0</v>
      </c>
      <c r="W67" s="30">
        <v>820.0</v>
      </c>
      <c r="X67" s="30">
        <v>652.0</v>
      </c>
      <c r="Y67" s="30">
        <v>27476.0</v>
      </c>
      <c r="Z67" s="30">
        <v>26195.0</v>
      </c>
      <c r="AA67" s="30">
        <v>25503.0</v>
      </c>
      <c r="AB67" s="30">
        <v>76085.0</v>
      </c>
      <c r="AC67" s="30">
        <v>100695.0</v>
      </c>
      <c r="AD67" s="30">
        <v>197867.0</v>
      </c>
      <c r="AE67" s="30">
        <v>205869.0</v>
      </c>
      <c r="AF67" s="30">
        <v>190960.0</v>
      </c>
      <c r="AG67" s="30">
        <v>271542.0</v>
      </c>
      <c r="AH67" s="30">
        <v>245981.0</v>
      </c>
      <c r="AI67" s="30">
        <v>284092.0</v>
      </c>
      <c r="AJ67" s="30">
        <v>330276.0</v>
      </c>
      <c r="AK67" s="30">
        <v>196225.0</v>
      </c>
      <c r="AL67" s="30">
        <v>519515.0</v>
      </c>
    </row>
    <row r="68" ht="14.25" customHeight="1">
      <c r="B68" s="30" t="s">
        <v>293</v>
      </c>
      <c r="J68" s="30">
        <v>0.0</v>
      </c>
      <c r="K68" s="30">
        <v>0.0</v>
      </c>
      <c r="L68" s="30">
        <v>0.0</v>
      </c>
      <c r="M68" s="30">
        <v>0.0</v>
      </c>
      <c r="N68" s="30">
        <v>0.0</v>
      </c>
      <c r="O68" s="30">
        <v>64869.0</v>
      </c>
      <c r="P68" s="30">
        <v>61654.0</v>
      </c>
      <c r="Q68" s="30">
        <v>54218.0</v>
      </c>
      <c r="R68" s="30">
        <v>48084.0</v>
      </c>
      <c r="S68" s="30">
        <v>41873.0</v>
      </c>
      <c r="T68" s="30">
        <v>35769.0</v>
      </c>
      <c r="U68" s="30">
        <v>29622.0</v>
      </c>
      <c r="V68" s="30">
        <v>23558.0</v>
      </c>
      <c r="W68" s="30">
        <v>17456.0</v>
      </c>
      <c r="X68" s="30">
        <v>11350.0</v>
      </c>
      <c r="Y68" s="30">
        <v>0.0</v>
      </c>
      <c r="Z68" s="30">
        <v>0.0</v>
      </c>
      <c r="AA68" s="30">
        <v>0.0</v>
      </c>
      <c r="AB68" s="30">
        <v>0.0</v>
      </c>
      <c r="AC68" s="30">
        <v>0.0</v>
      </c>
      <c r="AD68" s="30">
        <v>0.0</v>
      </c>
      <c r="AE68" s="30">
        <v>0.0</v>
      </c>
      <c r="AF68" s="30">
        <v>0.0</v>
      </c>
      <c r="AG68" s="30">
        <v>0.0</v>
      </c>
      <c r="AH68" s="30">
        <v>0.0</v>
      </c>
      <c r="AI68" s="30">
        <v>0.0</v>
      </c>
      <c r="AJ68" s="30">
        <v>0.0</v>
      </c>
      <c r="AK68" s="30">
        <v>0.0</v>
      </c>
      <c r="AL68" s="30">
        <v>0.0</v>
      </c>
    </row>
    <row r="69" ht="14.25" customHeight="1">
      <c r="B69" s="30" t="s">
        <v>295</v>
      </c>
      <c r="J69" s="30">
        <v>0.0</v>
      </c>
      <c r="K69" s="30">
        <v>0.0</v>
      </c>
      <c r="L69" s="30">
        <v>0.0</v>
      </c>
      <c r="M69" s="30">
        <v>0.0</v>
      </c>
      <c r="N69" s="30">
        <v>7097.0</v>
      </c>
      <c r="O69" s="30">
        <v>7250.0</v>
      </c>
      <c r="P69" s="30">
        <v>6828.0</v>
      </c>
      <c r="Q69" s="30">
        <v>6618.0</v>
      </c>
      <c r="R69" s="30">
        <v>6240.0</v>
      </c>
      <c r="S69" s="30">
        <v>5853.0</v>
      </c>
      <c r="T69" s="30">
        <v>5714.0</v>
      </c>
      <c r="U69" s="30">
        <v>5944.0</v>
      </c>
      <c r="V69" s="30">
        <v>5464.0</v>
      </c>
      <c r="W69" s="30">
        <v>5000.0</v>
      </c>
      <c r="X69" s="30">
        <v>4925.0</v>
      </c>
      <c r="Y69" s="30">
        <v>4371.0</v>
      </c>
      <c r="Z69" s="30">
        <v>14286.0</v>
      </c>
      <c r="AA69" s="30">
        <v>17842.0</v>
      </c>
      <c r="AB69" s="30">
        <v>17039.0</v>
      </c>
      <c r="AC69" s="30">
        <v>16310.0</v>
      </c>
      <c r="AD69" s="30">
        <v>15570.0</v>
      </c>
      <c r="AE69" s="30">
        <v>16216.0</v>
      </c>
      <c r="AF69" s="30">
        <v>16106.0</v>
      </c>
      <c r="AG69" s="30">
        <v>20281.0</v>
      </c>
      <c r="AH69" s="30">
        <v>18555.0</v>
      </c>
      <c r="AI69" s="30">
        <v>17719.0</v>
      </c>
      <c r="AJ69" s="30">
        <v>19953.0</v>
      </c>
      <c r="AK69" s="30">
        <v>19108.0</v>
      </c>
      <c r="AL69" s="30">
        <v>18898.0</v>
      </c>
    </row>
    <row r="70" ht="14.25" customHeight="1">
      <c r="B70" s="30" t="s">
        <v>90</v>
      </c>
      <c r="J70" s="30">
        <v>0.0</v>
      </c>
      <c r="K70" s="30">
        <v>0.0</v>
      </c>
      <c r="L70" s="30">
        <v>0.0</v>
      </c>
      <c r="M70" s="30">
        <v>0.0</v>
      </c>
      <c r="N70" s="30">
        <v>0.0</v>
      </c>
      <c r="O70" s="30">
        <v>0.0</v>
      </c>
      <c r="P70" s="30">
        <v>0.0</v>
      </c>
      <c r="Q70" s="30">
        <v>0.0</v>
      </c>
      <c r="R70" s="30">
        <v>0.0</v>
      </c>
      <c r="S70" s="30">
        <v>0.0</v>
      </c>
      <c r="T70" s="30">
        <v>0.0</v>
      </c>
      <c r="U70" s="30">
        <v>0.0</v>
      </c>
      <c r="V70" s="30">
        <v>1002.0</v>
      </c>
      <c r="W70" s="30">
        <v>1105.0</v>
      </c>
      <c r="X70" s="30">
        <v>0.0</v>
      </c>
      <c r="Y70" s="30">
        <v>0.0</v>
      </c>
      <c r="Z70" s="30">
        <v>56.0</v>
      </c>
      <c r="AA70" s="30">
        <v>54.0</v>
      </c>
      <c r="AB70" s="30">
        <v>81.0</v>
      </c>
      <c r="AC70" s="30">
        <v>77.0</v>
      </c>
      <c r="AD70" s="30">
        <v>75.0</v>
      </c>
      <c r="AE70" s="30">
        <v>42.0</v>
      </c>
      <c r="AF70" s="30">
        <v>63.0</v>
      </c>
      <c r="AG70" s="30">
        <v>61.0</v>
      </c>
      <c r="AH70" s="30">
        <v>60.0</v>
      </c>
      <c r="AI70" s="30">
        <v>58.0</v>
      </c>
      <c r="AJ70" s="30">
        <v>2230.0</v>
      </c>
      <c r="AK70" s="30">
        <v>0.0</v>
      </c>
      <c r="AL70" s="30">
        <v>0.0</v>
      </c>
    </row>
    <row r="71" ht="14.25" customHeight="1">
      <c r="B71" s="30" t="s">
        <v>306</v>
      </c>
      <c r="J71" s="30">
        <v>3015.0</v>
      </c>
      <c r="K71" s="30">
        <v>3939.0</v>
      </c>
      <c r="L71" s="30">
        <v>4176.0</v>
      </c>
      <c r="M71" s="30">
        <v>-4303.0</v>
      </c>
      <c r="N71" s="30">
        <v>1813.0</v>
      </c>
      <c r="O71" s="30">
        <v>121.0</v>
      </c>
      <c r="P71" s="30">
        <v>0.0</v>
      </c>
      <c r="Q71" s="30">
        <v>0.0</v>
      </c>
      <c r="R71" s="30">
        <v>0.0</v>
      </c>
      <c r="S71" s="30">
        <v>0.0</v>
      </c>
      <c r="T71" s="30">
        <v>0.0</v>
      </c>
      <c r="U71" s="30">
        <v>0.0</v>
      </c>
      <c r="V71" s="30">
        <v>0.0</v>
      </c>
      <c r="W71" s="30">
        <v>0.0</v>
      </c>
      <c r="X71" s="30">
        <v>0.0</v>
      </c>
      <c r="Y71" s="30">
        <v>0.0</v>
      </c>
      <c r="Z71" s="30">
        <v>901.0</v>
      </c>
      <c r="AA71" s="30">
        <v>1975.0</v>
      </c>
      <c r="AB71" s="30">
        <v>960.0</v>
      </c>
      <c r="AC71" s="30">
        <v>992.0</v>
      </c>
      <c r="AD71" s="30">
        <v>1024.0</v>
      </c>
      <c r="AE71" s="30">
        <v>0.0</v>
      </c>
      <c r="AF71" s="30">
        <v>0.0</v>
      </c>
      <c r="AG71" s="30">
        <v>0.0</v>
      </c>
      <c r="AH71" s="30">
        <v>0.0</v>
      </c>
      <c r="AI71" s="30">
        <v>983.0</v>
      </c>
      <c r="AJ71" s="30">
        <v>1008.0</v>
      </c>
      <c r="AK71" s="30">
        <v>0.0</v>
      </c>
      <c r="AL71" s="30">
        <v>0.0</v>
      </c>
    </row>
    <row r="72" ht="14.25" customHeight="1">
      <c r="B72" s="30" t="s">
        <v>298</v>
      </c>
      <c r="J72" s="30">
        <v>4503.0</v>
      </c>
      <c r="K72" s="30">
        <v>8316.0</v>
      </c>
      <c r="L72" s="30">
        <v>2373.0</v>
      </c>
      <c r="M72" s="30">
        <v>-2193.0</v>
      </c>
      <c r="N72" s="30">
        <v>2020.0</v>
      </c>
      <c r="O72" s="30">
        <v>1836.0</v>
      </c>
      <c r="P72" s="30">
        <v>0.0</v>
      </c>
      <c r="Q72" s="30">
        <v>0.0</v>
      </c>
      <c r="R72" s="30">
        <v>0.0</v>
      </c>
      <c r="S72" s="30">
        <v>3894.0</v>
      </c>
      <c r="T72" s="30">
        <v>2611.0</v>
      </c>
      <c r="U72" s="30">
        <v>3476.0</v>
      </c>
      <c r="V72" s="30">
        <v>3312.0</v>
      </c>
      <c r="W72" s="30">
        <v>3176.0</v>
      </c>
      <c r="X72" s="30">
        <v>2723.0</v>
      </c>
      <c r="Y72" s="30">
        <v>2732.0</v>
      </c>
      <c r="Z72" s="30">
        <v>2793.0</v>
      </c>
      <c r="AA72" s="30">
        <v>2868.0</v>
      </c>
      <c r="AB72" s="30">
        <v>2957.0</v>
      </c>
      <c r="AC72" s="30">
        <v>15044.0</v>
      </c>
      <c r="AD72" s="30">
        <v>22296.0</v>
      </c>
      <c r="AE72" s="30">
        <v>19244.0</v>
      </c>
      <c r="AF72" s="30">
        <v>20228.0</v>
      </c>
      <c r="AG72" s="30">
        <v>20076.0</v>
      </c>
      <c r="AH72" s="30">
        <v>13191.0</v>
      </c>
      <c r="AI72" s="30">
        <v>19012.0</v>
      </c>
      <c r="AJ72" s="30">
        <v>88054.0</v>
      </c>
      <c r="AK72" s="30">
        <v>98717.0</v>
      </c>
      <c r="AL72" s="30">
        <v>95117.0</v>
      </c>
    </row>
    <row r="73" ht="14.25" customHeight="1">
      <c r="B73" s="30" t="s">
        <v>300</v>
      </c>
      <c r="J73" s="30">
        <v>3333.0</v>
      </c>
      <c r="K73" s="30">
        <v>2257.0</v>
      </c>
      <c r="L73" s="30">
        <v>1895.0</v>
      </c>
      <c r="M73" s="30">
        <v>-1855.0</v>
      </c>
      <c r="N73" s="30">
        <v>1831.0</v>
      </c>
      <c r="O73" s="30">
        <v>1397.0</v>
      </c>
      <c r="P73" s="30">
        <v>70.0</v>
      </c>
      <c r="Q73" s="30">
        <v>69.0</v>
      </c>
      <c r="R73" s="30">
        <v>73.0</v>
      </c>
      <c r="S73" s="30">
        <v>0.0</v>
      </c>
      <c r="T73" s="30">
        <v>0.0</v>
      </c>
      <c r="U73" s="30">
        <v>0.0</v>
      </c>
      <c r="V73" s="30">
        <v>0.0</v>
      </c>
      <c r="W73" s="30">
        <v>0.0</v>
      </c>
      <c r="X73" s="30">
        <v>0.0</v>
      </c>
      <c r="Y73" s="30">
        <v>0.0</v>
      </c>
      <c r="Z73" s="30">
        <v>0.0</v>
      </c>
      <c r="AA73" s="30">
        <v>0.0</v>
      </c>
      <c r="AB73" s="30">
        <v>1206.0</v>
      </c>
      <c r="AC73" s="30">
        <v>0.0</v>
      </c>
      <c r="AD73" s="30">
        <v>0.0</v>
      </c>
      <c r="AE73" s="30">
        <v>0.0</v>
      </c>
      <c r="AF73" s="30">
        <v>0.0</v>
      </c>
      <c r="AG73" s="30">
        <v>0.0</v>
      </c>
      <c r="AH73" s="30">
        <v>0.0</v>
      </c>
      <c r="AI73" s="30">
        <v>0.0</v>
      </c>
      <c r="AJ73" s="30">
        <v>0.0</v>
      </c>
      <c r="AK73" s="30">
        <v>3773.0</v>
      </c>
      <c r="AL73" s="30">
        <v>3880.0</v>
      </c>
    </row>
    <row r="74" ht="14.25" customHeight="1">
      <c r="B74" s="30" t="s">
        <v>283</v>
      </c>
      <c r="J74" s="30">
        <v>680.0</v>
      </c>
      <c r="K74" s="30">
        <v>0.0</v>
      </c>
      <c r="L74" s="30">
        <v>0.0</v>
      </c>
      <c r="M74" s="30">
        <v>0.0</v>
      </c>
      <c r="N74" s="30">
        <v>0.0</v>
      </c>
      <c r="O74" s="30">
        <v>0.0</v>
      </c>
      <c r="P74" s="30">
        <v>0.0</v>
      </c>
      <c r="Q74" s="30">
        <v>0.0</v>
      </c>
      <c r="R74" s="30">
        <v>0.0</v>
      </c>
      <c r="S74" s="30">
        <v>0.0</v>
      </c>
      <c r="T74" s="30">
        <v>0.0</v>
      </c>
      <c r="U74" s="30">
        <v>0.0</v>
      </c>
      <c r="V74" s="30">
        <v>0.0</v>
      </c>
      <c r="W74" s="30">
        <v>0.0</v>
      </c>
      <c r="X74" s="30">
        <v>0.0</v>
      </c>
      <c r="Y74" s="30">
        <v>0.0</v>
      </c>
      <c r="Z74" s="30">
        <v>0.0</v>
      </c>
      <c r="AA74" s="30">
        <v>0.0</v>
      </c>
      <c r="AB74" s="30">
        <v>0.0</v>
      </c>
      <c r="AC74" s="30">
        <v>0.0</v>
      </c>
      <c r="AD74" s="30">
        <v>0.0</v>
      </c>
      <c r="AE74" s="30">
        <v>0.0</v>
      </c>
      <c r="AF74" s="30">
        <v>0.0</v>
      </c>
      <c r="AG74" s="30">
        <v>0.0</v>
      </c>
      <c r="AH74" s="30">
        <v>0.0</v>
      </c>
      <c r="AI74" s="30">
        <v>0.0</v>
      </c>
      <c r="AJ74" s="30">
        <v>0.0</v>
      </c>
      <c r="AK74" s="30">
        <v>0.0</v>
      </c>
      <c r="AL74" s="30">
        <v>0.0</v>
      </c>
    </row>
    <row r="75" ht="14.25" customHeight="1">
      <c r="B75" s="30" t="s">
        <v>307</v>
      </c>
      <c r="J75" s="30">
        <v>5516.0</v>
      </c>
      <c r="K75" s="30">
        <v>5268.0</v>
      </c>
      <c r="L75" s="30">
        <v>5075.0</v>
      </c>
      <c r="M75" s="30">
        <v>-4794.0</v>
      </c>
      <c r="N75" s="30">
        <v>5051.0</v>
      </c>
      <c r="O75" s="30">
        <v>5499.0</v>
      </c>
      <c r="P75" s="30">
        <v>5327.0</v>
      </c>
      <c r="Q75" s="30">
        <v>5258.0</v>
      </c>
      <c r="R75" s="30">
        <v>5096.0</v>
      </c>
      <c r="S75" s="30">
        <v>4837.0</v>
      </c>
      <c r="T75" s="30">
        <v>4822.0</v>
      </c>
      <c r="U75" s="30">
        <v>4093.0</v>
      </c>
      <c r="V75" s="30">
        <v>4108.0</v>
      </c>
      <c r="W75" s="30">
        <v>4168.0</v>
      </c>
      <c r="X75" s="30">
        <v>3917.0</v>
      </c>
      <c r="Y75" s="30">
        <v>4273.0</v>
      </c>
      <c r="Z75" s="30">
        <v>4331.0</v>
      </c>
      <c r="AA75" s="30">
        <v>4478.0</v>
      </c>
      <c r="AB75" s="30">
        <v>5477.0</v>
      </c>
      <c r="AC75" s="30">
        <v>5706.0</v>
      </c>
      <c r="AD75" s="30">
        <v>6508.0</v>
      </c>
      <c r="AE75" s="30">
        <v>6590.0</v>
      </c>
      <c r="AF75" s="30">
        <v>7087.0</v>
      </c>
      <c r="AG75" s="30">
        <v>8953.0</v>
      </c>
      <c r="AH75" s="30">
        <v>9576.0</v>
      </c>
      <c r="AI75" s="30">
        <v>8350.0</v>
      </c>
      <c r="AJ75" s="30">
        <v>7620.0</v>
      </c>
      <c r="AK75" s="30">
        <v>7492.0</v>
      </c>
      <c r="AL75" s="30">
        <v>7372.0</v>
      </c>
    </row>
    <row r="76" ht="14.25" customHeight="1">
      <c r="B76" s="30" t="s">
        <v>308</v>
      </c>
      <c r="J76" s="30">
        <v>0.0</v>
      </c>
      <c r="K76" s="30">
        <v>0.0</v>
      </c>
      <c r="L76" s="30">
        <v>0.0</v>
      </c>
      <c r="M76" s="30">
        <v>0.0</v>
      </c>
      <c r="N76" s="30">
        <v>0.0</v>
      </c>
      <c r="O76" s="30">
        <v>0.0</v>
      </c>
      <c r="P76" s="30">
        <v>0.0</v>
      </c>
      <c r="Q76" s="30">
        <v>0.0</v>
      </c>
      <c r="R76" s="30">
        <v>0.0</v>
      </c>
      <c r="S76" s="30">
        <v>0.0</v>
      </c>
      <c r="T76" s="30">
        <v>0.0</v>
      </c>
      <c r="U76" s="30">
        <v>0.0</v>
      </c>
      <c r="V76" s="30">
        <v>0.0</v>
      </c>
      <c r="W76" s="30">
        <v>0.0</v>
      </c>
      <c r="X76" s="30">
        <v>0.0</v>
      </c>
      <c r="Y76" s="30">
        <v>0.0</v>
      </c>
      <c r="Z76" s="30">
        <v>0.0</v>
      </c>
      <c r="AA76" s="30">
        <v>0.0</v>
      </c>
      <c r="AB76" s="30">
        <v>0.0</v>
      </c>
      <c r="AC76" s="30">
        <v>0.0</v>
      </c>
      <c r="AD76" s="30">
        <v>0.0</v>
      </c>
      <c r="AE76" s="30">
        <v>0.0</v>
      </c>
      <c r="AF76" s="30">
        <v>0.0</v>
      </c>
      <c r="AG76" s="30">
        <v>127.0</v>
      </c>
      <c r="AH76" s="30">
        <v>127.0</v>
      </c>
      <c r="AI76" s="30">
        <v>0.0</v>
      </c>
      <c r="AJ76" s="30">
        <v>0.0</v>
      </c>
      <c r="AK76" s="30">
        <v>0.0</v>
      </c>
      <c r="AL76" s="30">
        <v>0.0</v>
      </c>
    </row>
    <row r="77" ht="14.25" customHeight="1">
      <c r="B77" s="30" t="s">
        <v>309</v>
      </c>
      <c r="J77" s="30">
        <v>0.0</v>
      </c>
      <c r="K77" s="30">
        <v>0.0</v>
      </c>
      <c r="L77" s="30">
        <v>0.0</v>
      </c>
      <c r="M77" s="30">
        <v>0.0</v>
      </c>
      <c r="N77" s="30">
        <v>0.0</v>
      </c>
      <c r="O77" s="30">
        <v>264.0</v>
      </c>
      <c r="P77" s="30">
        <v>236.0</v>
      </c>
      <c r="Q77" s="30">
        <v>219.0</v>
      </c>
      <c r="R77" s="30">
        <v>202.0</v>
      </c>
      <c r="S77" s="30">
        <v>186.0</v>
      </c>
      <c r="T77" s="30">
        <v>169.0</v>
      </c>
      <c r="U77" s="30">
        <v>152.0</v>
      </c>
      <c r="V77" s="30">
        <v>135.0</v>
      </c>
      <c r="W77" s="30">
        <v>118.0</v>
      </c>
      <c r="X77" s="30">
        <v>101.0</v>
      </c>
      <c r="Y77" s="30">
        <v>84.0</v>
      </c>
      <c r="Z77" s="30">
        <v>67.0</v>
      </c>
      <c r="AA77" s="30">
        <v>51.0</v>
      </c>
      <c r="AB77" s="30">
        <v>28.0</v>
      </c>
      <c r="AC77" s="30">
        <v>231.0</v>
      </c>
      <c r="AD77" s="30">
        <v>210.0</v>
      </c>
      <c r="AE77" s="30">
        <v>195.0</v>
      </c>
      <c r="AF77" s="30">
        <v>180.0</v>
      </c>
      <c r="AG77" s="30">
        <v>188.0</v>
      </c>
      <c r="AH77" s="30">
        <v>172.0</v>
      </c>
      <c r="AI77" s="30">
        <v>263.0</v>
      </c>
      <c r="AJ77" s="30">
        <v>250.0</v>
      </c>
      <c r="AK77" s="30">
        <v>2391.0</v>
      </c>
      <c r="AL77" s="30">
        <v>2302.0</v>
      </c>
    </row>
    <row r="78" ht="14.25" customHeight="1">
      <c r="J78" s="30">
        <v>30999.0</v>
      </c>
      <c r="K78" s="30">
        <v>36686.0</v>
      </c>
      <c r="L78" s="30">
        <v>29857.0</v>
      </c>
      <c r="M78" s="30">
        <v>-27047.0</v>
      </c>
      <c r="N78" s="30">
        <v>28108.0</v>
      </c>
      <c r="O78" s="30">
        <v>86949.0</v>
      </c>
      <c r="P78" s="30">
        <v>78678.0</v>
      </c>
      <c r="Q78" s="30">
        <v>69752.0</v>
      </c>
      <c r="R78" s="30">
        <v>61206.0</v>
      </c>
      <c r="S78" s="30">
        <v>58108.0</v>
      </c>
      <c r="T78" s="30">
        <v>50536.0</v>
      </c>
      <c r="U78" s="30">
        <v>44436.0</v>
      </c>
      <c r="V78" s="30">
        <v>38564.0</v>
      </c>
      <c r="W78" s="30">
        <v>31843.0</v>
      </c>
      <c r="X78" s="30">
        <v>23668.0</v>
      </c>
      <c r="Y78" s="30">
        <v>38936.0</v>
      </c>
      <c r="Z78" s="30">
        <v>48629.0</v>
      </c>
      <c r="AA78" s="30">
        <v>52771.0</v>
      </c>
      <c r="AB78" s="30">
        <v>103833.0</v>
      </c>
      <c r="AC78" s="30">
        <v>139055.0</v>
      </c>
      <c r="AD78" s="30">
        <v>243550.0</v>
      </c>
      <c r="AE78" s="30">
        <v>248156.0</v>
      </c>
      <c r="AF78" s="30">
        <v>234640.0</v>
      </c>
      <c r="AG78" s="30">
        <v>321228.0</v>
      </c>
      <c r="AH78" s="30">
        <v>287662.0</v>
      </c>
      <c r="AI78" s="30">
        <v>330477.0</v>
      </c>
      <c r="AJ78" s="30">
        <f t="shared" ref="AJ78:AK78" si="6">SUM(AJ66:AJ77)</f>
        <v>449391</v>
      </c>
      <c r="AK78" s="30">
        <f t="shared" si="6"/>
        <v>327706</v>
      </c>
      <c r="AL78" s="30">
        <v>647084.0</v>
      </c>
    </row>
    <row r="79" ht="14.25" customHeight="1">
      <c r="B79" s="30" t="s">
        <v>310</v>
      </c>
      <c r="K79" s="30">
        <v>0.0</v>
      </c>
      <c r="L79" s="30">
        <v>0.0</v>
      </c>
      <c r="M79" s="30">
        <v>0.0</v>
      </c>
      <c r="N79" s="30">
        <v>0.0</v>
      </c>
      <c r="O79" s="30">
        <v>0.0</v>
      </c>
      <c r="P79" s="30">
        <v>0.0</v>
      </c>
      <c r="Q79" s="30">
        <v>0.0</v>
      </c>
      <c r="R79" s="30">
        <v>0.0</v>
      </c>
      <c r="S79" s="30">
        <v>0.0</v>
      </c>
      <c r="T79" s="30">
        <v>0.0</v>
      </c>
      <c r="U79" s="30">
        <v>0.0</v>
      </c>
      <c r="V79" s="30">
        <v>0.0</v>
      </c>
      <c r="W79" s="30">
        <v>0.0</v>
      </c>
      <c r="X79" s="30">
        <v>0.0</v>
      </c>
      <c r="Y79" s="30">
        <v>0.0</v>
      </c>
      <c r="Z79" s="30">
        <v>0.0</v>
      </c>
      <c r="AA79" s="30">
        <v>0.0</v>
      </c>
      <c r="AB79" s="30">
        <v>0.0</v>
      </c>
      <c r="AC79" s="30">
        <v>0.0</v>
      </c>
      <c r="AD79" s="30">
        <v>0.0</v>
      </c>
      <c r="AE79" s="30">
        <v>0.0</v>
      </c>
      <c r="AF79" s="30">
        <v>0.0</v>
      </c>
      <c r="AG79" s="30">
        <v>0.0</v>
      </c>
      <c r="AH79" s="30">
        <v>0.0</v>
      </c>
      <c r="AI79" s="30">
        <v>0.0</v>
      </c>
    </row>
    <row r="80" ht="14.25" customHeight="1">
      <c r="B80" s="30" t="s">
        <v>311</v>
      </c>
      <c r="J80" s="30">
        <v>41867.0</v>
      </c>
      <c r="K80" s="30">
        <v>53367.0</v>
      </c>
      <c r="L80" s="30">
        <v>53367.0</v>
      </c>
      <c r="M80" s="30">
        <v>-53367.0</v>
      </c>
      <c r="N80" s="30">
        <v>53367.0</v>
      </c>
      <c r="O80" s="30">
        <v>53367.0</v>
      </c>
      <c r="P80" s="30">
        <v>53367.0</v>
      </c>
      <c r="Q80" s="30">
        <v>73367.0</v>
      </c>
      <c r="R80" s="30">
        <v>230879.0</v>
      </c>
      <c r="S80" s="30">
        <v>230774.0</v>
      </c>
      <c r="T80" s="30">
        <v>233049.0</v>
      </c>
      <c r="U80" s="30">
        <v>233146.0</v>
      </c>
      <c r="V80" s="30">
        <v>233146.0</v>
      </c>
      <c r="W80" s="30">
        <v>233451.0</v>
      </c>
      <c r="X80" s="30">
        <v>233451.0</v>
      </c>
      <c r="Y80" s="30">
        <v>233451.0</v>
      </c>
      <c r="Z80" s="30">
        <v>233681.0</v>
      </c>
      <c r="AA80" s="30">
        <v>233681.0</v>
      </c>
      <c r="AB80" s="30">
        <v>233681.0</v>
      </c>
      <c r="AC80" s="30">
        <v>233681.0</v>
      </c>
      <c r="AD80" s="30">
        <v>233681.0</v>
      </c>
      <c r="AE80" s="30">
        <v>233681.0</v>
      </c>
      <c r="AF80" s="30">
        <v>233681.0</v>
      </c>
      <c r="AG80" s="30">
        <v>233681.0</v>
      </c>
      <c r="AH80" s="30">
        <v>318397.0</v>
      </c>
      <c r="AI80" s="30">
        <v>318378.0</v>
      </c>
      <c r="AJ80" s="30">
        <v>318378.0</v>
      </c>
      <c r="AK80" s="30">
        <v>318284.0</v>
      </c>
      <c r="AL80" s="30">
        <v>318284.0</v>
      </c>
    </row>
    <row r="81" ht="14.25" customHeight="1">
      <c r="B81" s="30" t="s">
        <v>312</v>
      </c>
      <c r="J81" s="30">
        <v>2298.0</v>
      </c>
      <c r="K81" s="30">
        <v>2298.0</v>
      </c>
      <c r="L81" s="30">
        <v>2298.0</v>
      </c>
      <c r="M81" s="30">
        <v>-2298.0</v>
      </c>
      <c r="N81" s="30">
        <v>2298.0</v>
      </c>
      <c r="O81" s="30">
        <v>2298.0</v>
      </c>
      <c r="P81" s="30">
        <v>2298.0</v>
      </c>
      <c r="Q81" s="30">
        <v>2298.0</v>
      </c>
      <c r="R81" s="30">
        <v>2298.0</v>
      </c>
      <c r="S81" s="30">
        <v>2298.0</v>
      </c>
      <c r="T81" s="30">
        <v>8104.0</v>
      </c>
      <c r="U81" s="30">
        <v>8104.0</v>
      </c>
      <c r="V81" s="30">
        <v>8104.0</v>
      </c>
      <c r="W81" s="30">
        <v>5518.0</v>
      </c>
      <c r="X81" s="30">
        <v>3728.0</v>
      </c>
      <c r="Y81" s="30">
        <v>8104.0</v>
      </c>
      <c r="Z81" s="30">
        <v>8104.0</v>
      </c>
      <c r="AA81" s="30">
        <v>8104.0</v>
      </c>
      <c r="AB81" s="30">
        <v>8104.0</v>
      </c>
      <c r="AC81" s="30">
        <v>8104.0</v>
      </c>
      <c r="AD81" s="30">
        <v>8104.0</v>
      </c>
      <c r="AE81" s="30">
        <v>8104.0</v>
      </c>
      <c r="AF81" s="30">
        <v>8104.0</v>
      </c>
      <c r="AG81" s="30">
        <v>8104.0</v>
      </c>
      <c r="AH81" s="30">
        <v>8104.39866</v>
      </c>
      <c r="AI81" s="30">
        <v>8104.0</v>
      </c>
      <c r="AJ81" s="30">
        <v>18356.0</v>
      </c>
      <c r="AK81" s="30">
        <v>19790.0</v>
      </c>
      <c r="AL81" s="30">
        <v>21224.0</v>
      </c>
    </row>
    <row r="82" ht="14.25" customHeight="1">
      <c r="B82" s="30" t="s">
        <v>313</v>
      </c>
      <c r="K82" s="30">
        <v>0.0</v>
      </c>
      <c r="L82" s="30">
        <v>0.0</v>
      </c>
      <c r="M82" s="30">
        <v>0.0</v>
      </c>
      <c r="N82" s="30">
        <v>0.0</v>
      </c>
      <c r="O82" s="30">
        <v>0.0</v>
      </c>
      <c r="P82" s="30">
        <v>0.0</v>
      </c>
      <c r="Q82" s="30">
        <v>0.0</v>
      </c>
      <c r="R82" s="30">
        <v>0.0</v>
      </c>
      <c r="S82" s="30">
        <v>0.0</v>
      </c>
      <c r="T82" s="30">
        <v>0.0</v>
      </c>
      <c r="U82" s="30">
        <v>0.0</v>
      </c>
      <c r="V82" s="30">
        <v>0.0</v>
      </c>
      <c r="W82" s="30">
        <v>0.0</v>
      </c>
      <c r="X82" s="30">
        <v>0.0</v>
      </c>
      <c r="Y82" s="30">
        <v>-6581.0</v>
      </c>
      <c r="Z82" s="30">
        <v>-6581.0</v>
      </c>
      <c r="AA82" s="30">
        <v>-9303.0</v>
      </c>
      <c r="AB82" s="30">
        <v>-11978.0</v>
      </c>
      <c r="AC82" s="30">
        <v>-11978.0</v>
      </c>
      <c r="AD82" s="30">
        <v>-11978.0</v>
      </c>
      <c r="AE82" s="30">
        <v>-11978.0</v>
      </c>
      <c r="AF82" s="30">
        <v>-11978.0</v>
      </c>
      <c r="AG82" s="30">
        <v>-11978.0</v>
      </c>
      <c r="AH82" s="30">
        <v>-11978.0</v>
      </c>
      <c r="AI82" s="30">
        <v>-11978.0</v>
      </c>
      <c r="AJ82" s="30">
        <v>0.0</v>
      </c>
      <c r="AK82" s="30">
        <v>0.0</v>
      </c>
      <c r="AL82" s="30">
        <v>0.0</v>
      </c>
    </row>
    <row r="83" ht="14.25" customHeight="1">
      <c r="B83" s="30" t="s">
        <v>314</v>
      </c>
      <c r="K83" s="30">
        <v>0.0</v>
      </c>
      <c r="L83" s="30">
        <v>0.0</v>
      </c>
      <c r="M83" s="30">
        <v>0.0</v>
      </c>
      <c r="N83" s="30">
        <v>0.0</v>
      </c>
      <c r="O83" s="30">
        <v>0.0</v>
      </c>
      <c r="P83" s="30">
        <v>0.0</v>
      </c>
      <c r="Q83" s="30">
        <v>0.0</v>
      </c>
      <c r="R83" s="30">
        <v>0.0</v>
      </c>
      <c r="S83" s="30">
        <v>0.0</v>
      </c>
      <c r="T83" s="30">
        <v>-11278.0</v>
      </c>
      <c r="U83" s="30">
        <v>-12090.0</v>
      </c>
      <c r="V83" s="30">
        <v>-12090.0</v>
      </c>
      <c r="W83" s="30">
        <v>-12090.0</v>
      </c>
      <c r="X83" s="30">
        <v>-12090.0</v>
      </c>
      <c r="Y83" s="30">
        <v>-13346.0</v>
      </c>
      <c r="Z83" s="30">
        <v>-13346.0</v>
      </c>
      <c r="AA83" s="30">
        <v>-13346.0</v>
      </c>
      <c r="AB83" s="30">
        <v>-13346.0</v>
      </c>
      <c r="AC83" s="30">
        <v>-32314.0</v>
      </c>
      <c r="AD83" s="30">
        <v>-33621.0</v>
      </c>
      <c r="AE83" s="30">
        <v>-33621.0</v>
      </c>
      <c r="AF83" s="30">
        <v>-33621.0</v>
      </c>
      <c r="AG83" s="30">
        <v>-33621.0</v>
      </c>
      <c r="AH83" s="30">
        <v>-33621.0</v>
      </c>
      <c r="AI83" s="30">
        <v>-33621.0</v>
      </c>
      <c r="AJ83" s="30">
        <v>-33621.0</v>
      </c>
      <c r="AK83" s="30">
        <v>-33621.0</v>
      </c>
      <c r="AL83" s="30">
        <v>-33621.0</v>
      </c>
    </row>
    <row r="84" ht="14.25" customHeight="1">
      <c r="B84" s="30" t="s">
        <v>315</v>
      </c>
      <c r="J84" s="30">
        <v>2453.0</v>
      </c>
      <c r="K84" s="30">
        <v>2453.0</v>
      </c>
      <c r="L84" s="30">
        <v>2453.0</v>
      </c>
      <c r="M84" s="30">
        <v>-4772.0</v>
      </c>
      <c r="N84" s="30">
        <v>4772.0</v>
      </c>
      <c r="O84" s="30">
        <v>4772.0</v>
      </c>
      <c r="P84" s="30">
        <v>4772.0</v>
      </c>
      <c r="Q84" s="30">
        <v>0.0</v>
      </c>
      <c r="R84" s="30">
        <v>0.0</v>
      </c>
      <c r="S84" s="30">
        <v>0.0</v>
      </c>
      <c r="T84" s="30">
        <v>0.0</v>
      </c>
      <c r="U84" s="30">
        <v>0.0</v>
      </c>
      <c r="V84" s="30">
        <v>0.0</v>
      </c>
      <c r="W84" s="30">
        <v>0.0</v>
      </c>
      <c r="X84" s="30">
        <v>0.0</v>
      </c>
      <c r="Y84" s="30">
        <v>7451.80562</v>
      </c>
      <c r="Z84" s="30">
        <v>7452.0</v>
      </c>
      <c r="AA84" s="30">
        <v>7452.0</v>
      </c>
      <c r="AB84" s="30">
        <v>7452.0</v>
      </c>
      <c r="AC84" s="30">
        <v>18102.0</v>
      </c>
      <c r="AD84" s="30">
        <v>18102.0</v>
      </c>
      <c r="AE84" s="30">
        <v>18102.201989999994</v>
      </c>
      <c r="AF84" s="30">
        <v>18102.0</v>
      </c>
      <c r="AG84" s="30">
        <v>28549.0</v>
      </c>
      <c r="AH84" s="30">
        <v>28549.0</v>
      </c>
      <c r="AI84" s="30">
        <v>28549.0</v>
      </c>
      <c r="AJ84" s="30">
        <v>28549.0</v>
      </c>
      <c r="AK84" s="30">
        <v>36289.0</v>
      </c>
      <c r="AL84" s="30">
        <v>36289.0</v>
      </c>
    </row>
    <row r="85" ht="14.25" customHeight="1">
      <c r="B85" s="30" t="s">
        <v>316</v>
      </c>
      <c r="J85" s="30">
        <v>0.0</v>
      </c>
      <c r="K85" s="30">
        <v>0.0</v>
      </c>
      <c r="L85" s="30">
        <v>0.0</v>
      </c>
      <c r="M85" s="30">
        <v>-722.0</v>
      </c>
      <c r="N85" s="30">
        <v>722.0</v>
      </c>
      <c r="O85" s="30">
        <v>0.0</v>
      </c>
      <c r="P85" s="30">
        <v>0.0</v>
      </c>
      <c r="Q85" s="30">
        <v>0.0</v>
      </c>
      <c r="R85" s="30">
        <v>0.0</v>
      </c>
      <c r="S85" s="30">
        <v>0.0</v>
      </c>
      <c r="T85" s="30">
        <v>0.0</v>
      </c>
      <c r="U85" s="30">
        <v>0.0</v>
      </c>
      <c r="V85" s="30">
        <v>0.0</v>
      </c>
      <c r="W85" s="30">
        <v>0.0</v>
      </c>
      <c r="X85" s="30">
        <v>0.0</v>
      </c>
      <c r="Y85" s="30">
        <v>0.0</v>
      </c>
      <c r="Z85" s="30">
        <v>0.0</v>
      </c>
      <c r="AA85" s="30">
        <v>0.0</v>
      </c>
      <c r="AB85" s="30">
        <v>0.0</v>
      </c>
      <c r="AC85" s="30">
        <v>0.0</v>
      </c>
      <c r="AD85" s="30">
        <v>0.0</v>
      </c>
      <c r="AE85" s="30">
        <v>0.0</v>
      </c>
      <c r="AF85" s="30">
        <v>0.0</v>
      </c>
      <c r="AG85" s="30">
        <v>0.0</v>
      </c>
      <c r="AH85" s="30">
        <v>0.0</v>
      </c>
      <c r="AI85" s="30">
        <v>0.0</v>
      </c>
      <c r="AJ85" s="30">
        <v>0.0</v>
      </c>
      <c r="AK85" s="30">
        <v>0.0</v>
      </c>
      <c r="AL85" s="30">
        <v>0.0</v>
      </c>
    </row>
    <row r="86" ht="14.25" customHeight="1">
      <c r="B86" s="30" t="s">
        <v>317</v>
      </c>
      <c r="J86" s="30">
        <v>1154.0</v>
      </c>
      <c r="K86" s="30">
        <v>-2616.0</v>
      </c>
      <c r="L86" s="30">
        <v>-3368.0</v>
      </c>
      <c r="M86" s="30">
        <v>0.0</v>
      </c>
      <c r="N86" s="30">
        <v>128.0</v>
      </c>
      <c r="O86" s="30">
        <v>-1163.0</v>
      </c>
      <c r="P86" s="30">
        <v>-3155.0</v>
      </c>
      <c r="Q86" s="30">
        <v>-1337.0</v>
      </c>
      <c r="R86" s="30">
        <v>2707.0</v>
      </c>
      <c r="S86" s="30">
        <v>-13977.0</v>
      </c>
      <c r="T86" s="30">
        <v>-18901.0</v>
      </c>
      <c r="U86" s="30">
        <v>-3473.0</v>
      </c>
      <c r="V86" s="30">
        <v>-4185.0</v>
      </c>
      <c r="W86" s="30">
        <v>1952.0</v>
      </c>
      <c r="X86" s="30">
        <v>5857.0</v>
      </c>
      <c r="Y86" s="30">
        <v>0.0</v>
      </c>
      <c r="Z86" s="30">
        <v>5188.0</v>
      </c>
      <c r="AA86" s="30">
        <v>12586.0</v>
      </c>
      <c r="AB86" s="30">
        <v>33403.0</v>
      </c>
      <c r="AC86" s="30">
        <v>0.0</v>
      </c>
      <c r="AD86" s="30">
        <v>7070.0</v>
      </c>
      <c r="AE86" s="30">
        <v>13419.0</v>
      </c>
      <c r="AF86" s="30">
        <v>12896.0</v>
      </c>
      <c r="AG86" s="30">
        <v>0.0</v>
      </c>
      <c r="AH86" s="30">
        <v>1571.0</v>
      </c>
      <c r="AI86" s="30">
        <v>-3428.0</v>
      </c>
      <c r="AJ86" s="30">
        <v>13157.0</v>
      </c>
      <c r="AK86" s="30">
        <v>14438.0</v>
      </c>
      <c r="AL86" s="30">
        <v>1803.0</v>
      </c>
    </row>
    <row r="87" ht="14.25" customHeight="1">
      <c r="B87" s="30" t="s">
        <v>318</v>
      </c>
      <c r="J87" s="30">
        <v>47772.0</v>
      </c>
      <c r="K87" s="30">
        <v>55502.0</v>
      </c>
      <c r="L87" s="30">
        <v>54750.0</v>
      </c>
      <c r="M87" s="30">
        <v>-61159.0</v>
      </c>
      <c r="N87" s="30">
        <v>61287.0</v>
      </c>
      <c r="O87" s="30">
        <v>59274.0</v>
      </c>
      <c r="P87" s="30">
        <v>57282.0</v>
      </c>
      <c r="Q87" s="30">
        <v>74328.0</v>
      </c>
      <c r="R87" s="30">
        <v>235884.0</v>
      </c>
      <c r="S87" s="30">
        <v>219095.0</v>
      </c>
      <c r="T87" s="30">
        <v>210974.0</v>
      </c>
      <c r="U87" s="30">
        <v>225687.0</v>
      </c>
      <c r="V87" s="30">
        <v>224975.0</v>
      </c>
      <c r="W87" s="30">
        <v>228831.0</v>
      </c>
      <c r="X87" s="30">
        <v>230946.0</v>
      </c>
      <c r="Y87" s="30">
        <v>229079.80562</v>
      </c>
      <c r="Z87" s="30">
        <v>234498.0</v>
      </c>
      <c r="AA87" s="30">
        <v>239174.0</v>
      </c>
      <c r="AB87" s="30">
        <v>257316.0</v>
      </c>
      <c r="AC87" s="30">
        <v>215595.0</v>
      </c>
      <c r="AD87" s="30">
        <v>221358.0</v>
      </c>
      <c r="AE87" s="30">
        <v>227707.20199</v>
      </c>
      <c r="AF87" s="30">
        <v>227184.0</v>
      </c>
      <c r="AG87" s="30">
        <v>224735.0</v>
      </c>
      <c r="AH87" s="30">
        <v>311022.39866</v>
      </c>
      <c r="AI87" s="30">
        <v>306004.0</v>
      </c>
      <c r="AJ87" s="30">
        <f t="shared" ref="AJ87:AK87" si="7">SUM(AJ80:AJ86)</f>
        <v>344819</v>
      </c>
      <c r="AK87" s="30">
        <f t="shared" si="7"/>
        <v>355180</v>
      </c>
      <c r="AL87" s="30">
        <v>343979.0</v>
      </c>
    </row>
    <row r="88" ht="14.25" customHeight="1">
      <c r="K88" s="30">
        <v>0.0</v>
      </c>
      <c r="L88" s="30">
        <v>0.0</v>
      </c>
      <c r="M88" s="30">
        <v>0.0</v>
      </c>
      <c r="N88" s="30">
        <v>0.0</v>
      </c>
      <c r="O88" s="30">
        <v>0.0</v>
      </c>
      <c r="P88" s="30">
        <v>0.0</v>
      </c>
      <c r="Q88" s="30">
        <v>0.0</v>
      </c>
      <c r="R88" s="30">
        <v>0.0</v>
      </c>
      <c r="S88" s="30">
        <v>0.0</v>
      </c>
      <c r="T88" s="30">
        <v>0.0</v>
      </c>
      <c r="U88" s="30">
        <v>0.0</v>
      </c>
      <c r="V88" s="30">
        <v>0.0</v>
      </c>
      <c r="W88" s="30">
        <v>0.0</v>
      </c>
      <c r="X88" s="30">
        <v>0.0</v>
      </c>
      <c r="Y88" s="30">
        <v>0.0</v>
      </c>
      <c r="Z88" s="30">
        <v>0.0</v>
      </c>
      <c r="AA88" s="30">
        <v>0.0</v>
      </c>
      <c r="AB88" s="30">
        <v>0.0</v>
      </c>
      <c r="AC88" s="30">
        <v>0.0</v>
      </c>
      <c r="AD88" s="30">
        <v>0.0</v>
      </c>
      <c r="AE88" s="30">
        <v>0.0</v>
      </c>
      <c r="AF88" s="30">
        <v>0.0</v>
      </c>
      <c r="AG88" s="30">
        <v>0.0</v>
      </c>
      <c r="AH88" s="30">
        <v>0.0</v>
      </c>
      <c r="AI88" s="30">
        <v>0.0</v>
      </c>
    </row>
    <row r="89" ht="14.25" customHeight="1">
      <c r="B89" s="30" t="s">
        <v>319</v>
      </c>
      <c r="J89" s="30">
        <v>7457.0</v>
      </c>
      <c r="K89" s="30">
        <v>6365.0</v>
      </c>
      <c r="L89" s="30">
        <v>5925.0</v>
      </c>
      <c r="M89" s="30">
        <v>-4970.0</v>
      </c>
      <c r="N89" s="30">
        <v>4337.0</v>
      </c>
      <c r="O89" s="30">
        <v>3642.0</v>
      </c>
      <c r="P89" s="30">
        <v>2691.0</v>
      </c>
      <c r="Q89" s="30">
        <v>281.0</v>
      </c>
      <c r="R89" s="30">
        <v>-493.0</v>
      </c>
      <c r="S89" s="30">
        <v>-926.0</v>
      </c>
      <c r="T89" s="30">
        <v>-1311.0</v>
      </c>
      <c r="U89" s="30">
        <v>-101.0</v>
      </c>
      <c r="V89" s="30">
        <v>-420.0</v>
      </c>
      <c r="W89" s="30">
        <v>-353.0</v>
      </c>
      <c r="X89" s="30">
        <v>-478.0</v>
      </c>
      <c r="Y89" s="30">
        <v>0.0</v>
      </c>
      <c r="Z89" s="30">
        <v>271.0</v>
      </c>
      <c r="AA89" s="30">
        <v>12468.0</v>
      </c>
      <c r="AB89" s="30">
        <v>34266.0</v>
      </c>
      <c r="AC89" s="30">
        <v>6167.0</v>
      </c>
      <c r="AD89" s="30">
        <v>7962.0</v>
      </c>
      <c r="AE89" s="30">
        <v>11680.0</v>
      </c>
      <c r="AF89" s="30">
        <v>14837.0</v>
      </c>
      <c r="AG89" s="30">
        <v>13969.0</v>
      </c>
      <c r="AH89" s="30">
        <v>15577.0</v>
      </c>
      <c r="AI89" s="30">
        <v>13792.0</v>
      </c>
      <c r="AJ89" s="30">
        <v>17249.0</v>
      </c>
      <c r="AK89" s="30">
        <v>13908.0</v>
      </c>
      <c r="AL89" s="30">
        <v>16122.0</v>
      </c>
    </row>
    <row r="90" ht="14.25" customHeight="1">
      <c r="B90" s="30" t="s">
        <v>320</v>
      </c>
      <c r="J90" s="30">
        <v>55229.0</v>
      </c>
      <c r="K90" s="30">
        <v>61867.0</v>
      </c>
      <c r="L90" s="30">
        <v>60675.0</v>
      </c>
      <c r="M90" s="30">
        <v>-66129.0</v>
      </c>
      <c r="N90" s="30">
        <v>65624.0</v>
      </c>
      <c r="O90" s="30">
        <v>62916.0</v>
      </c>
      <c r="P90" s="30">
        <v>59973.0</v>
      </c>
      <c r="Q90" s="30">
        <v>74609.0</v>
      </c>
      <c r="R90" s="30">
        <v>235391.0</v>
      </c>
      <c r="S90" s="30">
        <v>218169.0</v>
      </c>
      <c r="T90" s="30">
        <v>209663.0</v>
      </c>
      <c r="U90" s="30">
        <v>225586.0</v>
      </c>
      <c r="V90" s="30">
        <v>224555.0</v>
      </c>
      <c r="W90" s="30">
        <v>228478.0</v>
      </c>
      <c r="X90" s="30">
        <v>230468.0</v>
      </c>
      <c r="Y90" s="30">
        <v>229079.80562</v>
      </c>
      <c r="Z90" s="30">
        <v>234769.0</v>
      </c>
      <c r="AA90" s="30">
        <v>251642.0</v>
      </c>
      <c r="AB90" s="30">
        <v>291582.0</v>
      </c>
      <c r="AC90" s="30">
        <v>221762.0</v>
      </c>
      <c r="AD90" s="30">
        <v>229320.0</v>
      </c>
      <c r="AE90" s="30">
        <v>239387.20199</v>
      </c>
      <c r="AF90" s="30">
        <v>242021.0</v>
      </c>
      <c r="AG90" s="30">
        <v>238704.0</v>
      </c>
      <c r="AH90" s="30">
        <v>326599.39866</v>
      </c>
      <c r="AI90" s="30">
        <v>319796.0</v>
      </c>
      <c r="AJ90" s="30">
        <f>AJ87+AJ89</f>
        <v>362068</v>
      </c>
      <c r="AK90" s="30">
        <v>369088.0</v>
      </c>
      <c r="AL90" s="30">
        <v>360101.0</v>
      </c>
    </row>
    <row r="91" ht="14.25" customHeight="1">
      <c r="K91" s="30">
        <v>0.0</v>
      </c>
      <c r="L91" s="30">
        <v>0.0</v>
      </c>
      <c r="M91" s="30">
        <v>0.0</v>
      </c>
      <c r="N91" s="30">
        <v>0.0</v>
      </c>
      <c r="O91" s="30">
        <v>0.0</v>
      </c>
      <c r="P91" s="30">
        <v>0.0</v>
      </c>
      <c r="Q91" s="30">
        <v>0.0</v>
      </c>
      <c r="R91" s="30">
        <v>0.0</v>
      </c>
      <c r="S91" s="30">
        <v>0.0</v>
      </c>
      <c r="T91" s="30">
        <v>0.0</v>
      </c>
      <c r="U91" s="30">
        <v>0.0</v>
      </c>
      <c r="V91" s="30">
        <v>0.0</v>
      </c>
      <c r="W91" s="30">
        <v>0.0</v>
      </c>
      <c r="X91" s="30">
        <v>0.0</v>
      </c>
      <c r="Y91" s="30">
        <v>0.0</v>
      </c>
      <c r="Z91" s="30">
        <v>0.0</v>
      </c>
      <c r="AA91" s="30">
        <v>0.0</v>
      </c>
      <c r="AB91" s="30">
        <v>0.0</v>
      </c>
      <c r="AC91" s="30">
        <v>0.0</v>
      </c>
      <c r="AD91" s="30">
        <v>0.0</v>
      </c>
      <c r="AE91" s="30">
        <v>0.0</v>
      </c>
      <c r="AF91" s="30">
        <v>0.0</v>
      </c>
      <c r="AG91" s="30">
        <v>0.0</v>
      </c>
      <c r="AH91" s="30">
        <v>0.0</v>
      </c>
      <c r="AI91" s="30">
        <v>0.0</v>
      </c>
    </row>
    <row r="92" ht="14.25" customHeight="1">
      <c r="B92" s="30" t="s">
        <v>321</v>
      </c>
      <c r="J92" s="30">
        <v>192752.0</v>
      </c>
      <c r="K92" s="30">
        <v>200024.0</v>
      </c>
      <c r="L92" s="30">
        <v>198706.0</v>
      </c>
      <c r="M92" s="30">
        <v>-207986.0</v>
      </c>
      <c r="N92" s="30">
        <v>224864.0</v>
      </c>
      <c r="O92" s="30">
        <v>242316.0</v>
      </c>
      <c r="P92" s="30">
        <v>239903.0</v>
      </c>
      <c r="Q92" s="30">
        <v>239541.0</v>
      </c>
      <c r="R92" s="30">
        <v>366641.0</v>
      </c>
      <c r="S92" s="30">
        <v>345657.0</v>
      </c>
      <c r="T92" s="30">
        <v>328500.0</v>
      </c>
      <c r="U92" s="30">
        <v>336630.0</v>
      </c>
      <c r="V92" s="30">
        <v>337385.0</v>
      </c>
      <c r="W92" s="30">
        <v>351897.0</v>
      </c>
      <c r="X92" s="30">
        <v>358453.0</v>
      </c>
      <c r="Y92" s="30">
        <v>374376.80562</v>
      </c>
      <c r="Z92" s="30">
        <v>410440.00001</v>
      </c>
      <c r="AA92" s="30">
        <v>475059.00002000004</v>
      </c>
      <c r="AB92" s="30">
        <v>598258.00011</v>
      </c>
      <c r="AC92" s="30">
        <v>619939.00006</v>
      </c>
      <c r="AD92" s="30">
        <v>762751.0</v>
      </c>
      <c r="AE92" s="30">
        <v>726263.20199</v>
      </c>
      <c r="AF92" s="30">
        <v>724061.0</v>
      </c>
      <c r="AG92" s="30">
        <v>837004.0</v>
      </c>
      <c r="AH92" s="30">
        <v>872201.39866</v>
      </c>
      <c r="AI92" s="30">
        <v>914999.0</v>
      </c>
      <c r="AJ92" s="30">
        <f t="shared" ref="AJ92:AK92" si="8">SUM(AJ64+AJ78+AJ90)</f>
        <v>1207376</v>
      </c>
      <c r="AK92" s="30">
        <f t="shared" si="8"/>
        <v>1243600</v>
      </c>
      <c r="AL92" s="30">
        <v>1413379.0</v>
      </c>
    </row>
    <row r="93" ht="14.25" customHeight="1">
      <c r="K93" s="30">
        <v>0.0</v>
      </c>
      <c r="L93" s="30">
        <v>0.0</v>
      </c>
      <c r="M93" s="30">
        <v>0.0</v>
      </c>
      <c r="N93" s="30">
        <v>0.0</v>
      </c>
      <c r="O93" s="30">
        <v>0.0</v>
      </c>
      <c r="P93" s="30">
        <v>0.0</v>
      </c>
      <c r="Q93" s="30">
        <v>0.0</v>
      </c>
      <c r="R93" s="30">
        <v>0.0</v>
      </c>
      <c r="S93" s="30">
        <v>0.0</v>
      </c>
      <c r="T93" s="30">
        <v>0.0</v>
      </c>
      <c r="U93" s="30">
        <v>0.0</v>
      </c>
      <c r="V93" s="30">
        <v>0.0</v>
      </c>
      <c r="W93" s="30">
        <v>0.0</v>
      </c>
      <c r="X93" s="30">
        <v>0.0</v>
      </c>
      <c r="Y93" s="30">
        <v>0.0</v>
      </c>
      <c r="Z93" s="30">
        <v>0.0</v>
      </c>
      <c r="AA93" s="30">
        <v>0.0</v>
      </c>
      <c r="AB93" s="30">
        <v>0.0</v>
      </c>
      <c r="AC93" s="30">
        <v>0.0</v>
      </c>
      <c r="AD93" s="30">
        <v>0.0</v>
      </c>
      <c r="AE93" s="30">
        <v>0.0</v>
      </c>
      <c r="AF93" s="30">
        <v>0.0</v>
      </c>
      <c r="AG93" s="30">
        <v>0.0</v>
      </c>
      <c r="AH93" s="30">
        <v>0.0</v>
      </c>
      <c r="AI93" s="30">
        <v>0.0</v>
      </c>
    </row>
    <row r="94" ht="14.25" customHeight="1">
      <c r="K94" s="30">
        <v>0.0</v>
      </c>
      <c r="L94" s="30">
        <v>0.0</v>
      </c>
      <c r="M94" s="30">
        <v>0.0</v>
      </c>
      <c r="N94" s="30">
        <v>0.0</v>
      </c>
      <c r="O94" s="30">
        <v>0.0</v>
      </c>
      <c r="P94" s="30">
        <v>0.0</v>
      </c>
      <c r="Q94" s="30">
        <v>0.0</v>
      </c>
      <c r="R94" s="30">
        <v>0.0</v>
      </c>
      <c r="S94" s="30">
        <v>0.0</v>
      </c>
      <c r="T94" s="30">
        <v>0.0</v>
      </c>
      <c r="U94" s="30">
        <v>0.0</v>
      </c>
      <c r="V94" s="30">
        <v>0.0</v>
      </c>
      <c r="W94" s="30">
        <v>0.0</v>
      </c>
      <c r="X94" s="30">
        <v>0.0</v>
      </c>
      <c r="Y94" s="30">
        <v>0.0</v>
      </c>
      <c r="Z94" s="30">
        <v>0.0</v>
      </c>
      <c r="AA94" s="30">
        <v>0.0</v>
      </c>
      <c r="AB94" s="30">
        <v>0.0</v>
      </c>
      <c r="AC94" s="30">
        <v>0.0</v>
      </c>
      <c r="AD94" s="30">
        <v>0.0</v>
      </c>
      <c r="AE94" s="30">
        <v>0.0</v>
      </c>
      <c r="AF94" s="30">
        <v>0.0</v>
      </c>
      <c r="AG94" s="30">
        <v>0.0</v>
      </c>
      <c r="AH94" s="30">
        <v>0.0</v>
      </c>
      <c r="AI94" s="30">
        <v>0.0</v>
      </c>
    </row>
    <row r="95" ht="14.25" customHeight="1">
      <c r="B95" s="30" t="s">
        <v>322</v>
      </c>
      <c r="J95" s="30">
        <v>133926.0</v>
      </c>
      <c r="K95" s="30">
        <v>129721.0</v>
      </c>
      <c r="L95" s="30">
        <v>130774.0</v>
      </c>
      <c r="M95" s="30">
        <v>-143826.0</v>
      </c>
      <c r="N95" s="30">
        <v>144186.0</v>
      </c>
      <c r="O95" s="30">
        <v>138877.0</v>
      </c>
      <c r="P95" s="30">
        <v>136880.0</v>
      </c>
      <c r="Q95" s="30">
        <v>130584.0</v>
      </c>
      <c r="R95" s="30">
        <v>151456.0</v>
      </c>
      <c r="S95" s="30">
        <v>130004.0</v>
      </c>
      <c r="T95" s="30">
        <v>143756.0</v>
      </c>
      <c r="U95" s="30">
        <v>175847.0</v>
      </c>
      <c r="V95" s="30">
        <v>201235.0</v>
      </c>
      <c r="W95" s="30">
        <v>210745.0</v>
      </c>
      <c r="X95" s="30">
        <v>203938.0</v>
      </c>
      <c r="Y95" s="30">
        <v>215653.0</v>
      </c>
      <c r="Z95" s="30">
        <v>237359.99998999998</v>
      </c>
      <c r="AA95" s="30">
        <v>278825.61971</v>
      </c>
      <c r="AB95" s="30">
        <v>321030.99989</v>
      </c>
      <c r="AC95" s="30">
        <v>291266.18828</v>
      </c>
      <c r="AD95" s="30">
        <v>340840.0</v>
      </c>
      <c r="AE95" s="30">
        <v>458947.0</v>
      </c>
      <c r="AF95" s="30">
        <v>435777.0</v>
      </c>
      <c r="AG95" s="30">
        <v>487223.99999000004</v>
      </c>
      <c r="AH95" s="30">
        <v>507446.68942000007</v>
      </c>
      <c r="AI95" s="30">
        <v>552280.0</v>
      </c>
      <c r="AJ95" s="30">
        <f>+SUM(AJ9:AJ17)+AJ20+AJ21+AJ24+AJ25+SUM(AJ27:AJ31)+SUM(AJ33:AJ38)-SUM(AJ46:AJ47)-SUM(AJ51:AJ56)-SUM(AJ61:AJ63)-AJ66-SUM(AJ69:AJ70)-SUM(AJ74:AJ77)</f>
        <v>744297</v>
      </c>
      <c r="AK95" s="30">
        <v>752963.0</v>
      </c>
      <c r="AL95" s="30">
        <v>801829.0</v>
      </c>
    </row>
    <row r="96" ht="14.25" customHeight="1">
      <c r="B96" s="30" t="s">
        <v>323</v>
      </c>
      <c r="J96" s="30">
        <v>76973.0</v>
      </c>
      <c r="K96" s="30">
        <v>70422.0</v>
      </c>
      <c r="L96" s="30">
        <v>66556.0</v>
      </c>
      <c r="M96" s="30">
        <v>-69815.0</v>
      </c>
      <c r="N96" s="30">
        <v>71528.0</v>
      </c>
      <c r="O96" s="30">
        <v>65509.0</v>
      </c>
      <c r="P96" s="30">
        <v>59853.0</v>
      </c>
      <c r="Q96" s="30">
        <v>52607.0</v>
      </c>
      <c r="R96" s="30">
        <v>69492.0</v>
      </c>
      <c r="S96" s="30">
        <v>51624.0</v>
      </c>
      <c r="T96" s="30">
        <v>54726.0</v>
      </c>
      <c r="U96" s="30">
        <v>63078.0</v>
      </c>
      <c r="V96" s="30">
        <v>79141.0</v>
      </c>
      <c r="W96" s="30">
        <v>103303.0</v>
      </c>
      <c r="X96" s="30">
        <v>105848.0</v>
      </c>
      <c r="Y96" s="30">
        <v>108811.0</v>
      </c>
      <c r="Z96" s="30">
        <v>122120.0</v>
      </c>
      <c r="AA96" s="30">
        <v>159082.0</v>
      </c>
      <c r="AB96" s="30">
        <v>205139.0</v>
      </c>
      <c r="AC96" s="30">
        <v>205273.0</v>
      </c>
      <c r="AD96" s="30">
        <v>226922.0</v>
      </c>
      <c r="AE96" s="30">
        <v>271795.0</v>
      </c>
      <c r="AF96" s="30">
        <v>232718.0</v>
      </c>
      <c r="AG96" s="30">
        <v>276728.0</v>
      </c>
      <c r="AH96" s="30">
        <v>239246.0</v>
      </c>
      <c r="AI96" s="30">
        <v>223530.0</v>
      </c>
      <c r="AJ96" s="30">
        <f>AJ9+AJ10</f>
        <v>356208</v>
      </c>
      <c r="AK96" s="30">
        <v>319533.0</v>
      </c>
      <c r="AL96" s="30">
        <v>380240.0</v>
      </c>
    </row>
    <row r="97" ht="14.25" customHeight="1">
      <c r="B97" s="30" t="s">
        <v>324</v>
      </c>
      <c r="J97" s="30">
        <v>38119.0</v>
      </c>
      <c r="K97" s="30">
        <v>46227.0</v>
      </c>
      <c r="L97" s="30">
        <v>44802.0</v>
      </c>
      <c r="M97" s="30">
        <v>-41631.0</v>
      </c>
      <c r="N97" s="30">
        <v>46741.0</v>
      </c>
      <c r="O97" s="30">
        <v>50595.0</v>
      </c>
      <c r="P97" s="30">
        <v>47719.0</v>
      </c>
      <c r="Q97" s="30">
        <v>34872.0</v>
      </c>
      <c r="R97" s="30">
        <v>30346.0</v>
      </c>
      <c r="S97" s="30">
        <v>28433.0</v>
      </c>
      <c r="T97" s="30">
        <v>28929.0</v>
      </c>
      <c r="U97" s="30">
        <v>29256.0</v>
      </c>
      <c r="V97" s="30">
        <v>35301.0</v>
      </c>
      <c r="W97" s="30">
        <v>45760.0</v>
      </c>
      <c r="X97" s="30">
        <v>54865.0</v>
      </c>
      <c r="Y97" s="30">
        <v>50232.0</v>
      </c>
      <c r="Z97" s="30">
        <v>59027.00001</v>
      </c>
      <c r="AA97" s="30">
        <v>82013.99995</v>
      </c>
      <c r="AB97" s="30">
        <v>100867.00004</v>
      </c>
      <c r="AC97" s="30">
        <v>110190.00005999999</v>
      </c>
      <c r="AD97" s="30">
        <v>113370.0</v>
      </c>
      <c r="AE97" s="30">
        <v>116608.0</v>
      </c>
      <c r="AF97" s="30">
        <v>126533.0</v>
      </c>
      <c r="AG97" s="30">
        <v>117247.0</v>
      </c>
      <c r="AH97" s="30">
        <v>96268.0</v>
      </c>
      <c r="AI97" s="30">
        <v>99006.0</v>
      </c>
      <c r="AJ97" s="30">
        <f>AJ46+AJ47+AJ53+AJ66+AJ51</f>
        <v>179263</v>
      </c>
      <c r="AK97" s="30">
        <v>145503.0</v>
      </c>
      <c r="AL97" s="30">
        <v>149274.0</v>
      </c>
    </row>
    <row r="98" ht="14.25" customHeight="1">
      <c r="B98" s="30" t="s">
        <v>325</v>
      </c>
      <c r="J98" s="30">
        <v>38854.0</v>
      </c>
      <c r="K98" s="30">
        <v>24195.0</v>
      </c>
      <c r="L98" s="30">
        <v>21754.0</v>
      </c>
      <c r="M98" s="30">
        <v>-28184.0</v>
      </c>
      <c r="N98" s="30">
        <v>24787.0</v>
      </c>
      <c r="O98" s="30">
        <v>14914.0</v>
      </c>
      <c r="P98" s="30">
        <v>12134.0</v>
      </c>
      <c r="Q98" s="30">
        <v>17735.0</v>
      </c>
      <c r="R98" s="30">
        <v>39146.0</v>
      </c>
      <c r="S98" s="30">
        <v>23191.0</v>
      </c>
      <c r="T98" s="30">
        <v>25797.0</v>
      </c>
      <c r="U98" s="30">
        <v>33822.0</v>
      </c>
      <c r="V98" s="30">
        <v>43840.0</v>
      </c>
      <c r="W98" s="30">
        <v>57543.0</v>
      </c>
      <c r="X98" s="30">
        <v>50983.0</v>
      </c>
      <c r="Y98" s="30">
        <v>58579.0</v>
      </c>
      <c r="Z98" s="30">
        <v>63092.99999</v>
      </c>
      <c r="AA98" s="30">
        <v>77068.00005</v>
      </c>
      <c r="AB98" s="30">
        <v>104271.99996</v>
      </c>
      <c r="AC98" s="30">
        <v>95082.99994000001</v>
      </c>
      <c r="AD98" s="30">
        <v>113552.0</v>
      </c>
      <c r="AE98" s="30">
        <v>155187.0</v>
      </c>
      <c r="AF98" s="30">
        <v>106185.0</v>
      </c>
      <c r="AG98" s="30">
        <v>159481.0</v>
      </c>
      <c r="AH98" s="30">
        <v>142978.0</v>
      </c>
      <c r="AI98" s="30">
        <v>124524.0</v>
      </c>
      <c r="AJ98" s="30">
        <f>AJ96-AJ97</f>
        <v>176945</v>
      </c>
      <c r="AK98" s="30">
        <v>174030.0</v>
      </c>
      <c r="AL98" s="30">
        <v>230966.0</v>
      </c>
    </row>
    <row r="99" ht="14.25" customHeight="1">
      <c r="K99" s="30">
        <v>0.0</v>
      </c>
      <c r="L99" s="30">
        <v>0.0</v>
      </c>
      <c r="M99" s="30">
        <v>0.0</v>
      </c>
      <c r="N99" s="30">
        <v>0.0</v>
      </c>
      <c r="O99" s="30">
        <v>0.0</v>
      </c>
      <c r="P99" s="30">
        <v>0.0</v>
      </c>
      <c r="Q99" s="30">
        <v>0.0</v>
      </c>
      <c r="R99" s="30">
        <v>0.0</v>
      </c>
      <c r="S99" s="30">
        <v>0.0</v>
      </c>
      <c r="T99" s="30">
        <v>0.0</v>
      </c>
      <c r="U99" s="30">
        <v>0.0</v>
      </c>
      <c r="V99" s="30">
        <v>0.0</v>
      </c>
      <c r="W99" s="30">
        <v>0.0</v>
      </c>
      <c r="X99" s="30">
        <v>0.0</v>
      </c>
      <c r="Y99" s="30">
        <v>0.0</v>
      </c>
      <c r="Z99" s="30">
        <v>0.0</v>
      </c>
      <c r="AA99" s="30">
        <v>0.0</v>
      </c>
      <c r="AB99" s="30">
        <v>0.0</v>
      </c>
      <c r="AC99" s="30">
        <v>0.0</v>
      </c>
      <c r="AD99" s="30">
        <v>0.0</v>
      </c>
      <c r="AE99" s="30">
        <v>0.0</v>
      </c>
      <c r="AF99" s="30">
        <v>0.0</v>
      </c>
      <c r="AG99" s="30">
        <v>0.0</v>
      </c>
      <c r="AH99" s="30">
        <v>0.0</v>
      </c>
      <c r="AI99" s="30">
        <v>0.0</v>
      </c>
    </row>
    <row r="100" ht="14.25" customHeight="1">
      <c r="B100" s="30" t="s">
        <v>326</v>
      </c>
      <c r="K100" s="30">
        <v>0.0</v>
      </c>
      <c r="L100" s="30">
        <v>0.0</v>
      </c>
      <c r="M100" s="30">
        <v>0.0</v>
      </c>
      <c r="N100" s="30">
        <v>0.0</v>
      </c>
      <c r="O100" s="30">
        <v>0.0</v>
      </c>
      <c r="P100" s="30">
        <v>0.0</v>
      </c>
      <c r="Q100" s="30">
        <v>0.0</v>
      </c>
      <c r="R100" s="30">
        <v>0.0</v>
      </c>
      <c r="S100" s="30">
        <v>0.0</v>
      </c>
      <c r="T100" s="30">
        <v>0.0</v>
      </c>
      <c r="U100" s="30">
        <v>0.0</v>
      </c>
      <c r="V100" s="30">
        <v>0.0</v>
      </c>
      <c r="W100" s="30">
        <v>0.0</v>
      </c>
      <c r="X100" s="30">
        <v>0.0</v>
      </c>
      <c r="Y100" s="30">
        <v>0.0</v>
      </c>
      <c r="Z100" s="30">
        <v>0.0</v>
      </c>
      <c r="AA100" s="30">
        <v>0.0</v>
      </c>
      <c r="AB100" s="30">
        <v>0.0</v>
      </c>
      <c r="AC100" s="30">
        <v>0.0</v>
      </c>
      <c r="AD100" s="30">
        <v>0.0</v>
      </c>
      <c r="AE100" s="30">
        <v>0.0</v>
      </c>
      <c r="AF100" s="30">
        <v>0.0</v>
      </c>
      <c r="AG100" s="30">
        <v>0.0</v>
      </c>
      <c r="AH100" s="30">
        <v>0.0</v>
      </c>
      <c r="AI100" s="30">
        <v>0.0</v>
      </c>
    </row>
    <row r="101" ht="14.25" customHeight="1">
      <c r="B101" s="30" t="s">
        <v>327</v>
      </c>
      <c r="J101" s="30">
        <v>74176.0</v>
      </c>
      <c r="K101" s="30">
        <v>75253.0</v>
      </c>
      <c r="L101" s="30">
        <v>75221.0</v>
      </c>
      <c r="M101" s="30">
        <v>-73498.0</v>
      </c>
      <c r="N101" s="30">
        <v>74344.0</v>
      </c>
      <c r="O101" s="30">
        <v>84667.0</v>
      </c>
      <c r="P101" s="30">
        <v>85821.0</v>
      </c>
      <c r="Q101" s="30">
        <v>85447.0</v>
      </c>
      <c r="R101" s="30">
        <v>81580.0</v>
      </c>
      <c r="S101" s="30">
        <v>78365.0</v>
      </c>
      <c r="T101" s="30">
        <v>75723.0</v>
      </c>
      <c r="U101" s="30">
        <v>75984.0</v>
      </c>
      <c r="V101" s="30">
        <v>85373.0</v>
      </c>
      <c r="W101" s="30">
        <v>101481.0</v>
      </c>
      <c r="X101" s="30">
        <v>100857.0</v>
      </c>
      <c r="Y101" s="30">
        <v>105918.0</v>
      </c>
      <c r="Z101" s="30">
        <v>107649.0</v>
      </c>
      <c r="AA101" s="30">
        <v>143116.0</v>
      </c>
      <c r="AB101" s="30">
        <v>161677.0</v>
      </c>
      <c r="AC101" s="30">
        <v>184785.0</v>
      </c>
      <c r="AD101" s="30">
        <v>205785.0</v>
      </c>
      <c r="AE101" s="30">
        <v>246722.0</v>
      </c>
      <c r="AF101" s="30">
        <v>267728.0</v>
      </c>
      <c r="AG101" s="30">
        <v>289246.0</v>
      </c>
      <c r="AH101" s="30">
        <v>315241.0</v>
      </c>
      <c r="AI101" s="30">
        <v>324184.0</v>
      </c>
      <c r="AJ101" s="30">
        <v>360280.0</v>
      </c>
      <c r="AK101" s="30">
        <v>492387.0</v>
      </c>
      <c r="AL101" s="30">
        <v>547253.0</v>
      </c>
    </row>
    <row r="102" ht="14.25" customHeight="1">
      <c r="B102" s="30" t="s">
        <v>328</v>
      </c>
      <c r="J102" s="30">
        <v>5168.0</v>
      </c>
      <c r="K102" s="30">
        <v>4064.0</v>
      </c>
      <c r="L102" s="30">
        <v>2329.661689999999</v>
      </c>
      <c r="M102" s="30">
        <v>-3287.338310000001</v>
      </c>
      <c r="N102" s="30">
        <v>6374.29017</v>
      </c>
      <c r="O102" s="30">
        <v>5435.0</v>
      </c>
      <c r="P102" s="30">
        <v>4875.448585999999</v>
      </c>
      <c r="Q102" s="30">
        <v>821.2612440000012</v>
      </c>
      <c r="R102" s="30">
        <v>1904.0</v>
      </c>
      <c r="S102" s="30">
        <v>729.0</v>
      </c>
      <c r="T102" s="30">
        <v>5915.0</v>
      </c>
      <c r="U102" s="30">
        <v>8056.0</v>
      </c>
      <c r="V102" s="30">
        <v>21032.0</v>
      </c>
      <c r="W102" s="30">
        <v>4818.102</v>
      </c>
      <c r="X102" s="30">
        <v>10711.557219999999</v>
      </c>
      <c r="Y102" s="30">
        <v>8004.598330000001</v>
      </c>
      <c r="Z102" s="30">
        <v>10134.35473</v>
      </c>
      <c r="AA102" s="30">
        <v>15101.0</v>
      </c>
      <c r="AB102" s="30">
        <v>29575.0</v>
      </c>
      <c r="AC102" s="30">
        <v>25491.52699</v>
      </c>
      <c r="AD102" s="30">
        <v>23951.836929999998</v>
      </c>
      <c r="AE102" s="30">
        <v>24666.09883000001</v>
      </c>
      <c r="AF102" s="30">
        <v>25514.0</v>
      </c>
      <c r="AG102" s="30">
        <v>27085.0</v>
      </c>
      <c r="AH102" s="30">
        <v>19612.0</v>
      </c>
      <c r="AI102" s="30">
        <v>14244.0</v>
      </c>
      <c r="AJ102" s="30">
        <v>19474.0</v>
      </c>
      <c r="AK102" s="30">
        <v>18456.332511764704</v>
      </c>
      <c r="AL102" s="30">
        <v>-7069.0</v>
      </c>
    </row>
    <row r="103" ht="14.25" customHeight="1">
      <c r="B103" s="30" t="s">
        <v>329</v>
      </c>
      <c r="K103" s="30">
        <v>0.0</v>
      </c>
      <c r="L103" s="30">
        <v>0.0</v>
      </c>
      <c r="M103" s="30">
        <v>0.0</v>
      </c>
      <c r="N103" s="30">
        <v>0.0</v>
      </c>
      <c r="O103" s="30">
        <v>0.0</v>
      </c>
      <c r="P103" s="30">
        <v>0.0</v>
      </c>
      <c r="Q103" s="30">
        <v>0.0</v>
      </c>
      <c r="R103" s="30">
        <v>0.0</v>
      </c>
      <c r="S103" s="30">
        <v>1889.0</v>
      </c>
      <c r="T103" s="30">
        <v>-211.0</v>
      </c>
      <c r="U103" s="30">
        <v>5772.0</v>
      </c>
      <c r="V103" s="30">
        <v>0.0</v>
      </c>
      <c r="W103" s="30">
        <v>0.0</v>
      </c>
      <c r="X103" s="30">
        <v>0.0</v>
      </c>
      <c r="Y103" s="30">
        <v>0.0</v>
      </c>
      <c r="Z103" s="30">
        <v>19342.0</v>
      </c>
      <c r="AA103" s="30">
        <v>7521.0</v>
      </c>
      <c r="AB103" s="30">
        <v>0.0</v>
      </c>
      <c r="AC103" s="30">
        <v>2156.0</v>
      </c>
      <c r="AD103" s="30">
        <v>25566.0</v>
      </c>
      <c r="AE103" s="30">
        <v>3423.0</v>
      </c>
      <c r="AF103" s="30">
        <v>3854.0</v>
      </c>
      <c r="AG103" s="30">
        <v>5333.0</v>
      </c>
      <c r="AH103" s="30">
        <v>1075.0</v>
      </c>
      <c r="AI103" s="30">
        <v>32995.0</v>
      </c>
      <c r="AJ103" s="30">
        <v>120633.0</v>
      </c>
      <c r="AK103" s="30">
        <v>49498.0</v>
      </c>
      <c r="AL103" s="30">
        <v>0.0</v>
      </c>
    </row>
    <row r="104" ht="14.25" customHeight="1">
      <c r="B104" s="30" t="s">
        <v>330</v>
      </c>
      <c r="K104" s="30">
        <v>0.0</v>
      </c>
      <c r="L104" s="30">
        <v>0.0</v>
      </c>
      <c r="M104" s="30">
        <v>0.0</v>
      </c>
      <c r="N104" s="30">
        <v>0.0</v>
      </c>
      <c r="O104" s="30">
        <v>0.0</v>
      </c>
      <c r="P104" s="30">
        <v>0.0</v>
      </c>
      <c r="Q104" s="30">
        <v>0.0</v>
      </c>
      <c r="R104" s="30">
        <v>0.0</v>
      </c>
      <c r="S104" s="30">
        <v>0.0</v>
      </c>
      <c r="T104" s="30">
        <v>0.0</v>
      </c>
      <c r="U104" s="30">
        <v>0.0</v>
      </c>
      <c r="V104" s="30">
        <v>0.0</v>
      </c>
      <c r="W104" s="30">
        <v>0.0</v>
      </c>
      <c r="X104" s="30">
        <v>0.0</v>
      </c>
      <c r="Y104" s="30">
        <v>-2045.0</v>
      </c>
      <c r="Z104" s="30">
        <v>0.0</v>
      </c>
      <c r="AA104" s="30">
        <v>0.0</v>
      </c>
      <c r="AB104" s="30">
        <v>0.0</v>
      </c>
      <c r="AC104" s="30">
        <v>0.0</v>
      </c>
      <c r="AD104" s="30">
        <v>0.0</v>
      </c>
      <c r="AE104" s="30">
        <v>0.0</v>
      </c>
      <c r="AF104" s="30">
        <v>0.0</v>
      </c>
      <c r="AG104" s="30">
        <v>0.0</v>
      </c>
      <c r="AH104" s="30">
        <v>0.0</v>
      </c>
      <c r="AI104" s="30">
        <v>0.0</v>
      </c>
      <c r="AJ104" s="30">
        <v>0.0</v>
      </c>
      <c r="AK104" s="30">
        <v>0.0</v>
      </c>
      <c r="AL104" s="30">
        <v>0.0</v>
      </c>
    </row>
    <row r="105" ht="14.25" customHeight="1">
      <c r="B105" s="30" t="s">
        <v>331</v>
      </c>
      <c r="J105" s="30">
        <v>0.0</v>
      </c>
      <c r="K105" s="30">
        <v>0.0</v>
      </c>
      <c r="L105" s="30">
        <v>0.0</v>
      </c>
      <c r="M105" s="30">
        <v>0.0</v>
      </c>
      <c r="N105" s="30">
        <v>8647.0</v>
      </c>
      <c r="O105" s="30">
        <v>688.0</v>
      </c>
      <c r="P105" s="30">
        <v>277.0</v>
      </c>
      <c r="Q105" s="30">
        <v>219.0</v>
      </c>
      <c r="R105" s="30">
        <v>0.0</v>
      </c>
      <c r="S105" s="30">
        <v>0.0</v>
      </c>
      <c r="T105" s="30">
        <v>376.0</v>
      </c>
      <c r="U105" s="30">
        <v>1006.0</v>
      </c>
      <c r="V105" s="30">
        <v>0.0</v>
      </c>
      <c r="W105" s="30">
        <v>0.0</v>
      </c>
      <c r="X105" s="30">
        <v>0.0</v>
      </c>
      <c r="Y105" s="30">
        <v>681.0</v>
      </c>
      <c r="Z105" s="30">
        <v>11936.0</v>
      </c>
      <c r="AA105" s="30">
        <v>2382.0</v>
      </c>
      <c r="AB105" s="30">
        <v>476.0</v>
      </c>
      <c r="AC105" s="30">
        <v>318.0</v>
      </c>
      <c r="AD105" s="30">
        <v>456.0</v>
      </c>
      <c r="AE105" s="30">
        <v>2271.0</v>
      </c>
      <c r="AF105" s="30">
        <v>1138.0</v>
      </c>
      <c r="AG105" s="30">
        <v>6849.0</v>
      </c>
      <c r="AH105" s="30">
        <v>622.0</v>
      </c>
      <c r="AI105" s="30">
        <v>101.0</v>
      </c>
      <c r="AJ105" s="30">
        <v>5077.0</v>
      </c>
      <c r="AK105" s="30">
        <v>1081.0</v>
      </c>
      <c r="AL105" s="30">
        <v>0.0</v>
      </c>
    </row>
    <row r="106" ht="14.25" customHeight="1">
      <c r="B106" s="30" t="s">
        <v>332</v>
      </c>
      <c r="J106" s="30">
        <v>0.0</v>
      </c>
      <c r="K106" s="30">
        <v>0.0</v>
      </c>
      <c r="L106" s="30">
        <v>0.0</v>
      </c>
      <c r="M106" s="30">
        <v>0.0</v>
      </c>
      <c r="N106" s="30">
        <v>0.0</v>
      </c>
      <c r="O106" s="30">
        <v>0.0</v>
      </c>
      <c r="P106" s="30">
        <v>-499.0</v>
      </c>
      <c r="Q106" s="30">
        <v>103.0</v>
      </c>
      <c r="R106" s="30">
        <v>0.0</v>
      </c>
      <c r="S106" s="30">
        <v>0.0</v>
      </c>
      <c r="T106" s="30">
        <v>0.0</v>
      </c>
      <c r="U106" s="30">
        <v>0.0</v>
      </c>
      <c r="V106" s="30">
        <v>-16.0</v>
      </c>
      <c r="W106" s="30">
        <v>0.0</v>
      </c>
      <c r="X106" s="30">
        <v>0.0</v>
      </c>
      <c r="Y106" s="30">
        <v>0.0</v>
      </c>
      <c r="Z106" s="30">
        <v>0.0</v>
      </c>
      <c r="AA106" s="30">
        <v>0.0</v>
      </c>
      <c r="AB106" s="30">
        <v>0.0</v>
      </c>
      <c r="AC106" s="30">
        <v>0.0</v>
      </c>
      <c r="AD106" s="30">
        <v>-311.0</v>
      </c>
      <c r="AE106" s="30">
        <v>0.0</v>
      </c>
      <c r="AF106" s="30">
        <v>11.0</v>
      </c>
      <c r="AG106" s="30">
        <v>-1290.0</v>
      </c>
      <c r="AH106" s="30">
        <v>-1548.0</v>
      </c>
      <c r="AI106" s="30">
        <v>-140.0</v>
      </c>
      <c r="AJ106" s="30">
        <v>1.0</v>
      </c>
      <c r="AK106" s="30">
        <v>-1720.0</v>
      </c>
      <c r="AL106" s="30">
        <v>0.0</v>
      </c>
    </row>
    <row r="107" ht="14.25" customHeight="1">
      <c r="B107" s="30" t="s">
        <v>121</v>
      </c>
      <c r="J107" s="30">
        <v>-4091.0</v>
      </c>
      <c r="K107" s="30">
        <v>-4096.0</v>
      </c>
      <c r="L107" s="30">
        <v>-4052.661689999999</v>
      </c>
      <c r="M107" s="30">
        <v>2441.338310000001</v>
      </c>
      <c r="N107" s="30">
        <v>-4698.29017</v>
      </c>
      <c r="O107" s="30">
        <v>-4969.0</v>
      </c>
      <c r="P107" s="30">
        <v>-5027.448585999999</v>
      </c>
      <c r="Q107" s="30">
        <v>-5010.261244000001</v>
      </c>
      <c r="R107" s="30">
        <v>-5119.0</v>
      </c>
      <c r="S107" s="30">
        <v>-5260.0</v>
      </c>
      <c r="T107" s="30">
        <v>-5819.0</v>
      </c>
      <c r="U107" s="30">
        <v>-5445.0</v>
      </c>
      <c r="V107" s="30">
        <v>-4908.0</v>
      </c>
      <c r="W107" s="30">
        <v>-5442.102</v>
      </c>
      <c r="X107" s="30">
        <v>-5650.55722</v>
      </c>
      <c r="Y107" s="30">
        <v>-4909.598330000001</v>
      </c>
      <c r="Z107" s="30">
        <v>-5945.35473</v>
      </c>
      <c r="AA107" s="30">
        <v>-6443.0</v>
      </c>
      <c r="AB107" s="30">
        <v>-6943.0</v>
      </c>
      <c r="AC107" s="30">
        <v>-6965.52699</v>
      </c>
      <c r="AD107" s="30">
        <v>-8725.83693</v>
      </c>
      <c r="AE107" s="30">
        <v>-9354.098830000008</v>
      </c>
      <c r="AF107" s="30">
        <v>-8999.0</v>
      </c>
      <c r="AG107" s="30">
        <v>-11982.0</v>
      </c>
      <c r="AH107" s="30">
        <v>-10818.0</v>
      </c>
      <c r="AI107" s="30">
        <v>-11104.0</v>
      </c>
      <c r="AJ107" s="30">
        <v>-13078.0</v>
      </c>
      <c r="AK107" s="30">
        <v>-14136.332511764707</v>
      </c>
      <c r="AL107" s="30">
        <v>-18464.0</v>
      </c>
    </row>
    <row r="108" ht="14.25" customHeight="1">
      <c r="B108" s="30" t="s">
        <v>333</v>
      </c>
      <c r="J108" s="30">
        <v>75253.0</v>
      </c>
      <c r="K108" s="30">
        <v>75221.0</v>
      </c>
      <c r="L108" s="30">
        <v>73498.0</v>
      </c>
      <c r="M108" s="30">
        <v>-74344.0</v>
      </c>
      <c r="N108" s="30">
        <v>84667.0</v>
      </c>
      <c r="O108" s="30">
        <v>85821.0</v>
      </c>
      <c r="P108" s="30">
        <v>85447.0</v>
      </c>
      <c r="Q108" s="30">
        <v>81580.0</v>
      </c>
      <c r="R108" s="30">
        <v>78365.0</v>
      </c>
      <c r="S108" s="30">
        <v>75723.0</v>
      </c>
      <c r="T108" s="30">
        <v>75984.0</v>
      </c>
      <c r="U108" s="30">
        <v>85373.0</v>
      </c>
      <c r="V108" s="30">
        <v>101481.0</v>
      </c>
      <c r="W108" s="30">
        <v>100857.0</v>
      </c>
      <c r="X108" s="30">
        <v>105918.0</v>
      </c>
      <c r="Y108" s="30">
        <v>107649.0</v>
      </c>
      <c r="Z108" s="30">
        <v>143116.0</v>
      </c>
      <c r="AA108" s="30">
        <v>161677.0</v>
      </c>
      <c r="AB108" s="30">
        <v>184785.0</v>
      </c>
      <c r="AC108" s="30">
        <v>205785.0</v>
      </c>
      <c r="AD108" s="30">
        <v>246722.0</v>
      </c>
      <c r="AE108" s="30">
        <v>267728.0</v>
      </c>
      <c r="AF108" s="30">
        <v>289246.0</v>
      </c>
      <c r="AG108" s="30">
        <v>315241.0</v>
      </c>
      <c r="AH108" s="30">
        <v>324184.0</v>
      </c>
      <c r="AI108" s="30">
        <v>360280.0</v>
      </c>
      <c r="AJ108" s="30">
        <v>492387.0</v>
      </c>
      <c r="AK108" s="30">
        <v>547253.0</v>
      </c>
      <c r="AL108" s="30">
        <v>521720.0</v>
      </c>
    </row>
    <row r="109" ht="14.25" customHeight="1">
      <c r="K109" s="30">
        <v>0.0</v>
      </c>
      <c r="L109" s="30">
        <v>0.0</v>
      </c>
      <c r="M109" s="30">
        <v>0.0</v>
      </c>
      <c r="N109" s="30">
        <v>0.0</v>
      </c>
      <c r="O109" s="30">
        <v>0.0</v>
      </c>
      <c r="P109" s="30">
        <v>0.0</v>
      </c>
      <c r="Q109" s="30">
        <v>0.0</v>
      </c>
      <c r="R109" s="30">
        <v>0.0</v>
      </c>
      <c r="S109" s="30">
        <v>0.0</v>
      </c>
      <c r="T109" s="30">
        <v>0.0</v>
      </c>
      <c r="U109" s="30">
        <v>0.0</v>
      </c>
      <c r="V109" s="30">
        <v>0.0</v>
      </c>
      <c r="W109" s="30">
        <v>0.0</v>
      </c>
      <c r="X109" s="30">
        <v>0.0</v>
      </c>
      <c r="Y109" s="30">
        <v>0.0</v>
      </c>
      <c r="Z109" s="30">
        <v>0.0</v>
      </c>
      <c r="AA109" s="30">
        <v>0.0</v>
      </c>
      <c r="AB109" s="30">
        <v>0.0</v>
      </c>
      <c r="AC109" s="30">
        <v>0.0</v>
      </c>
      <c r="AD109" s="30">
        <v>0.0</v>
      </c>
      <c r="AE109" s="30">
        <v>0.0</v>
      </c>
      <c r="AF109" s="30">
        <v>0.0</v>
      </c>
      <c r="AG109" s="30">
        <v>0.0</v>
      </c>
      <c r="AH109" s="30">
        <v>0.0</v>
      </c>
      <c r="AI109" s="30">
        <v>0.0</v>
      </c>
    </row>
    <row r="110" ht="14.25" customHeight="1">
      <c r="B110" s="30" t="s">
        <v>334</v>
      </c>
      <c r="K110" s="30">
        <v>0.0</v>
      </c>
      <c r="L110" s="30">
        <v>0.0</v>
      </c>
      <c r="M110" s="30">
        <v>0.0</v>
      </c>
      <c r="N110" s="30">
        <v>0.0</v>
      </c>
      <c r="O110" s="30">
        <v>0.0</v>
      </c>
      <c r="P110" s="30">
        <v>0.0</v>
      </c>
      <c r="Q110" s="30">
        <v>0.0</v>
      </c>
      <c r="R110" s="30">
        <v>0.0</v>
      </c>
      <c r="S110" s="30">
        <v>0.0</v>
      </c>
      <c r="T110" s="30">
        <v>0.0</v>
      </c>
      <c r="U110" s="30">
        <v>0.0</v>
      </c>
      <c r="V110" s="30">
        <v>0.0</v>
      </c>
      <c r="W110" s="30">
        <v>0.0</v>
      </c>
      <c r="X110" s="30">
        <v>0.0</v>
      </c>
      <c r="Y110" s="30">
        <v>0.0</v>
      </c>
      <c r="Z110" s="30">
        <v>0.0</v>
      </c>
      <c r="AA110" s="30">
        <v>0.0</v>
      </c>
      <c r="AB110" s="30">
        <v>0.0</v>
      </c>
      <c r="AC110" s="30">
        <v>0.0</v>
      </c>
      <c r="AD110" s="30">
        <v>0.0</v>
      </c>
      <c r="AE110" s="30">
        <v>0.0</v>
      </c>
      <c r="AF110" s="30">
        <v>0.0</v>
      </c>
      <c r="AG110" s="30">
        <v>0.0</v>
      </c>
      <c r="AH110" s="30">
        <v>0.0</v>
      </c>
      <c r="AI110" s="30">
        <v>0.0</v>
      </c>
    </row>
    <row r="111" ht="14.25" customHeight="1">
      <c r="B111" s="30" t="s">
        <v>335</v>
      </c>
      <c r="J111" s="30">
        <v>54774.0</v>
      </c>
      <c r="K111" s="30">
        <v>55229.0</v>
      </c>
      <c r="L111" s="30">
        <v>61867.0</v>
      </c>
      <c r="M111" s="30">
        <v>-60675.0</v>
      </c>
      <c r="N111" s="30">
        <v>66129.0</v>
      </c>
      <c r="O111" s="30">
        <v>65624.0</v>
      </c>
      <c r="P111" s="30">
        <v>62916.0</v>
      </c>
      <c r="Q111" s="30">
        <v>59973.0</v>
      </c>
      <c r="R111" s="30">
        <v>74609.0</v>
      </c>
      <c r="S111" s="30">
        <v>235391.0</v>
      </c>
      <c r="T111" s="30">
        <v>218169.0</v>
      </c>
      <c r="U111" s="30">
        <v>209663.0</v>
      </c>
      <c r="V111" s="30">
        <v>225586.0</v>
      </c>
      <c r="W111" s="30">
        <v>224555.0</v>
      </c>
      <c r="X111" s="30">
        <v>228478.0</v>
      </c>
      <c r="Y111" s="30">
        <v>230468.0</v>
      </c>
      <c r="Z111" s="30">
        <v>229080.0</v>
      </c>
      <c r="AA111" s="30">
        <v>234769.0</v>
      </c>
      <c r="AB111" s="30">
        <v>251642.0</v>
      </c>
      <c r="AC111" s="30">
        <v>291582.0</v>
      </c>
      <c r="AD111" s="30">
        <v>221762.0</v>
      </c>
      <c r="AE111" s="30">
        <v>229320.0</v>
      </c>
      <c r="AF111" s="30">
        <v>239387.0</v>
      </c>
      <c r="AG111" s="30">
        <v>242021.0</v>
      </c>
      <c r="AH111" s="30">
        <v>238704.0</v>
      </c>
      <c r="AI111" s="30">
        <v>326599.0</v>
      </c>
      <c r="AJ111" s="30">
        <v>319796.0</v>
      </c>
      <c r="AK111" s="30">
        <v>362068.0</v>
      </c>
      <c r="AL111" s="30">
        <v>369088.0</v>
      </c>
    </row>
    <row r="112" ht="14.25" customHeight="1">
      <c r="B112" s="30" t="s">
        <v>336</v>
      </c>
      <c r="J112" s="30">
        <v>0.0</v>
      </c>
      <c r="K112" s="30">
        <v>11500.0</v>
      </c>
      <c r="L112" s="30">
        <v>0.0</v>
      </c>
      <c r="M112" s="30">
        <v>0.0</v>
      </c>
      <c r="N112" s="30">
        <v>0.0</v>
      </c>
      <c r="O112" s="30">
        <v>0.0</v>
      </c>
      <c r="P112" s="30">
        <v>0.0</v>
      </c>
      <c r="Q112" s="30">
        <v>20000.0</v>
      </c>
      <c r="R112" s="30">
        <v>173913.0</v>
      </c>
      <c r="S112" s="30">
        <v>0.0</v>
      </c>
      <c r="T112" s="30">
        <v>2274.0</v>
      </c>
      <c r="U112" s="30">
        <v>98.0</v>
      </c>
      <c r="V112" s="30">
        <v>0.0</v>
      </c>
      <c r="W112" s="30">
        <v>305.0</v>
      </c>
      <c r="X112" s="30">
        <v>0.0</v>
      </c>
      <c r="Y112" s="30">
        <v>0.0</v>
      </c>
      <c r="Z112" s="30">
        <v>230.0</v>
      </c>
      <c r="AA112" s="30">
        <v>0.0</v>
      </c>
      <c r="AB112" s="30">
        <v>0.0</v>
      </c>
      <c r="AC112" s="30">
        <v>0.0</v>
      </c>
      <c r="AD112" s="30">
        <v>0.0</v>
      </c>
      <c r="AE112" s="30">
        <v>0.0</v>
      </c>
      <c r="AF112" s="30">
        <v>0.0</v>
      </c>
      <c r="AG112" s="30">
        <v>0.0</v>
      </c>
      <c r="AH112" s="30">
        <v>89375.0</v>
      </c>
      <c r="AI112" s="30">
        <v>0.0</v>
      </c>
    </row>
    <row r="113" ht="14.25" customHeight="1">
      <c r="B113" s="30" t="s">
        <v>337</v>
      </c>
      <c r="J113" s="30">
        <v>0.0</v>
      </c>
      <c r="K113" s="30">
        <v>0.0</v>
      </c>
      <c r="L113" s="30">
        <v>0.0</v>
      </c>
      <c r="M113" s="30">
        <v>0.0</v>
      </c>
      <c r="N113" s="30">
        <v>0.0</v>
      </c>
      <c r="O113" s="30">
        <v>0.0</v>
      </c>
      <c r="P113" s="30">
        <v>0.0</v>
      </c>
      <c r="Q113" s="30">
        <v>0.0</v>
      </c>
      <c r="R113" s="30">
        <v>-16401.0</v>
      </c>
      <c r="S113" s="30">
        <v>-105.0</v>
      </c>
      <c r="T113" s="30">
        <v>0.0</v>
      </c>
      <c r="U113" s="30">
        <v>0.0</v>
      </c>
      <c r="V113" s="30">
        <v>0.0</v>
      </c>
      <c r="W113" s="30">
        <v>0.0</v>
      </c>
      <c r="X113" s="30">
        <v>0.0</v>
      </c>
      <c r="Y113" s="30">
        <v>0.0</v>
      </c>
      <c r="Z113" s="30">
        <v>0.0</v>
      </c>
      <c r="AA113" s="30">
        <v>0.0</v>
      </c>
      <c r="AB113" s="30">
        <v>0.0</v>
      </c>
      <c r="AC113" s="30">
        <v>0.0</v>
      </c>
      <c r="AD113" s="30">
        <v>0.0</v>
      </c>
      <c r="AE113" s="30">
        <v>0.0</v>
      </c>
      <c r="AF113" s="30">
        <v>0.0</v>
      </c>
      <c r="AG113" s="30">
        <v>0.0</v>
      </c>
      <c r="AH113" s="30">
        <v>-4659.0</v>
      </c>
      <c r="AI113" s="30">
        <v>-20.0</v>
      </c>
      <c r="AK113" s="30">
        <v>-93.0</v>
      </c>
    </row>
    <row r="114" ht="14.25" customHeight="1">
      <c r="B114" s="30" t="s">
        <v>338</v>
      </c>
      <c r="J114" s="30">
        <v>-265.0</v>
      </c>
      <c r="K114" s="30">
        <v>-5020.0</v>
      </c>
      <c r="L114" s="30">
        <v>0.0</v>
      </c>
      <c r="M114" s="30">
        <v>0.0</v>
      </c>
      <c r="N114" s="30">
        <v>0.0</v>
      </c>
      <c r="O114" s="30">
        <v>0.0</v>
      </c>
      <c r="P114" s="30">
        <v>0.0</v>
      </c>
      <c r="Q114" s="30">
        <v>0.0</v>
      </c>
      <c r="R114" s="30">
        <v>0.0</v>
      </c>
      <c r="S114" s="30">
        <v>0.0</v>
      </c>
      <c r="T114" s="30">
        <v>0.0</v>
      </c>
      <c r="U114" s="30">
        <v>0.0</v>
      </c>
      <c r="V114" s="30">
        <v>0.0</v>
      </c>
      <c r="W114" s="30">
        <v>0.0</v>
      </c>
      <c r="X114" s="30">
        <v>0.0</v>
      </c>
      <c r="Y114" s="30">
        <v>0.0</v>
      </c>
      <c r="Z114" s="30">
        <v>0.0</v>
      </c>
      <c r="AA114" s="30">
        <v>0.0</v>
      </c>
      <c r="AB114" s="30">
        <v>0.0</v>
      </c>
      <c r="AC114" s="30">
        <v>0.0</v>
      </c>
      <c r="AD114" s="30">
        <v>0.0</v>
      </c>
      <c r="AE114" s="30">
        <v>0.0</v>
      </c>
      <c r="AF114" s="30">
        <v>0.0</v>
      </c>
      <c r="AG114" s="30">
        <v>0.0</v>
      </c>
      <c r="AH114" s="30">
        <v>0.0</v>
      </c>
      <c r="AI114" s="30">
        <v>0.0</v>
      </c>
    </row>
    <row r="115" ht="14.25" customHeight="1">
      <c r="B115" s="30" t="s">
        <v>339</v>
      </c>
      <c r="J115" s="30">
        <v>0.0</v>
      </c>
      <c r="K115" s="30">
        <v>0.0</v>
      </c>
      <c r="L115" s="30">
        <v>0.0</v>
      </c>
      <c r="M115" s="30">
        <v>0.0</v>
      </c>
      <c r="N115" s="30">
        <v>0.0</v>
      </c>
      <c r="O115" s="30">
        <v>-722.0</v>
      </c>
      <c r="P115" s="30">
        <v>0.0</v>
      </c>
      <c r="Q115" s="30">
        <v>0.0</v>
      </c>
      <c r="R115" s="30">
        <v>0.0</v>
      </c>
      <c r="S115" s="30">
        <v>0.0</v>
      </c>
      <c r="T115" s="30">
        <v>0.0</v>
      </c>
      <c r="U115" s="30">
        <v>0.0</v>
      </c>
      <c r="V115" s="30">
        <v>0.0</v>
      </c>
      <c r="W115" s="30">
        <v>0.0</v>
      </c>
      <c r="X115" s="30">
        <v>0.0</v>
      </c>
      <c r="Y115" s="30">
        <v>-3443.0</v>
      </c>
      <c r="Z115" s="30">
        <v>0.0</v>
      </c>
      <c r="AA115" s="30">
        <v>0.0</v>
      </c>
      <c r="AB115" s="30">
        <v>0.0</v>
      </c>
      <c r="AC115" s="30">
        <v>-8848.0</v>
      </c>
      <c r="AD115" s="30">
        <v>0.0</v>
      </c>
      <c r="AE115" s="30">
        <v>0.0</v>
      </c>
      <c r="AF115" s="30">
        <v>0.0</v>
      </c>
      <c r="AG115" s="30">
        <v>-3254.0</v>
      </c>
      <c r="AH115" s="30">
        <v>0.0</v>
      </c>
      <c r="AI115" s="30">
        <v>0.0</v>
      </c>
      <c r="AK115" s="30">
        <v>-2410.0</v>
      </c>
    </row>
    <row r="116" ht="14.25" customHeight="1">
      <c r="B116" s="30" t="s">
        <v>340</v>
      </c>
      <c r="J116" s="30">
        <v>0.0</v>
      </c>
      <c r="K116" s="30">
        <v>0.0</v>
      </c>
      <c r="L116" s="30">
        <v>0.0</v>
      </c>
      <c r="M116" s="30">
        <v>0.0</v>
      </c>
      <c r="N116" s="30">
        <v>0.0</v>
      </c>
      <c r="O116" s="30">
        <v>0.0</v>
      </c>
      <c r="P116" s="30">
        <v>0.0</v>
      </c>
      <c r="Q116" s="30">
        <v>0.0</v>
      </c>
      <c r="R116" s="30">
        <v>0.0</v>
      </c>
      <c r="S116" s="30">
        <v>0.0</v>
      </c>
      <c r="T116" s="30">
        <v>0.0</v>
      </c>
      <c r="U116" s="30">
        <v>0.0</v>
      </c>
      <c r="V116" s="30">
        <v>0.0</v>
      </c>
      <c r="W116" s="30">
        <v>0.0</v>
      </c>
      <c r="X116" s="30">
        <v>0.0</v>
      </c>
      <c r="Y116" s="30">
        <v>-128.0</v>
      </c>
      <c r="Z116" s="30">
        <v>0.0</v>
      </c>
      <c r="AA116" s="30">
        <v>0.0</v>
      </c>
      <c r="AB116" s="30">
        <v>0.0</v>
      </c>
      <c r="AC116" s="30">
        <v>-736.0</v>
      </c>
      <c r="AD116" s="30">
        <v>0.0</v>
      </c>
      <c r="AE116" s="30">
        <v>0.0</v>
      </c>
      <c r="AF116" s="30">
        <v>0.0</v>
      </c>
      <c r="AG116" s="30">
        <v>0.0</v>
      </c>
      <c r="AH116" s="30">
        <v>0.0</v>
      </c>
      <c r="AI116" s="30">
        <v>0.0</v>
      </c>
    </row>
    <row r="117" ht="14.25" customHeight="1">
      <c r="B117" s="30" t="s">
        <v>341</v>
      </c>
      <c r="J117" s="30">
        <v>0.0</v>
      </c>
      <c r="K117" s="30">
        <v>0.0</v>
      </c>
      <c r="L117" s="30">
        <v>0.0</v>
      </c>
      <c r="M117" s="30">
        <v>0.0</v>
      </c>
      <c r="N117" s="30">
        <v>0.0</v>
      </c>
      <c r="O117" s="30">
        <v>0.0</v>
      </c>
      <c r="P117" s="30">
        <v>0.0</v>
      </c>
      <c r="Q117" s="30">
        <v>0.0</v>
      </c>
      <c r="R117" s="30">
        <v>0.0</v>
      </c>
      <c r="S117" s="30">
        <v>0.0</v>
      </c>
      <c r="T117" s="30">
        <v>0.0</v>
      </c>
      <c r="U117" s="30">
        <v>0.0</v>
      </c>
      <c r="V117" s="30">
        <v>0.0</v>
      </c>
      <c r="W117" s="30">
        <v>0.0</v>
      </c>
      <c r="X117" s="30">
        <v>0.0</v>
      </c>
      <c r="Y117" s="30">
        <v>0.0</v>
      </c>
      <c r="Z117" s="30">
        <v>0.0</v>
      </c>
      <c r="AA117" s="30">
        <v>0.0</v>
      </c>
      <c r="AB117" s="30">
        <v>0.0</v>
      </c>
      <c r="AC117" s="30">
        <v>-41386.0</v>
      </c>
      <c r="AD117" s="30">
        <v>0.0</v>
      </c>
      <c r="AE117" s="30">
        <v>1118.0</v>
      </c>
      <c r="AF117" s="30">
        <v>0.0</v>
      </c>
      <c r="AG117" s="30">
        <v>-10225.0</v>
      </c>
      <c r="AH117" s="30">
        <v>0.0</v>
      </c>
      <c r="AI117" s="30">
        <v>-4087.0</v>
      </c>
      <c r="AK117" s="30">
        <v>-2080.0</v>
      </c>
    </row>
    <row r="118" ht="14.25" customHeight="1">
      <c r="B118" s="30" t="s">
        <v>342</v>
      </c>
      <c r="AK118" s="30">
        <v>-11180.0</v>
      </c>
    </row>
    <row r="119" ht="14.25" customHeight="1">
      <c r="B119" s="30" t="s">
        <v>343</v>
      </c>
      <c r="J119" s="30">
        <v>0.0</v>
      </c>
      <c r="K119" s="30">
        <v>0.0</v>
      </c>
      <c r="L119" s="30">
        <v>0.0</v>
      </c>
      <c r="M119" s="30">
        <v>0.0</v>
      </c>
      <c r="N119" s="30">
        <v>0.0</v>
      </c>
      <c r="O119" s="30">
        <v>0.0</v>
      </c>
      <c r="P119" s="30">
        <v>0.0</v>
      </c>
      <c r="Q119" s="30">
        <v>0.0</v>
      </c>
      <c r="R119" s="30">
        <v>0.0</v>
      </c>
      <c r="S119" s="30">
        <v>0.0</v>
      </c>
      <c r="T119" s="30">
        <v>5806.0</v>
      </c>
      <c r="U119" s="30">
        <v>0.0</v>
      </c>
      <c r="V119" s="30">
        <v>0.0</v>
      </c>
      <c r="W119" s="30">
        <v>0.0</v>
      </c>
      <c r="X119" s="30">
        <v>0.0</v>
      </c>
      <c r="Y119" s="30">
        <v>0.0</v>
      </c>
      <c r="Z119" s="30">
        <v>0.0</v>
      </c>
      <c r="AA119" s="30">
        <v>0.0</v>
      </c>
      <c r="AB119" s="30">
        <v>0.0</v>
      </c>
      <c r="AC119" s="30">
        <v>0.0</v>
      </c>
      <c r="AD119" s="30">
        <v>0.0</v>
      </c>
      <c r="AE119" s="30">
        <v>0.0</v>
      </c>
      <c r="AF119" s="30">
        <v>0.0</v>
      </c>
      <c r="AG119" s="30">
        <v>0.0</v>
      </c>
      <c r="AH119" s="30">
        <v>0.0</v>
      </c>
      <c r="AI119" s="30">
        <v>0.0</v>
      </c>
      <c r="AK119" s="30">
        <v>1434.0</v>
      </c>
      <c r="AL119" s="30">
        <v>1434.0</v>
      </c>
    </row>
    <row r="120" ht="14.25" customHeight="1">
      <c r="B120" s="30" t="s">
        <v>344</v>
      </c>
      <c r="J120" s="30">
        <v>0.0</v>
      </c>
      <c r="K120" s="30">
        <v>0.0</v>
      </c>
      <c r="L120" s="30">
        <v>0.0</v>
      </c>
      <c r="M120" s="30">
        <v>0.0</v>
      </c>
      <c r="N120" s="30">
        <v>0.0</v>
      </c>
      <c r="O120" s="30">
        <v>0.0</v>
      </c>
      <c r="P120" s="30">
        <v>0.0</v>
      </c>
      <c r="Q120" s="30">
        <v>0.0</v>
      </c>
      <c r="R120" s="30">
        <v>0.0</v>
      </c>
      <c r="S120" s="30">
        <v>0.0</v>
      </c>
      <c r="T120" s="30">
        <v>-11278.0</v>
      </c>
      <c r="U120" s="30">
        <v>-812.0</v>
      </c>
      <c r="V120" s="30">
        <v>0.0</v>
      </c>
      <c r="W120" s="30">
        <v>0.0</v>
      </c>
      <c r="X120" s="30">
        <v>0.0</v>
      </c>
      <c r="Y120" s="30">
        <v>-1256.0</v>
      </c>
      <c r="Z120" s="30">
        <v>0.0</v>
      </c>
      <c r="AA120" s="30">
        <v>0.0</v>
      </c>
      <c r="AB120" s="30">
        <v>0.0</v>
      </c>
      <c r="AC120" s="30">
        <v>-18968.0</v>
      </c>
      <c r="AD120" s="30">
        <v>-1307.0</v>
      </c>
      <c r="AE120" s="30">
        <v>0.0</v>
      </c>
      <c r="AF120" s="30">
        <v>0.0</v>
      </c>
      <c r="AG120" s="30">
        <v>0.0</v>
      </c>
      <c r="AH120" s="30">
        <v>0.0</v>
      </c>
      <c r="AI120" s="30">
        <v>0.0</v>
      </c>
    </row>
    <row r="121" ht="14.25" customHeight="1">
      <c r="B121" s="168" t="s">
        <v>345</v>
      </c>
      <c r="AJ121" s="30">
        <v>10252.0</v>
      </c>
    </row>
    <row r="122" ht="14.25" customHeight="1">
      <c r="B122" s="168" t="s">
        <v>346</v>
      </c>
      <c r="AL122" s="30">
        <v>-14438.0</v>
      </c>
    </row>
    <row r="123" ht="14.25" customHeight="1">
      <c r="B123" s="30" t="s">
        <v>347</v>
      </c>
      <c r="J123" s="30">
        <v>0.0</v>
      </c>
      <c r="K123" s="30">
        <v>0.0</v>
      </c>
      <c r="L123" s="30">
        <v>0.0</v>
      </c>
      <c r="M123" s="30">
        <v>0.0</v>
      </c>
      <c r="N123" s="30">
        <v>0.0</v>
      </c>
      <c r="O123" s="30">
        <v>0.0</v>
      </c>
      <c r="P123" s="30">
        <v>0.0</v>
      </c>
      <c r="Q123" s="30">
        <v>0.0</v>
      </c>
      <c r="R123" s="30">
        <v>0.0</v>
      </c>
      <c r="S123" s="30">
        <v>1035.0</v>
      </c>
      <c r="T123" s="30">
        <v>-378.0</v>
      </c>
      <c r="U123" s="30">
        <v>-79.0</v>
      </c>
      <c r="V123" s="30">
        <v>0.0</v>
      </c>
      <c r="W123" s="30">
        <v>0.0</v>
      </c>
      <c r="X123" s="30">
        <v>0.0</v>
      </c>
      <c r="Y123" s="30">
        <v>98.0</v>
      </c>
      <c r="Z123" s="30">
        <v>229.0</v>
      </c>
      <c r="AA123" s="30">
        <v>8649.0</v>
      </c>
      <c r="AB123" s="30">
        <v>6234.0</v>
      </c>
      <c r="AC123" s="30">
        <v>-12259.0</v>
      </c>
      <c r="AD123" s="30">
        <v>0.0</v>
      </c>
      <c r="AE123" s="30">
        <v>0.0</v>
      </c>
      <c r="AF123" s="30">
        <v>295.0</v>
      </c>
      <c r="AG123" s="30">
        <v>5236.0</v>
      </c>
      <c r="AH123" s="30">
        <v>344.0</v>
      </c>
      <c r="AI123" s="30">
        <v>0.0</v>
      </c>
      <c r="AJ123" s="30">
        <v>-725.0</v>
      </c>
    </row>
    <row r="124" ht="14.25" customHeight="1">
      <c r="B124" s="30" t="s">
        <v>348</v>
      </c>
      <c r="J124" s="30">
        <v>720.0</v>
      </c>
      <c r="K124" s="30">
        <v>158.0</v>
      </c>
      <c r="L124" s="30">
        <v>-1192.0</v>
      </c>
      <c r="M124" s="30">
        <v>-5454.0</v>
      </c>
      <c r="N124" s="30">
        <v>-505.0</v>
      </c>
      <c r="O124" s="30">
        <v>-1986.0</v>
      </c>
      <c r="P124" s="30">
        <v>-2943.0</v>
      </c>
      <c r="Q124" s="30">
        <v>-5364.0</v>
      </c>
      <c r="R124" s="30">
        <v>3270.0</v>
      </c>
      <c r="S124" s="30">
        <v>-18152.0</v>
      </c>
      <c r="T124" s="30">
        <v>-4930.0</v>
      </c>
      <c r="U124" s="30">
        <v>16716.0</v>
      </c>
      <c r="V124" s="30">
        <v>-1031.0</v>
      </c>
      <c r="W124" s="30">
        <v>6204.0</v>
      </c>
      <c r="X124" s="30">
        <v>3781.0</v>
      </c>
      <c r="Y124" s="30">
        <v>5545.0</v>
      </c>
      <c r="Z124" s="30">
        <v>5230.0</v>
      </c>
      <c r="AA124" s="30">
        <v>10946.0</v>
      </c>
      <c r="AB124" s="30">
        <v>36381.0</v>
      </c>
      <c r="AC124" s="30">
        <v>12377.0</v>
      </c>
      <c r="AD124" s="30">
        <v>8865.0</v>
      </c>
      <c r="AE124" s="30">
        <v>8949.0</v>
      </c>
      <c r="AF124" s="30">
        <v>2339.0</v>
      </c>
      <c r="AG124" s="30">
        <v>4926.0</v>
      </c>
      <c r="AH124" s="30">
        <v>2835.0</v>
      </c>
      <c r="AI124" s="30">
        <v>-2696.0</v>
      </c>
      <c r="AJ124" s="30">
        <v>20767.0</v>
      </c>
      <c r="AK124" s="30">
        <v>21349.0</v>
      </c>
      <c r="AL124" s="30">
        <v>4017.0</v>
      </c>
    </row>
    <row r="125" ht="14.25" customHeight="1">
      <c r="B125" s="30" t="s">
        <v>349</v>
      </c>
      <c r="J125" s="30">
        <v>0.0</v>
      </c>
      <c r="K125" s="30">
        <v>0.0</v>
      </c>
      <c r="L125" s="30">
        <v>0.0</v>
      </c>
      <c r="M125" s="30">
        <v>0.0</v>
      </c>
      <c r="N125" s="30">
        <v>0.0</v>
      </c>
      <c r="O125" s="30">
        <v>0.0</v>
      </c>
      <c r="P125" s="30">
        <v>0.0</v>
      </c>
      <c r="Q125" s="30">
        <v>0.0</v>
      </c>
      <c r="R125" s="30">
        <v>0.0</v>
      </c>
      <c r="S125" s="30">
        <v>0.0</v>
      </c>
      <c r="T125" s="30">
        <v>0.0</v>
      </c>
      <c r="U125" s="30">
        <v>0.0</v>
      </c>
      <c r="V125" s="30">
        <v>0.0</v>
      </c>
      <c r="W125" s="30">
        <v>-2586.0</v>
      </c>
      <c r="X125" s="30">
        <v>-1791.0</v>
      </c>
      <c r="Y125" s="30">
        <v>-2204.0</v>
      </c>
      <c r="Z125" s="30">
        <v>0.0</v>
      </c>
      <c r="AA125" s="30">
        <v>-2722.0</v>
      </c>
      <c r="AB125" s="30">
        <v>-2675.0</v>
      </c>
      <c r="AC125" s="30">
        <v>0.0</v>
      </c>
      <c r="AD125" s="30">
        <v>0.0</v>
      </c>
      <c r="AE125" s="30">
        <v>0.0</v>
      </c>
      <c r="AF125" s="30">
        <v>0.0</v>
      </c>
      <c r="AG125" s="30">
        <v>0.0</v>
      </c>
      <c r="AH125" s="30">
        <v>0.0</v>
      </c>
      <c r="AI125" s="30">
        <v>0.0</v>
      </c>
      <c r="AJ125" s="30">
        <v>11978.0</v>
      </c>
      <c r="AL125" s="30">
        <v>0.0</v>
      </c>
    </row>
    <row r="126" ht="14.25" customHeight="1">
      <c r="B126" s="30" t="s">
        <v>350</v>
      </c>
      <c r="J126" s="30">
        <v>55229.0</v>
      </c>
      <c r="K126" s="30">
        <v>61867.0</v>
      </c>
      <c r="L126" s="30">
        <v>60675.0</v>
      </c>
      <c r="M126" s="30">
        <v>-66129.0</v>
      </c>
      <c r="N126" s="30">
        <v>65624.0</v>
      </c>
      <c r="O126" s="30">
        <v>62916.0</v>
      </c>
      <c r="P126" s="30">
        <v>59973.0</v>
      </c>
      <c r="Q126" s="30">
        <v>74609.0</v>
      </c>
      <c r="R126" s="30">
        <v>235391.0</v>
      </c>
      <c r="S126" s="30">
        <v>218169.0</v>
      </c>
      <c r="T126" s="30">
        <v>209663.0</v>
      </c>
      <c r="U126" s="30">
        <v>225586.0</v>
      </c>
      <c r="V126" s="30">
        <v>224555.0</v>
      </c>
      <c r="W126" s="30">
        <v>228478.0</v>
      </c>
      <c r="X126" s="30">
        <v>230468.0</v>
      </c>
      <c r="Y126" s="30">
        <v>229080.0</v>
      </c>
      <c r="Z126" s="30">
        <v>234769.0</v>
      </c>
      <c r="AA126" s="30">
        <v>251642.0</v>
      </c>
      <c r="AB126" s="30">
        <v>291582.0</v>
      </c>
      <c r="AC126" s="30">
        <v>221762.0</v>
      </c>
      <c r="AD126" s="30">
        <v>229320.0</v>
      </c>
      <c r="AE126" s="30">
        <v>239387.0</v>
      </c>
      <c r="AF126" s="30">
        <v>242021.0</v>
      </c>
      <c r="AG126" s="30">
        <v>238704.0</v>
      </c>
      <c r="AH126" s="30">
        <v>326599.0</v>
      </c>
      <c r="AI126" s="30">
        <v>319796.0</v>
      </c>
      <c r="AJ126" s="30">
        <v>362068.0</v>
      </c>
      <c r="AK126" s="30">
        <v>369088.0</v>
      </c>
      <c r="AL126" s="30">
        <v>360101.0</v>
      </c>
    </row>
    <row r="127" ht="14.25" customHeight="1">
      <c r="B127" s="30" t="s">
        <v>351</v>
      </c>
      <c r="J127" s="30">
        <v>0.0</v>
      </c>
      <c r="K127" s="30">
        <v>0.0</v>
      </c>
      <c r="L127" s="30">
        <v>0.0</v>
      </c>
      <c r="M127" s="30">
        <v>0.0</v>
      </c>
      <c r="N127" s="30">
        <v>0.0</v>
      </c>
      <c r="O127" s="30">
        <v>0.0</v>
      </c>
      <c r="P127" s="30">
        <v>0.0</v>
      </c>
      <c r="Q127" s="30">
        <v>0.0</v>
      </c>
      <c r="R127" s="30">
        <v>0.0</v>
      </c>
      <c r="S127" s="30">
        <v>0.0</v>
      </c>
      <c r="T127" s="30">
        <v>0.0</v>
      </c>
      <c r="U127" s="30">
        <v>0.0</v>
      </c>
      <c r="V127" s="30">
        <v>0.0</v>
      </c>
      <c r="W127" s="30">
        <v>0.0</v>
      </c>
      <c r="X127" s="30">
        <v>0.0</v>
      </c>
      <c r="Y127" s="30">
        <v>0.19438000000081956</v>
      </c>
      <c r="Z127" s="30">
        <v>0.0</v>
      </c>
      <c r="AA127" s="30">
        <v>0.0</v>
      </c>
      <c r="AB127" s="30">
        <v>0.0</v>
      </c>
      <c r="AC127" s="30">
        <v>0.0</v>
      </c>
      <c r="AD127" s="30">
        <v>0.0</v>
      </c>
      <c r="AE127" s="30">
        <v>-0.20199000000138767</v>
      </c>
      <c r="AF127" s="30">
        <v>0.0</v>
      </c>
      <c r="AG127" s="30">
        <v>0.0</v>
      </c>
      <c r="AH127" s="30">
        <v>-0.3986600000062026</v>
      </c>
      <c r="AI127" s="30">
        <v>0.0</v>
      </c>
      <c r="AJ127" s="30">
        <v>0.0</v>
      </c>
      <c r="AK127" s="30">
        <v>0.0</v>
      </c>
    </row>
    <row r="128" ht="14.25" customHeight="1">
      <c r="K128" s="30">
        <v>0.0</v>
      </c>
      <c r="L128" s="30">
        <v>0.0</v>
      </c>
      <c r="M128" s="30">
        <v>0.0</v>
      </c>
      <c r="N128" s="30">
        <v>0.0</v>
      </c>
      <c r="O128" s="30">
        <v>0.0</v>
      </c>
      <c r="P128" s="30">
        <v>0.0</v>
      </c>
      <c r="Q128" s="30">
        <v>0.0</v>
      </c>
      <c r="R128" s="30">
        <v>0.0</v>
      </c>
      <c r="S128" s="30">
        <v>0.0</v>
      </c>
      <c r="T128" s="30">
        <v>0.0</v>
      </c>
      <c r="U128" s="30">
        <v>0.0</v>
      </c>
      <c r="V128" s="30">
        <v>0.0</v>
      </c>
      <c r="W128" s="30">
        <v>0.0</v>
      </c>
      <c r="X128" s="30">
        <v>0.0</v>
      </c>
      <c r="Y128" s="30">
        <v>0.0</v>
      </c>
      <c r="Z128" s="30">
        <v>0.0</v>
      </c>
      <c r="AA128" s="30">
        <v>0.0</v>
      </c>
      <c r="AB128" s="30">
        <v>0.0</v>
      </c>
      <c r="AC128" s="30">
        <v>0.0</v>
      </c>
      <c r="AD128" s="30">
        <v>0.0</v>
      </c>
      <c r="AE128" s="30">
        <v>0.0</v>
      </c>
      <c r="AF128" s="30">
        <v>0.0</v>
      </c>
      <c r="AG128" s="30">
        <v>0.0</v>
      </c>
      <c r="AH128" s="30">
        <v>0.0</v>
      </c>
      <c r="AI128" s="30">
        <v>0.0</v>
      </c>
    </row>
    <row r="129" ht="14.25" customHeight="1">
      <c r="B129" s="30" t="s">
        <v>352</v>
      </c>
      <c r="J129" s="30">
        <v>0.0</v>
      </c>
      <c r="K129" s="30">
        <v>0.0</v>
      </c>
      <c r="L129" s="30">
        <v>0.0</v>
      </c>
      <c r="M129" s="30">
        <v>0.0</v>
      </c>
      <c r="N129" s="30">
        <v>0.0</v>
      </c>
      <c r="O129" s="30">
        <v>0.0</v>
      </c>
      <c r="P129" s="30">
        <v>0.0</v>
      </c>
      <c r="Q129" s="30">
        <v>0.0</v>
      </c>
      <c r="R129" s="30">
        <v>0.0</v>
      </c>
      <c r="S129" s="30">
        <v>0.0</v>
      </c>
      <c r="T129" s="30">
        <v>0.0</v>
      </c>
      <c r="U129" s="30">
        <v>0.0</v>
      </c>
      <c r="V129" s="30">
        <v>0.0</v>
      </c>
      <c r="W129" s="30">
        <v>0.0</v>
      </c>
      <c r="X129" s="30">
        <v>0.0</v>
      </c>
      <c r="Y129" s="30">
        <v>3443.0</v>
      </c>
      <c r="Z129" s="30">
        <v>0.0</v>
      </c>
      <c r="AA129" s="30">
        <v>0.0</v>
      </c>
      <c r="AB129" s="30">
        <v>0.0</v>
      </c>
      <c r="AC129" s="30">
        <v>0.0</v>
      </c>
      <c r="AD129" s="30">
        <v>0.0</v>
      </c>
      <c r="AE129" s="30">
        <v>41386.0</v>
      </c>
      <c r="AF129" s="30">
        <v>41386.0</v>
      </c>
      <c r="AG129" s="30">
        <v>3254.0</v>
      </c>
      <c r="AH129" s="30">
        <v>0.0</v>
      </c>
      <c r="AI129" s="30">
        <v>0.0</v>
      </c>
      <c r="AJ129" s="30">
        <v>0.0</v>
      </c>
      <c r="AK129" s="30">
        <v>13590.0</v>
      </c>
    </row>
    <row r="130" ht="14.25" customHeight="1">
      <c r="K130" s="30">
        <v>0.0</v>
      </c>
      <c r="L130" s="30">
        <v>0.0</v>
      </c>
      <c r="M130" s="30">
        <v>0.0</v>
      </c>
      <c r="N130" s="30">
        <v>0.0</v>
      </c>
      <c r="O130" s="30">
        <v>0.0</v>
      </c>
      <c r="P130" s="30">
        <v>0.0</v>
      </c>
      <c r="Q130" s="30">
        <v>0.0</v>
      </c>
      <c r="R130" s="30">
        <v>0.0</v>
      </c>
      <c r="S130" s="30">
        <v>0.0</v>
      </c>
      <c r="T130" s="30">
        <v>0.0</v>
      </c>
      <c r="U130" s="30">
        <v>0.0</v>
      </c>
      <c r="V130" s="30">
        <v>0.0</v>
      </c>
      <c r="W130" s="30">
        <v>0.0</v>
      </c>
      <c r="X130" s="30">
        <v>0.0</v>
      </c>
      <c r="Y130" s="30">
        <v>0.0</v>
      </c>
      <c r="Z130" s="30">
        <v>0.0</v>
      </c>
      <c r="AA130" s="30">
        <v>0.0</v>
      </c>
      <c r="AB130" s="30">
        <v>0.0</v>
      </c>
      <c r="AC130" s="30">
        <v>0.0</v>
      </c>
      <c r="AD130" s="30">
        <v>0.0</v>
      </c>
      <c r="AE130" s="30">
        <v>0.0</v>
      </c>
      <c r="AF130" s="30">
        <v>0.0</v>
      </c>
      <c r="AG130" s="30">
        <v>0.0</v>
      </c>
      <c r="AH130" s="30">
        <v>0.0</v>
      </c>
      <c r="AI130" s="30">
        <v>0.0</v>
      </c>
    </row>
    <row r="131" ht="14.25" customHeight="1">
      <c r="B131" s="30" t="s">
        <v>353</v>
      </c>
      <c r="K131" s="30">
        <v>0.0</v>
      </c>
      <c r="L131" s="30">
        <v>0.0</v>
      </c>
      <c r="M131" s="30">
        <v>0.0</v>
      </c>
      <c r="N131" s="30">
        <v>0.0</v>
      </c>
      <c r="O131" s="30">
        <v>0.0</v>
      </c>
      <c r="P131" s="30">
        <v>0.0</v>
      </c>
      <c r="Q131" s="30">
        <v>0.0</v>
      </c>
      <c r="R131" s="30">
        <v>0.0</v>
      </c>
      <c r="S131" s="30">
        <v>0.0</v>
      </c>
      <c r="T131" s="30">
        <v>0.0</v>
      </c>
      <c r="U131" s="30">
        <v>0.0</v>
      </c>
      <c r="V131" s="30">
        <v>0.0</v>
      </c>
      <c r="W131" s="30">
        <v>0.0</v>
      </c>
      <c r="X131" s="30">
        <v>0.0</v>
      </c>
      <c r="Y131" s="30">
        <v>0.0</v>
      </c>
      <c r="Z131" s="30">
        <v>0.0</v>
      </c>
      <c r="AA131" s="30">
        <v>0.0</v>
      </c>
      <c r="AB131" s="30">
        <v>0.0</v>
      </c>
      <c r="AC131" s="30">
        <v>0.0</v>
      </c>
      <c r="AD131" s="30">
        <v>0.0</v>
      </c>
      <c r="AE131" s="30">
        <v>0.0</v>
      </c>
      <c r="AF131" s="30">
        <v>0.0</v>
      </c>
      <c r="AG131" s="30">
        <v>0.0</v>
      </c>
      <c r="AH131" s="30">
        <v>0.0</v>
      </c>
      <c r="AI131" s="30">
        <v>0.0</v>
      </c>
    </row>
    <row r="132" ht="14.25" customHeight="1">
      <c r="B132" s="30" t="s">
        <v>354</v>
      </c>
      <c r="J132" s="30">
        <v>2408.0</v>
      </c>
      <c r="K132" s="30">
        <v>5296.0</v>
      </c>
      <c r="L132" s="30">
        <v>5123.0</v>
      </c>
      <c r="M132" s="30">
        <v>-3474.0</v>
      </c>
      <c r="N132" s="30">
        <v>5180.0</v>
      </c>
      <c r="O132" s="30">
        <v>27016.0</v>
      </c>
      <c r="P132" s="30">
        <v>26806.0</v>
      </c>
      <c r="Q132" s="30">
        <v>44528.0</v>
      </c>
      <c r="R132" s="30">
        <v>147452.0</v>
      </c>
      <c r="S132" s="30">
        <v>149107.0</v>
      </c>
      <c r="T132" s="30">
        <v>135441.0</v>
      </c>
      <c r="U132" s="30">
        <v>110422.0</v>
      </c>
      <c r="V132" s="30">
        <v>78564.0</v>
      </c>
      <c r="W132" s="30">
        <v>70557.0</v>
      </c>
      <c r="X132" s="30">
        <v>72427.0</v>
      </c>
      <c r="Y132" s="30">
        <v>77966.0</v>
      </c>
      <c r="Z132" s="30">
        <v>67724.0</v>
      </c>
      <c r="AA132" s="30">
        <v>58765.0</v>
      </c>
      <c r="AB132" s="30">
        <v>105337.0</v>
      </c>
      <c r="AC132" s="30">
        <v>117204.0</v>
      </c>
      <c r="AD132" s="30">
        <v>192554.0</v>
      </c>
      <c r="AE132" s="30">
        <v>80181.0</v>
      </c>
      <c r="AF132" s="30">
        <v>94380.0</v>
      </c>
      <c r="AG132" s="30">
        <v>138273.0</v>
      </c>
      <c r="AH132" s="30">
        <v>187158.0</v>
      </c>
      <c r="AI132" s="30">
        <v>193559.0</v>
      </c>
      <c r="AJ132" s="30">
        <v>195882.0</v>
      </c>
      <c r="AK132" s="30">
        <v>246551.0</v>
      </c>
      <c r="AL132" s="30">
        <v>363300.0</v>
      </c>
    </row>
    <row r="133" ht="14.25" customHeight="1">
      <c r="B133" s="30" t="s">
        <v>355</v>
      </c>
      <c r="J133" s="30">
        <v>-67727.0</v>
      </c>
      <c r="K133" s="30">
        <v>-58898.0</v>
      </c>
      <c r="L133" s="30">
        <v>-59544.0</v>
      </c>
      <c r="M133" s="30">
        <v>65474.0</v>
      </c>
      <c r="N133" s="30">
        <v>-65904.0</v>
      </c>
      <c r="O133" s="30">
        <v>-17107.0</v>
      </c>
      <c r="P133" s="30">
        <v>-12487.0</v>
      </c>
      <c r="Q133" s="30">
        <v>-11948.0</v>
      </c>
      <c r="R133" s="30">
        <v>-5774.0</v>
      </c>
      <c r="S133" s="30">
        <v>-4556.0</v>
      </c>
      <c r="T133" s="30">
        <v>-3412.0</v>
      </c>
      <c r="U133" s="30">
        <v>-2078.0</v>
      </c>
      <c r="V133" s="30">
        <v>-1641.0</v>
      </c>
      <c r="W133" s="30">
        <v>-5170.0</v>
      </c>
      <c r="X133" s="30">
        <v>-5379.0</v>
      </c>
      <c r="Y133" s="30">
        <v>-60790.0</v>
      </c>
      <c r="Z133" s="30">
        <v>-58318.0</v>
      </c>
      <c r="AA133" s="30">
        <v>-63352.0</v>
      </c>
      <c r="AB133" s="30">
        <v>-116343.0</v>
      </c>
      <c r="AC133" s="30">
        <v>-136409.0</v>
      </c>
      <c r="AD133" s="30">
        <v>-238266.0</v>
      </c>
      <c r="AE133" s="30">
        <v>-254253.0</v>
      </c>
      <c r="AF133" s="30">
        <v>-250815.0</v>
      </c>
      <c r="AG133" s="30">
        <v>-350419.0</v>
      </c>
      <c r="AH133" s="30">
        <v>-339854.0</v>
      </c>
      <c r="AI133" s="30">
        <v>-381338.0</v>
      </c>
      <c r="AJ133" s="30">
        <v>-428949.0</v>
      </c>
      <c r="AK133" s="30">
        <v>-460898.0</v>
      </c>
      <c r="AL133" s="30">
        <v>-643041.0</v>
      </c>
    </row>
    <row r="134" ht="14.25" customHeight="1">
      <c r="B134" s="30" t="s">
        <v>356</v>
      </c>
      <c r="J134" s="30">
        <v>0.0</v>
      </c>
      <c r="K134" s="30">
        <v>0.0</v>
      </c>
      <c r="L134" s="30">
        <v>0.0</v>
      </c>
      <c r="M134" s="30">
        <v>0.0</v>
      </c>
      <c r="N134" s="30">
        <v>0.0</v>
      </c>
      <c r="O134" s="30">
        <v>-65498.0</v>
      </c>
      <c r="P134" s="30">
        <v>-65635.0</v>
      </c>
      <c r="Q134" s="30">
        <v>-65731.0</v>
      </c>
      <c r="R134" s="30">
        <v>-65874.0</v>
      </c>
      <c r="S134" s="30">
        <v>-64637.0</v>
      </c>
      <c r="T134" s="30">
        <v>-60199.0</v>
      </c>
      <c r="U134" s="30">
        <v>-54032.0</v>
      </c>
      <c r="V134" s="30">
        <v>-48007.0</v>
      </c>
      <c r="W134" s="30">
        <v>-41919.0</v>
      </c>
      <c r="X134" s="30">
        <v>-35834.0</v>
      </c>
      <c r="Y134" s="30">
        <v>0.0</v>
      </c>
      <c r="Z134" s="30">
        <v>0.0</v>
      </c>
      <c r="AA134" s="30">
        <v>0.0</v>
      </c>
      <c r="AB134" s="30">
        <v>0.0</v>
      </c>
      <c r="AC134" s="30">
        <v>0.0</v>
      </c>
      <c r="AD134" s="30">
        <v>0.0</v>
      </c>
      <c r="AE134" s="30">
        <v>0.0</v>
      </c>
      <c r="AF134" s="30">
        <v>0.0</v>
      </c>
      <c r="AG134" s="30">
        <v>0.0</v>
      </c>
      <c r="AH134" s="30">
        <v>0.0</v>
      </c>
      <c r="AI134" s="30">
        <v>0.0</v>
      </c>
      <c r="AJ134" s="30">
        <v>0.0</v>
      </c>
      <c r="AK134" s="30">
        <v>0.0</v>
      </c>
      <c r="AL134" s="30">
        <v>0.0</v>
      </c>
    </row>
    <row r="135" ht="14.25" customHeight="1">
      <c r="B135" s="30" t="s">
        <v>357</v>
      </c>
      <c r="J135" s="30">
        <v>-3015.0</v>
      </c>
      <c r="K135" s="30">
        <v>-4953.0</v>
      </c>
      <c r="L135" s="30">
        <v>-6779.0</v>
      </c>
      <c r="M135" s="30">
        <v>6734.0</v>
      </c>
      <c r="N135" s="30">
        <v>-9021.0</v>
      </c>
      <c r="O135" s="30">
        <v>-9183.0</v>
      </c>
      <c r="P135" s="30">
        <v>-9507.0</v>
      </c>
      <c r="Q135" s="30">
        <v>-9613.0</v>
      </c>
      <c r="R135" s="30">
        <v>0.0</v>
      </c>
      <c r="S135" s="30">
        <v>0.0</v>
      </c>
      <c r="T135" s="30">
        <v>0.0</v>
      </c>
      <c r="U135" s="30">
        <v>0.0</v>
      </c>
      <c r="V135" s="30">
        <v>0.0</v>
      </c>
      <c r="W135" s="30">
        <v>0.0</v>
      </c>
      <c r="X135" s="30">
        <v>0.0</v>
      </c>
      <c r="Y135" s="30">
        <v>0.0</v>
      </c>
      <c r="Z135" s="30">
        <v>-901.0</v>
      </c>
      <c r="AA135" s="30">
        <v>-1975.0</v>
      </c>
      <c r="AB135" s="30">
        <v>-960.0</v>
      </c>
      <c r="AC135" s="30">
        <v>-992.0</v>
      </c>
      <c r="AD135" s="30">
        <v>-1024.0</v>
      </c>
      <c r="AE135" s="30">
        <v>0.0</v>
      </c>
      <c r="AF135" s="30">
        <v>0.0</v>
      </c>
      <c r="AG135" s="30">
        <v>0.0</v>
      </c>
      <c r="AH135" s="30">
        <v>0.0</v>
      </c>
      <c r="AI135" s="30">
        <v>-983.0</v>
      </c>
      <c r="AJ135" s="30">
        <v>-1008.0</v>
      </c>
      <c r="AK135" s="30">
        <v>0.0</v>
      </c>
      <c r="AL135" s="30">
        <v>0.0</v>
      </c>
    </row>
    <row r="136" ht="14.25" customHeight="1">
      <c r="B136" s="30" t="s">
        <v>358</v>
      </c>
      <c r="J136" s="30">
        <v>-10363.0</v>
      </c>
      <c r="K136" s="30">
        <v>-9299.0</v>
      </c>
      <c r="L136" s="30">
        <v>-8899.0</v>
      </c>
      <c r="M136" s="30">
        <v>8718.0</v>
      </c>
      <c r="N136" s="30">
        <v>-8563.0</v>
      </c>
      <c r="O136" s="30">
        <v>-8421.0</v>
      </c>
      <c r="P136" s="30">
        <v>-8139.0</v>
      </c>
      <c r="Q136" s="30">
        <v>-7864.0</v>
      </c>
      <c r="R136" s="30">
        <v>-4087.0</v>
      </c>
      <c r="S136" s="30">
        <v>-3894.0</v>
      </c>
      <c r="T136" s="30">
        <v>-3312.0</v>
      </c>
      <c r="U136" s="30">
        <v>-1955.0</v>
      </c>
      <c r="V136" s="30">
        <v>-1967.0</v>
      </c>
      <c r="W136" s="30">
        <v>-1989.0</v>
      </c>
      <c r="X136" s="30">
        <v>-2023.0</v>
      </c>
      <c r="Y136" s="30">
        <v>-1052.91649</v>
      </c>
      <c r="Z136" s="30">
        <v>-8358.0</v>
      </c>
      <c r="AA136" s="30">
        <v>-14893.0</v>
      </c>
      <c r="AB136" s="30">
        <v>-10101.0</v>
      </c>
      <c r="AC136" s="30">
        <v>-26611.0</v>
      </c>
      <c r="AD136" s="30">
        <v>-36083.0</v>
      </c>
      <c r="AE136" s="30">
        <v>-31461.0</v>
      </c>
      <c r="AF136" s="30">
        <v>-34236.0</v>
      </c>
      <c r="AG136" s="30">
        <v>-33235.0</v>
      </c>
      <c r="AH136" s="30">
        <v>-24952.0</v>
      </c>
      <c r="AI136" s="30">
        <v>-40466.0</v>
      </c>
      <c r="AJ136" s="30">
        <v>-144842.0</v>
      </c>
      <c r="AK136" s="30">
        <v>-166158.0</v>
      </c>
      <c r="AL136" s="30">
        <v>-158552.0</v>
      </c>
    </row>
    <row r="137" ht="14.25" customHeight="1">
      <c r="B137" s="30" t="s">
        <v>359</v>
      </c>
      <c r="J137" s="30">
        <v>-78697.0</v>
      </c>
      <c r="K137" s="30">
        <v>-67854.0</v>
      </c>
      <c r="L137" s="30">
        <v>-70099.0</v>
      </c>
      <c r="M137" s="30">
        <v>77452.0</v>
      </c>
      <c r="N137" s="30">
        <v>-78308.0</v>
      </c>
      <c r="O137" s="30">
        <v>-73193.0</v>
      </c>
      <c r="P137" s="30">
        <v>-68962.0</v>
      </c>
      <c r="Q137" s="30">
        <v>-50628.0</v>
      </c>
      <c r="R137" s="30">
        <v>71717.0</v>
      </c>
      <c r="S137" s="30">
        <v>76020.0</v>
      </c>
      <c r="T137" s="30">
        <v>68518.0</v>
      </c>
      <c r="U137" s="30">
        <v>52357.0</v>
      </c>
      <c r="V137" s="30">
        <v>26949.0</v>
      </c>
      <c r="W137" s="30">
        <v>21479.0</v>
      </c>
      <c r="X137" s="30">
        <v>29191.0</v>
      </c>
      <c r="Y137" s="30">
        <v>16123.08351</v>
      </c>
      <c r="Z137" s="30">
        <v>147.0</v>
      </c>
      <c r="AA137" s="30">
        <v>-21455.0</v>
      </c>
      <c r="AB137" s="30">
        <v>-22067.0</v>
      </c>
      <c r="AC137" s="30">
        <v>-46808.0</v>
      </c>
      <c r="AD137" s="30">
        <v>-82819.0</v>
      </c>
      <c r="AE137" s="30">
        <v>-205533.0</v>
      </c>
      <c r="AF137" s="30">
        <v>-190671.0</v>
      </c>
      <c r="AG137" s="30">
        <v>-245381.0</v>
      </c>
      <c r="AH137" s="30">
        <v>-177648.0</v>
      </c>
      <c r="AI137" s="30">
        <v>-229228.0</v>
      </c>
      <c r="AJ137" s="30">
        <v>-378917.0</v>
      </c>
      <c r="AK137" s="30">
        <v>-380505.0</v>
      </c>
      <c r="AL137" s="30">
        <v>-438293.0</v>
      </c>
    </row>
    <row r="138" ht="14.25" customHeight="1"/>
    <row r="139" ht="14.25" customHeight="1">
      <c r="B139" s="169" t="s">
        <v>360</v>
      </c>
    </row>
    <row r="140" ht="14.25" customHeight="1"/>
    <row r="141" ht="14.25" customHeight="1">
      <c r="B141" s="30" t="s">
        <v>361</v>
      </c>
      <c r="F141" s="30">
        <v>52292.0</v>
      </c>
      <c r="G141" s="30">
        <v>54026.0</v>
      </c>
      <c r="H141" s="30">
        <v>61399.0</v>
      </c>
      <c r="I141" s="30">
        <v>68785.0</v>
      </c>
      <c r="J141" s="30">
        <v>76096.0</v>
      </c>
      <c r="K141" s="30">
        <v>84326.0</v>
      </c>
      <c r="L141" s="30">
        <v>79884.0</v>
      </c>
      <c r="M141" s="30">
        <v>86931.0</v>
      </c>
      <c r="N141" s="30">
        <v>82880.0</v>
      </c>
      <c r="O141" s="30">
        <v>92456.0</v>
      </c>
      <c r="P141" s="30">
        <v>85388.0</v>
      </c>
      <c r="Q141" s="30">
        <v>87888.0</v>
      </c>
      <c r="R141" s="30">
        <v>71122.0</v>
      </c>
      <c r="S141" s="30">
        <v>48186.0</v>
      </c>
      <c r="T141" s="30">
        <v>54827.0</v>
      </c>
      <c r="U141" s="30">
        <v>68078.0</v>
      </c>
      <c r="V141" s="30">
        <v>78441.0</v>
      </c>
      <c r="W141" s="30">
        <v>111524.0</v>
      </c>
      <c r="X141" s="30">
        <v>123583.0</v>
      </c>
      <c r="Y141" s="30">
        <v>119593.0</v>
      </c>
      <c r="Z141" s="30">
        <v>129288.0</v>
      </c>
      <c r="AA141" s="30">
        <v>183942.0</v>
      </c>
      <c r="AB141" s="30">
        <v>254439.0</v>
      </c>
      <c r="AC141" s="30">
        <v>245825.0</v>
      </c>
      <c r="AD141" s="30">
        <v>241262.0</v>
      </c>
      <c r="AE141" s="30">
        <v>253934.0</v>
      </c>
      <c r="AF141" s="30">
        <v>268957.0</v>
      </c>
      <c r="AG141" s="30">
        <v>282257.0</v>
      </c>
      <c r="AH141" s="30">
        <v>216431.0</v>
      </c>
      <c r="AI141" s="30">
        <v>205260.0</v>
      </c>
      <c r="AJ141" s="30">
        <v>392676.0</v>
      </c>
      <c r="AK141" s="30">
        <v>419693.0</v>
      </c>
      <c r="AL141" s="30">
        <v>368845.0</v>
      </c>
    </row>
    <row r="142" ht="14.25" customHeight="1">
      <c r="B142" s="30" t="s">
        <v>362</v>
      </c>
      <c r="F142" s="30">
        <v>-39486.0</v>
      </c>
      <c r="G142" s="30">
        <v>-44543.0</v>
      </c>
      <c r="H142" s="30">
        <v>-57243.0</v>
      </c>
      <c r="I142" s="30">
        <v>-61827.0</v>
      </c>
      <c r="J142" s="30">
        <v>-65521.0</v>
      </c>
      <c r="K142" s="30">
        <v>-77319.0</v>
      </c>
      <c r="L142" s="30">
        <v>-70948.0</v>
      </c>
      <c r="M142" s="30">
        <v>-68426.0</v>
      </c>
      <c r="N142" s="30">
        <v>-72350.0</v>
      </c>
      <c r="O142" s="30">
        <v>-79769.0</v>
      </c>
      <c r="P142" s="30">
        <v>-74646.0</v>
      </c>
      <c r="Q142" s="30">
        <v>-72820.0</v>
      </c>
      <c r="R142" s="30">
        <v>-61707.0</v>
      </c>
      <c r="S142" s="30">
        <v>-52435.0</v>
      </c>
      <c r="T142" s="30">
        <v>-45380.0</v>
      </c>
      <c r="U142" s="30">
        <v>-55542.0</v>
      </c>
      <c r="V142" s="30">
        <v>-67030.0</v>
      </c>
      <c r="W142" s="30">
        <v>-90054.0</v>
      </c>
      <c r="X142" s="30">
        <v>-102421.0</v>
      </c>
      <c r="Y142" s="30">
        <v>-103182.0</v>
      </c>
      <c r="Z142" s="30">
        <v>-103765.0</v>
      </c>
      <c r="AA142" s="30">
        <v>-144536.0</v>
      </c>
      <c r="AB142" s="30">
        <v>-176368.0</v>
      </c>
      <c r="AC142" s="30">
        <v>-190243.0</v>
      </c>
      <c r="AD142" s="30">
        <v>-191671.0</v>
      </c>
      <c r="AE142" s="30">
        <v>-199081.0</v>
      </c>
      <c r="AF142" s="30">
        <v>-217445.0</v>
      </c>
      <c r="AG142" s="30">
        <v>-222643.0</v>
      </c>
      <c r="AH142" s="30">
        <v>-172916.0</v>
      </c>
      <c r="AI142" s="30">
        <v>-166271.0</v>
      </c>
      <c r="AJ142" s="30">
        <v>-303825.0</v>
      </c>
      <c r="AK142" s="30">
        <v>-317453.0</v>
      </c>
      <c r="AL142" s="30">
        <v>-295005.0</v>
      </c>
    </row>
    <row r="143" ht="14.25" customHeight="1">
      <c r="F143" s="30">
        <v>0.0</v>
      </c>
      <c r="G143" s="30">
        <v>0.0</v>
      </c>
      <c r="H143" s="30">
        <v>0.0</v>
      </c>
      <c r="I143" s="30">
        <v>0.0</v>
      </c>
      <c r="J143" s="30">
        <v>0.0</v>
      </c>
      <c r="K143" s="30">
        <v>0.0</v>
      </c>
      <c r="L143" s="30">
        <v>0.0</v>
      </c>
      <c r="M143" s="30">
        <v>0.0</v>
      </c>
      <c r="N143" s="30">
        <v>0.0</v>
      </c>
      <c r="O143" s="30">
        <v>0.0</v>
      </c>
      <c r="P143" s="30">
        <v>0.0</v>
      </c>
      <c r="Q143" s="30">
        <v>0.0</v>
      </c>
      <c r="R143" s="30">
        <v>0.0</v>
      </c>
      <c r="S143" s="30">
        <v>0.0</v>
      </c>
      <c r="T143" s="30">
        <v>0.0</v>
      </c>
      <c r="U143" s="30">
        <v>0.0</v>
      </c>
      <c r="V143" s="30">
        <v>0.0</v>
      </c>
      <c r="W143" s="30">
        <v>0.0</v>
      </c>
      <c r="X143" s="30">
        <v>0.0</v>
      </c>
      <c r="Y143" s="30">
        <v>0.0</v>
      </c>
      <c r="Z143" s="30">
        <v>0.0</v>
      </c>
      <c r="AA143" s="30">
        <v>0.0</v>
      </c>
      <c r="AB143" s="30">
        <v>0.0</v>
      </c>
      <c r="AC143" s="30">
        <v>0.0</v>
      </c>
      <c r="AD143" s="30">
        <v>0.0</v>
      </c>
      <c r="AE143" s="30">
        <v>0.0</v>
      </c>
      <c r="AF143" s="30">
        <v>0.0</v>
      </c>
      <c r="AG143" s="30">
        <v>0.0</v>
      </c>
      <c r="AH143" s="30">
        <v>0.0</v>
      </c>
      <c r="AI143" s="30">
        <v>0.0</v>
      </c>
    </row>
    <row r="144" ht="14.25" customHeight="1">
      <c r="B144" s="30" t="s">
        <v>363</v>
      </c>
      <c r="F144" s="30">
        <v>12806.0</v>
      </c>
      <c r="G144" s="30">
        <v>9483.0</v>
      </c>
      <c r="H144" s="30">
        <v>4156.0</v>
      </c>
      <c r="I144" s="30">
        <v>6958.0</v>
      </c>
      <c r="J144" s="30">
        <v>10575.0</v>
      </c>
      <c r="K144" s="30">
        <v>7007.0</v>
      </c>
      <c r="L144" s="30">
        <v>8936.0</v>
      </c>
      <c r="M144" s="30">
        <v>18505.0</v>
      </c>
      <c r="N144" s="30">
        <v>10530.0</v>
      </c>
      <c r="O144" s="30">
        <v>12687.0</v>
      </c>
      <c r="P144" s="30">
        <v>10742.0</v>
      </c>
      <c r="Q144" s="30">
        <v>15068.0</v>
      </c>
      <c r="R144" s="30">
        <v>9415.0</v>
      </c>
      <c r="S144" s="30">
        <v>-4249.0</v>
      </c>
      <c r="T144" s="30">
        <v>9447.0</v>
      </c>
      <c r="U144" s="30">
        <v>12536.0</v>
      </c>
      <c r="V144" s="30">
        <v>11411.0</v>
      </c>
      <c r="W144" s="30">
        <v>21470.0</v>
      </c>
      <c r="X144" s="30">
        <v>21162.0</v>
      </c>
      <c r="Y144" s="30">
        <v>16411.0</v>
      </c>
      <c r="Z144" s="30">
        <v>25523.0</v>
      </c>
      <c r="AA144" s="30">
        <v>39406.0</v>
      </c>
      <c r="AB144" s="30">
        <v>78071.0</v>
      </c>
      <c r="AC144" s="30">
        <v>55582.0</v>
      </c>
      <c r="AD144" s="30">
        <v>49591.0</v>
      </c>
      <c r="AE144" s="30">
        <v>54853.0</v>
      </c>
      <c r="AF144" s="30">
        <v>51512.0</v>
      </c>
      <c r="AG144" s="30">
        <v>59614.0</v>
      </c>
      <c r="AH144" s="30">
        <v>43515.0</v>
      </c>
      <c r="AI144" s="30">
        <v>38989.0</v>
      </c>
      <c r="AJ144" s="30">
        <v>88851.0</v>
      </c>
      <c r="AK144" s="30">
        <v>102240.0</v>
      </c>
      <c r="AL144" s="30">
        <v>73840.0</v>
      </c>
    </row>
    <row r="145" ht="14.25" customHeight="1">
      <c r="F145" s="30">
        <v>0.0</v>
      </c>
      <c r="G145" s="30">
        <v>0.0</v>
      </c>
      <c r="H145" s="30">
        <v>0.0</v>
      </c>
      <c r="I145" s="30">
        <v>0.0</v>
      </c>
      <c r="J145" s="30">
        <v>0.0</v>
      </c>
      <c r="K145" s="30">
        <v>0.0</v>
      </c>
      <c r="L145" s="30">
        <v>0.0</v>
      </c>
      <c r="M145" s="30">
        <v>0.0</v>
      </c>
      <c r="N145" s="30">
        <v>0.0</v>
      </c>
      <c r="O145" s="30">
        <v>0.0</v>
      </c>
      <c r="P145" s="30">
        <v>0.0</v>
      </c>
      <c r="Q145" s="30">
        <v>0.0</v>
      </c>
      <c r="R145" s="30">
        <v>0.0</v>
      </c>
      <c r="S145" s="30">
        <v>0.0</v>
      </c>
      <c r="T145" s="30">
        <v>0.0</v>
      </c>
      <c r="U145" s="30">
        <v>0.0</v>
      </c>
      <c r="V145" s="30">
        <v>0.0</v>
      </c>
      <c r="W145" s="30">
        <v>0.0</v>
      </c>
      <c r="X145" s="30">
        <v>0.0</v>
      </c>
      <c r="Y145" s="30">
        <v>0.0</v>
      </c>
      <c r="Z145" s="30">
        <v>0.0</v>
      </c>
      <c r="AA145" s="30">
        <v>0.0</v>
      </c>
      <c r="AB145" s="30">
        <v>0.0</v>
      </c>
      <c r="AC145" s="30">
        <v>0.0</v>
      </c>
      <c r="AD145" s="30">
        <v>0.0</v>
      </c>
      <c r="AE145" s="30">
        <v>0.0</v>
      </c>
      <c r="AF145" s="30">
        <v>0.0</v>
      </c>
      <c r="AG145" s="30">
        <v>0.0</v>
      </c>
      <c r="AH145" s="30">
        <v>0.0</v>
      </c>
      <c r="AI145" s="30">
        <v>0.0</v>
      </c>
    </row>
    <row r="146" ht="14.25" customHeight="1">
      <c r="B146" s="30" t="s">
        <v>364</v>
      </c>
      <c r="F146" s="30">
        <v>0.0</v>
      </c>
      <c r="G146" s="30">
        <v>0.0</v>
      </c>
      <c r="H146" s="30">
        <v>0.0</v>
      </c>
      <c r="I146" s="30">
        <v>0.0</v>
      </c>
      <c r="J146" s="30">
        <v>0.0</v>
      </c>
      <c r="K146" s="30">
        <v>0.0</v>
      </c>
      <c r="L146" s="30">
        <v>0.0</v>
      </c>
      <c r="M146" s="30">
        <v>0.0</v>
      </c>
      <c r="N146" s="30">
        <v>0.0</v>
      </c>
      <c r="O146" s="30">
        <v>0.0</v>
      </c>
      <c r="P146" s="30">
        <v>0.0</v>
      </c>
      <c r="Q146" s="30">
        <v>0.0</v>
      </c>
      <c r="R146" s="30">
        <v>0.0</v>
      </c>
      <c r="S146" s="30">
        <v>0.0</v>
      </c>
      <c r="T146" s="30">
        <v>0.0</v>
      </c>
      <c r="U146" s="30">
        <v>0.0</v>
      </c>
      <c r="V146" s="30">
        <v>0.0</v>
      </c>
      <c r="W146" s="30">
        <v>0.0</v>
      </c>
      <c r="X146" s="30">
        <v>0.0</v>
      </c>
      <c r="Y146" s="30">
        <v>0.0</v>
      </c>
      <c r="Z146" s="30">
        <v>0.0</v>
      </c>
      <c r="AA146" s="30">
        <v>0.0</v>
      </c>
      <c r="AB146" s="30">
        <v>0.0</v>
      </c>
      <c r="AC146" s="30">
        <v>0.0</v>
      </c>
      <c r="AD146" s="30">
        <v>0.0</v>
      </c>
      <c r="AE146" s="30">
        <v>0.0</v>
      </c>
      <c r="AF146" s="30">
        <v>0.0</v>
      </c>
      <c r="AG146" s="30">
        <v>0.0</v>
      </c>
      <c r="AH146" s="30">
        <v>0.0</v>
      </c>
      <c r="AI146" s="30">
        <v>0.0</v>
      </c>
    </row>
    <row r="147" ht="14.25" customHeight="1">
      <c r="B147" s="30" t="s">
        <v>364</v>
      </c>
      <c r="F147" s="30">
        <v>-9014.0</v>
      </c>
      <c r="G147" s="30">
        <v>-10452.0</v>
      </c>
      <c r="H147" s="30">
        <v>-8349.0</v>
      </c>
      <c r="I147" s="30">
        <v>-13301.0</v>
      </c>
      <c r="J147" s="30">
        <v>-8349.0</v>
      </c>
      <c r="K147" s="30">
        <v>-4123.0</v>
      </c>
      <c r="L147" s="30">
        <v>-5844.0</v>
      </c>
      <c r="M147" s="30">
        <v>-12059.0</v>
      </c>
      <c r="N147" s="30">
        <v>-9440.0</v>
      </c>
      <c r="O147" s="30">
        <v>-10900.0</v>
      </c>
      <c r="P147" s="30">
        <v>-11224.0</v>
      </c>
      <c r="Q147" s="30">
        <v>-10500.0</v>
      </c>
      <c r="R147" s="30">
        <v>1144.0</v>
      </c>
      <c r="S147" s="30">
        <v>-10798.0</v>
      </c>
      <c r="T147" s="30">
        <v>-12461.0</v>
      </c>
      <c r="U147" s="30">
        <v>-9883.0</v>
      </c>
      <c r="V147" s="30">
        <v>-11007.0</v>
      </c>
      <c r="W147" s="30">
        <v>-12675.0</v>
      </c>
      <c r="X147" s="30">
        <v>-14047.0</v>
      </c>
      <c r="Y147" s="30">
        <v>-12233.0</v>
      </c>
      <c r="Z147" s="30">
        <v>-14971.0</v>
      </c>
      <c r="AA147" s="30">
        <v>-19973.0</v>
      </c>
      <c r="AB147" s="30">
        <v>-27577.0</v>
      </c>
      <c r="AC147" s="30">
        <v>-31603.0</v>
      </c>
      <c r="AD147" s="30">
        <v>-25536.0</v>
      </c>
      <c r="AE147" s="30">
        <v>-30564.0</v>
      </c>
      <c r="AF147" s="30">
        <v>-30896.0</v>
      </c>
      <c r="AG147" s="30">
        <v>-41176.0</v>
      </c>
      <c r="AH147" s="30">
        <v>-29528.0</v>
      </c>
      <c r="AI147" s="30">
        <v>-32401.0</v>
      </c>
      <c r="AJ147" s="30">
        <v>-43794.0</v>
      </c>
      <c r="AK147" s="30">
        <v>-56390.0</v>
      </c>
      <c r="AL147" s="30">
        <v>-52195.0</v>
      </c>
    </row>
    <row r="148" ht="14.25" customHeight="1">
      <c r="F148" s="30">
        <v>0.0</v>
      </c>
      <c r="G148" s="30">
        <v>0.0</v>
      </c>
      <c r="H148" s="30">
        <v>0.0</v>
      </c>
      <c r="I148" s="30">
        <v>0.0</v>
      </c>
      <c r="J148" s="30">
        <v>0.0</v>
      </c>
      <c r="K148" s="30">
        <v>0.0</v>
      </c>
      <c r="L148" s="30">
        <v>0.0</v>
      </c>
      <c r="M148" s="30">
        <v>0.0</v>
      </c>
      <c r="N148" s="30">
        <v>0.0</v>
      </c>
      <c r="O148" s="30">
        <v>0.0</v>
      </c>
      <c r="P148" s="30">
        <v>0.0</v>
      </c>
      <c r="Q148" s="30">
        <v>0.0</v>
      </c>
      <c r="R148" s="30">
        <v>0.0</v>
      </c>
      <c r="S148" s="30">
        <v>0.0</v>
      </c>
      <c r="T148" s="30">
        <v>0.0</v>
      </c>
      <c r="U148" s="30">
        <v>0.0</v>
      </c>
      <c r="V148" s="30">
        <v>0.0</v>
      </c>
      <c r="W148" s="30">
        <v>0.0</v>
      </c>
      <c r="X148" s="30">
        <v>0.0</v>
      </c>
      <c r="Y148" s="30">
        <v>0.0</v>
      </c>
      <c r="Z148" s="30">
        <v>0.0</v>
      </c>
      <c r="AA148" s="30">
        <v>0.0</v>
      </c>
      <c r="AB148" s="30">
        <v>0.0</v>
      </c>
      <c r="AC148" s="30">
        <v>0.0</v>
      </c>
      <c r="AD148" s="30">
        <v>0.0</v>
      </c>
      <c r="AE148" s="30">
        <v>0.0</v>
      </c>
      <c r="AF148" s="30">
        <v>0.0</v>
      </c>
      <c r="AG148" s="30">
        <v>0.0</v>
      </c>
      <c r="AH148" s="30">
        <v>0.0</v>
      </c>
      <c r="AI148" s="30">
        <v>0.0</v>
      </c>
    </row>
    <row r="149" ht="14.25" customHeight="1">
      <c r="B149" s="30" t="s">
        <v>365</v>
      </c>
      <c r="F149" s="30">
        <v>174.0</v>
      </c>
      <c r="G149" s="30">
        <v>61.0</v>
      </c>
      <c r="H149" s="30">
        <v>212.0</v>
      </c>
      <c r="I149" s="30">
        <v>-261.0</v>
      </c>
      <c r="J149" s="30">
        <v>607.0</v>
      </c>
      <c r="K149" s="30">
        <v>438.0</v>
      </c>
      <c r="L149" s="30">
        <v>116.0</v>
      </c>
      <c r="M149" s="30">
        <v>-713.0</v>
      </c>
      <c r="N149" s="30">
        <v>-163.0</v>
      </c>
      <c r="O149" s="30">
        <v>288.0</v>
      </c>
      <c r="P149" s="30">
        <v>-256.0</v>
      </c>
      <c r="Q149" s="30">
        <v>928.0</v>
      </c>
      <c r="R149" s="30">
        <v>217.0</v>
      </c>
      <c r="S149" s="30">
        <v>0.0</v>
      </c>
      <c r="T149" s="30">
        <v>0.0</v>
      </c>
      <c r="U149" s="30">
        <v>0.0</v>
      </c>
      <c r="V149" s="30">
        <v>0.0</v>
      </c>
      <c r="W149" s="30">
        <v>0.0</v>
      </c>
      <c r="X149" s="30">
        <v>0.0</v>
      </c>
      <c r="Y149" s="30">
        <v>0.0</v>
      </c>
      <c r="Z149" s="30">
        <v>0.0</v>
      </c>
      <c r="AA149" s="30">
        <v>0.0</v>
      </c>
      <c r="AB149" s="30">
        <v>0.0</v>
      </c>
      <c r="AC149" s="30">
        <v>0.0</v>
      </c>
      <c r="AD149" s="30">
        <v>0.0</v>
      </c>
      <c r="AE149" s="30">
        <v>0.0</v>
      </c>
      <c r="AF149" s="30">
        <v>0.0</v>
      </c>
      <c r="AG149" s="30">
        <v>0.0</v>
      </c>
      <c r="AH149" s="30">
        <v>0.0</v>
      </c>
      <c r="AI149" s="30">
        <v>0.0</v>
      </c>
      <c r="AJ149" s="30">
        <v>0.0</v>
      </c>
      <c r="AK149" s="30">
        <v>0.0</v>
      </c>
      <c r="AL149" s="30">
        <v>0.0</v>
      </c>
    </row>
    <row r="150" ht="14.25" customHeight="1">
      <c r="F150" s="30">
        <v>0.0</v>
      </c>
      <c r="G150" s="30">
        <v>0.0</v>
      </c>
      <c r="H150" s="30">
        <v>0.0</v>
      </c>
      <c r="I150" s="30">
        <v>0.0</v>
      </c>
      <c r="J150" s="30">
        <v>0.0</v>
      </c>
      <c r="K150" s="30">
        <v>0.0</v>
      </c>
      <c r="L150" s="30">
        <v>0.0</v>
      </c>
      <c r="M150" s="30">
        <v>0.0</v>
      </c>
      <c r="N150" s="30">
        <v>0.0</v>
      </c>
      <c r="O150" s="30">
        <v>0.0</v>
      </c>
      <c r="P150" s="30">
        <v>0.0</v>
      </c>
      <c r="Q150" s="30">
        <v>0.0</v>
      </c>
      <c r="R150" s="30">
        <v>0.0</v>
      </c>
      <c r="S150" s="30">
        <v>0.0</v>
      </c>
      <c r="T150" s="30">
        <v>0.0</v>
      </c>
      <c r="U150" s="30">
        <v>0.0</v>
      </c>
      <c r="V150" s="30">
        <v>0.0</v>
      </c>
      <c r="W150" s="30">
        <v>0.0</v>
      </c>
      <c r="X150" s="30">
        <v>0.0</v>
      </c>
      <c r="Y150" s="30">
        <v>0.0</v>
      </c>
      <c r="Z150" s="30">
        <v>0.0</v>
      </c>
      <c r="AA150" s="30">
        <v>0.0</v>
      </c>
      <c r="AB150" s="30">
        <v>0.0</v>
      </c>
      <c r="AC150" s="30">
        <v>0.0</v>
      </c>
      <c r="AD150" s="30">
        <v>0.0</v>
      </c>
      <c r="AE150" s="30">
        <v>0.0</v>
      </c>
      <c r="AF150" s="30">
        <v>0.0</v>
      </c>
      <c r="AG150" s="30">
        <v>0.0</v>
      </c>
      <c r="AH150" s="30">
        <v>0.0</v>
      </c>
      <c r="AI150" s="30">
        <v>0.0</v>
      </c>
    </row>
    <row r="151" ht="14.25" customHeight="1">
      <c r="B151" s="30" t="s">
        <v>366</v>
      </c>
      <c r="F151" s="30">
        <v>3966.0</v>
      </c>
      <c r="G151" s="30">
        <v>-908.0</v>
      </c>
      <c r="H151" s="30">
        <v>-3981.0</v>
      </c>
      <c r="I151" s="30">
        <v>-6604.0</v>
      </c>
      <c r="J151" s="30">
        <v>2833.0</v>
      </c>
      <c r="K151" s="30">
        <v>3322.0</v>
      </c>
      <c r="L151" s="30">
        <v>3208.0</v>
      </c>
      <c r="M151" s="30">
        <v>5733.0</v>
      </c>
      <c r="N151" s="30">
        <v>927.0</v>
      </c>
      <c r="O151" s="30">
        <v>2075.0</v>
      </c>
      <c r="P151" s="30">
        <v>-738.0</v>
      </c>
      <c r="Q151" s="30">
        <v>5496.0</v>
      </c>
      <c r="R151" s="30">
        <v>10776.0</v>
      </c>
      <c r="S151" s="30">
        <v>-15047.0</v>
      </c>
      <c r="T151" s="30">
        <v>-3014.0</v>
      </c>
      <c r="U151" s="30">
        <v>2653.0</v>
      </c>
      <c r="V151" s="30">
        <v>404.0</v>
      </c>
      <c r="W151" s="30">
        <v>8795.0</v>
      </c>
      <c r="X151" s="30">
        <v>7115.0</v>
      </c>
      <c r="Y151" s="30">
        <v>4178.0</v>
      </c>
      <c r="Z151" s="30">
        <v>10552.0</v>
      </c>
      <c r="AA151" s="30">
        <v>19433.0</v>
      </c>
      <c r="AB151" s="30">
        <v>50494.0</v>
      </c>
      <c r="AC151" s="30">
        <v>23979.0</v>
      </c>
      <c r="AD151" s="30">
        <v>24055.0</v>
      </c>
      <c r="AE151" s="30">
        <v>24289.0</v>
      </c>
      <c r="AF151" s="30">
        <v>20616.0</v>
      </c>
      <c r="AG151" s="30">
        <v>18438.0</v>
      </c>
      <c r="AH151" s="30">
        <v>13987.0</v>
      </c>
      <c r="AI151" s="30">
        <v>6588.0</v>
      </c>
      <c r="AJ151" s="30">
        <v>45057.0</v>
      </c>
      <c r="AK151" s="30">
        <v>45850.0</v>
      </c>
      <c r="AL151" s="30">
        <v>21645.0</v>
      </c>
    </row>
    <row r="152" ht="14.25" customHeight="1">
      <c r="F152" s="30">
        <v>0.0</v>
      </c>
      <c r="G152" s="30">
        <v>0.0</v>
      </c>
      <c r="H152" s="30">
        <v>0.0</v>
      </c>
      <c r="I152" s="30">
        <v>0.0</v>
      </c>
      <c r="J152" s="30">
        <v>0.0</v>
      </c>
      <c r="K152" s="30">
        <v>0.0</v>
      </c>
      <c r="L152" s="30">
        <v>0.0</v>
      </c>
      <c r="M152" s="30">
        <v>0.0</v>
      </c>
      <c r="N152" s="30">
        <v>0.0</v>
      </c>
      <c r="O152" s="30">
        <v>0.0</v>
      </c>
      <c r="P152" s="30">
        <v>0.0</v>
      </c>
      <c r="Q152" s="30">
        <v>0.0</v>
      </c>
      <c r="R152" s="30">
        <v>0.0</v>
      </c>
      <c r="S152" s="30">
        <v>0.0</v>
      </c>
      <c r="T152" s="30">
        <v>0.0</v>
      </c>
      <c r="U152" s="30">
        <v>0.0</v>
      </c>
      <c r="V152" s="30">
        <v>0.0</v>
      </c>
      <c r="W152" s="30">
        <v>0.0</v>
      </c>
      <c r="X152" s="30">
        <v>0.0</v>
      </c>
      <c r="Y152" s="30">
        <v>0.0</v>
      </c>
      <c r="Z152" s="30">
        <v>0.0</v>
      </c>
      <c r="AA152" s="30">
        <v>0.0</v>
      </c>
      <c r="AB152" s="30">
        <v>0.0</v>
      </c>
      <c r="AC152" s="30">
        <v>0.0</v>
      </c>
      <c r="AD152" s="30">
        <v>0.0</v>
      </c>
      <c r="AE152" s="30">
        <v>0.0</v>
      </c>
      <c r="AF152" s="30">
        <v>0.0</v>
      </c>
      <c r="AG152" s="30">
        <v>0.0</v>
      </c>
      <c r="AH152" s="30">
        <v>0.0</v>
      </c>
      <c r="AI152" s="30">
        <v>0.0</v>
      </c>
    </row>
    <row r="153" ht="14.25" customHeight="1">
      <c r="B153" s="30" t="s">
        <v>367</v>
      </c>
      <c r="F153" s="30">
        <v>0.0</v>
      </c>
      <c r="G153" s="30">
        <v>0.0</v>
      </c>
      <c r="H153" s="30">
        <v>0.0</v>
      </c>
      <c r="I153" s="30">
        <v>0.0</v>
      </c>
      <c r="J153" s="30">
        <v>0.0</v>
      </c>
      <c r="K153" s="30">
        <v>0.0</v>
      </c>
      <c r="L153" s="30">
        <v>0.0</v>
      </c>
      <c r="M153" s="30">
        <v>0.0</v>
      </c>
      <c r="N153" s="30">
        <v>0.0</v>
      </c>
      <c r="O153" s="30">
        <v>0.0</v>
      </c>
      <c r="P153" s="30">
        <v>0.0</v>
      </c>
      <c r="Q153" s="30">
        <v>0.0</v>
      </c>
      <c r="R153" s="30">
        <v>0.0</v>
      </c>
      <c r="S153" s="30">
        <v>0.0</v>
      </c>
      <c r="T153" s="30">
        <v>0.0</v>
      </c>
      <c r="U153" s="30">
        <v>0.0</v>
      </c>
      <c r="V153" s="30">
        <v>0.0</v>
      </c>
      <c r="W153" s="30">
        <v>0.0</v>
      </c>
      <c r="X153" s="30">
        <v>0.0</v>
      </c>
      <c r="Y153" s="30">
        <v>0.0</v>
      </c>
      <c r="Z153" s="30">
        <v>0.0</v>
      </c>
      <c r="AA153" s="30">
        <v>0.0</v>
      </c>
      <c r="AB153" s="30">
        <v>0.0</v>
      </c>
      <c r="AC153" s="30">
        <v>0.0</v>
      </c>
      <c r="AD153" s="30">
        <v>0.0</v>
      </c>
      <c r="AE153" s="30">
        <v>0.0</v>
      </c>
      <c r="AF153" s="30">
        <v>0.0</v>
      </c>
      <c r="AG153" s="30">
        <v>0.0</v>
      </c>
      <c r="AH153" s="30">
        <v>0.0</v>
      </c>
      <c r="AI153" s="30">
        <v>0.0</v>
      </c>
    </row>
    <row r="154" ht="14.25" customHeight="1">
      <c r="B154" s="30" t="s">
        <v>368</v>
      </c>
      <c r="F154" s="30">
        <v>544.0</v>
      </c>
      <c r="G154" s="30">
        <v>555.0</v>
      </c>
      <c r="H154" s="30">
        <v>776.0</v>
      </c>
      <c r="I154" s="30">
        <v>508.0</v>
      </c>
      <c r="J154" s="30">
        <v>895.0</v>
      </c>
      <c r="K154" s="30">
        <v>1644.0</v>
      </c>
      <c r="L154" s="30">
        <v>2601.0</v>
      </c>
      <c r="M154" s="30">
        <v>1191.0</v>
      </c>
      <c r="N154" s="30">
        <v>1566.0</v>
      </c>
      <c r="O154" s="30">
        <v>693.0</v>
      </c>
      <c r="P154" s="30">
        <v>1089.0</v>
      </c>
      <c r="Q154" s="30">
        <v>1117.0</v>
      </c>
      <c r="R154" s="30">
        <v>1939.0</v>
      </c>
      <c r="S154" s="30">
        <v>2932.0</v>
      </c>
      <c r="T154" s="30">
        <v>-120.0</v>
      </c>
      <c r="U154" s="30">
        <v>149.0</v>
      </c>
      <c r="V154" s="30">
        <v>997.0</v>
      </c>
      <c r="W154" s="30">
        <v>1126.0</v>
      </c>
      <c r="X154" s="30">
        <v>853.0</v>
      </c>
      <c r="Y154" s="30">
        <v>1235.0</v>
      </c>
      <c r="Z154" s="30">
        <v>2039.0</v>
      </c>
      <c r="AA154" s="30">
        <v>1808.0</v>
      </c>
      <c r="AB154" s="30">
        <v>2867.0</v>
      </c>
      <c r="AC154" s="30">
        <v>3051.0</v>
      </c>
      <c r="AD154" s="30">
        <v>4301.0</v>
      </c>
      <c r="AE154" s="30">
        <v>3404.0</v>
      </c>
      <c r="AF154" s="30">
        <v>2376.0</v>
      </c>
      <c r="AG154" s="30">
        <v>3962.0</v>
      </c>
      <c r="AH154" s="30">
        <v>4503.0</v>
      </c>
      <c r="AI154" s="30">
        <v>4554.0</v>
      </c>
      <c r="AJ154" s="30">
        <v>6423.0</v>
      </c>
      <c r="AK154" s="30">
        <v>7896.0</v>
      </c>
      <c r="AL154" s="30">
        <v>7978.0</v>
      </c>
    </row>
    <row r="155" ht="14.25" customHeight="1">
      <c r="B155" s="30" t="s">
        <v>369</v>
      </c>
      <c r="F155" s="30">
        <v>-1412.0</v>
      </c>
      <c r="G155" s="30">
        <v>-1952.0</v>
      </c>
      <c r="H155" s="30">
        <v>-3282.0</v>
      </c>
      <c r="I155" s="30">
        <v>-1872.0</v>
      </c>
      <c r="J155" s="30">
        <v>-3323.0</v>
      </c>
      <c r="K155" s="30">
        <v>-4385.0</v>
      </c>
      <c r="L155" s="30">
        <v>-4672.0</v>
      </c>
      <c r="M155" s="30">
        <v>-3082.0</v>
      </c>
      <c r="N155" s="30">
        <v>-4069.0</v>
      </c>
      <c r="O155" s="30">
        <v>-4656.0</v>
      </c>
      <c r="P155" s="30">
        <v>-4742.0</v>
      </c>
      <c r="Q155" s="30">
        <v>-4583.0</v>
      </c>
      <c r="R155" s="30">
        <v>-4511.0</v>
      </c>
      <c r="S155" s="30">
        <v>-3816.0</v>
      </c>
      <c r="T155" s="30">
        <v>-1120.0</v>
      </c>
      <c r="U155" s="30">
        <v>-1963.0</v>
      </c>
      <c r="V155" s="30">
        <v>-1858.0</v>
      </c>
      <c r="W155" s="30">
        <v>-1682.0</v>
      </c>
      <c r="X155" s="30">
        <v>-2211.0</v>
      </c>
      <c r="Y155" s="30">
        <v>-2773.0</v>
      </c>
      <c r="Z155" s="30">
        <v>-3462.0</v>
      </c>
      <c r="AA155" s="30">
        <v>-5610.0</v>
      </c>
      <c r="AB155" s="30">
        <v>-9335.0</v>
      </c>
      <c r="AC155" s="30">
        <v>-11636.0</v>
      </c>
      <c r="AD155" s="30">
        <v>-11808.0</v>
      </c>
      <c r="AE155" s="30">
        <v>-12665.0</v>
      </c>
      <c r="AF155" s="30">
        <v>-14799.0</v>
      </c>
      <c r="AG155" s="30">
        <v>-19759.0</v>
      </c>
      <c r="AH155" s="30">
        <v>-15792.0</v>
      </c>
      <c r="AI155" s="30">
        <v>-14869.0</v>
      </c>
      <c r="AJ155" s="30">
        <v>-22078.0</v>
      </c>
      <c r="AK155" s="30">
        <v>-22717.0</v>
      </c>
      <c r="AL155" s="30">
        <v>-23776.0</v>
      </c>
    </row>
    <row r="156" ht="14.25" customHeight="1">
      <c r="F156" s="30">
        <v>0.0</v>
      </c>
      <c r="G156" s="30">
        <v>0.0</v>
      </c>
      <c r="H156" s="30">
        <v>0.0</v>
      </c>
      <c r="I156" s="30">
        <v>0.0</v>
      </c>
      <c r="J156" s="30">
        <v>0.0</v>
      </c>
      <c r="K156" s="30">
        <v>0.0</v>
      </c>
      <c r="L156" s="30">
        <v>0.0</v>
      </c>
      <c r="M156" s="30">
        <v>0.0</v>
      </c>
      <c r="N156" s="30">
        <v>0.0</v>
      </c>
      <c r="O156" s="30">
        <v>0.0</v>
      </c>
      <c r="P156" s="30">
        <v>0.0</v>
      </c>
      <c r="Q156" s="30">
        <v>0.0</v>
      </c>
      <c r="R156" s="30">
        <v>0.0</v>
      </c>
      <c r="S156" s="30">
        <v>0.0</v>
      </c>
      <c r="T156" s="30">
        <v>0.0</v>
      </c>
      <c r="U156" s="30">
        <v>0.0</v>
      </c>
      <c r="V156" s="30">
        <v>0.0</v>
      </c>
      <c r="W156" s="30">
        <v>0.0</v>
      </c>
      <c r="X156" s="30">
        <v>0.0</v>
      </c>
      <c r="Y156" s="30">
        <v>0.0</v>
      </c>
      <c r="Z156" s="30">
        <v>0.0</v>
      </c>
      <c r="AA156" s="30">
        <v>0.0</v>
      </c>
      <c r="AB156" s="30">
        <v>0.0</v>
      </c>
      <c r="AC156" s="30">
        <v>0.0</v>
      </c>
      <c r="AD156" s="30">
        <v>0.0</v>
      </c>
      <c r="AE156" s="30">
        <v>0.0</v>
      </c>
      <c r="AF156" s="30">
        <v>0.0</v>
      </c>
      <c r="AG156" s="30">
        <v>0.0</v>
      </c>
      <c r="AH156" s="30">
        <v>0.0</v>
      </c>
      <c r="AI156" s="30">
        <v>0.0</v>
      </c>
    </row>
    <row r="157" ht="14.25" customHeight="1">
      <c r="B157" s="30" t="s">
        <v>370</v>
      </c>
      <c r="F157" s="30">
        <v>3098.0</v>
      </c>
      <c r="G157" s="30">
        <v>-2305.0</v>
      </c>
      <c r="H157" s="30">
        <v>-6487.0</v>
      </c>
      <c r="I157" s="30">
        <v>-7968.0</v>
      </c>
      <c r="J157" s="30">
        <v>405.0</v>
      </c>
      <c r="K157" s="30">
        <v>581.0</v>
      </c>
      <c r="L157" s="30">
        <v>1137.0</v>
      </c>
      <c r="M157" s="30">
        <v>3842.0</v>
      </c>
      <c r="N157" s="30">
        <v>-1576.0</v>
      </c>
      <c r="O157" s="30">
        <v>-1888.0</v>
      </c>
      <c r="P157" s="30">
        <v>-4391.0</v>
      </c>
      <c r="Q157" s="30">
        <v>2030.0</v>
      </c>
      <c r="R157" s="30">
        <v>8204.0</v>
      </c>
      <c r="S157" s="30">
        <v>-15931.0</v>
      </c>
      <c r="T157" s="30">
        <v>-4254.0</v>
      </c>
      <c r="U157" s="30">
        <v>839.0</v>
      </c>
      <c r="V157" s="30">
        <v>-457.0</v>
      </c>
      <c r="W157" s="30">
        <v>8239.0</v>
      </c>
      <c r="X157" s="30">
        <v>5757.0</v>
      </c>
      <c r="Y157" s="30">
        <v>2640.0</v>
      </c>
      <c r="Z157" s="30">
        <v>9129.0</v>
      </c>
      <c r="AA157" s="30">
        <v>15631.0</v>
      </c>
      <c r="AB157" s="30">
        <v>44026.0</v>
      </c>
      <c r="AC157" s="30">
        <v>15394.0</v>
      </c>
      <c r="AD157" s="30">
        <v>16548.0</v>
      </c>
      <c r="AE157" s="30">
        <v>15028.0</v>
      </c>
      <c r="AF157" s="30">
        <v>8193.0</v>
      </c>
      <c r="AG157" s="30">
        <v>2641.0</v>
      </c>
      <c r="AH157" s="30">
        <v>2698.0</v>
      </c>
      <c r="AI157" s="30">
        <v>-3727.0</v>
      </c>
      <c r="AJ157" s="30">
        <v>29402.0</v>
      </c>
      <c r="AK157" s="30">
        <v>31029.0</v>
      </c>
      <c r="AL157" s="30">
        <v>5847.0</v>
      </c>
    </row>
    <row r="158" ht="14.25" customHeight="1">
      <c r="F158" s="30">
        <v>0.0</v>
      </c>
      <c r="G158" s="30">
        <v>0.0</v>
      </c>
      <c r="H158" s="30">
        <v>0.0</v>
      </c>
      <c r="I158" s="30">
        <v>0.0</v>
      </c>
      <c r="J158" s="30">
        <v>0.0</v>
      </c>
      <c r="K158" s="30">
        <v>0.0</v>
      </c>
      <c r="L158" s="30">
        <v>0.0</v>
      </c>
      <c r="M158" s="30">
        <v>0.0</v>
      </c>
      <c r="N158" s="30">
        <v>0.0</v>
      </c>
      <c r="O158" s="30">
        <v>0.0</v>
      </c>
      <c r="P158" s="30">
        <v>0.0</v>
      </c>
      <c r="Q158" s="30">
        <v>0.0</v>
      </c>
      <c r="R158" s="30">
        <v>0.0</v>
      </c>
      <c r="S158" s="30">
        <v>0.0</v>
      </c>
      <c r="T158" s="30">
        <v>0.0</v>
      </c>
      <c r="U158" s="30">
        <v>0.0</v>
      </c>
      <c r="V158" s="30">
        <v>0.0</v>
      </c>
      <c r="W158" s="30">
        <v>0.0</v>
      </c>
      <c r="X158" s="30">
        <v>0.0</v>
      </c>
      <c r="Y158" s="30">
        <v>0.0</v>
      </c>
      <c r="Z158" s="30">
        <v>0.0</v>
      </c>
      <c r="AA158" s="30">
        <v>0.0</v>
      </c>
      <c r="AB158" s="30">
        <v>0.0</v>
      </c>
      <c r="AC158" s="30">
        <v>0.0</v>
      </c>
      <c r="AD158" s="30">
        <v>0.0</v>
      </c>
      <c r="AE158" s="30">
        <v>0.0</v>
      </c>
      <c r="AF158" s="30">
        <v>0.0</v>
      </c>
      <c r="AG158" s="30">
        <v>0.0</v>
      </c>
      <c r="AH158" s="30">
        <v>0.0</v>
      </c>
      <c r="AI158" s="30">
        <v>0.0</v>
      </c>
    </row>
    <row r="159" ht="14.25" customHeight="1">
      <c r="B159" s="30" t="s">
        <v>371</v>
      </c>
      <c r="F159" s="30">
        <v>-799.0</v>
      </c>
      <c r="G159" s="30">
        <v>-1053.0</v>
      </c>
      <c r="H159" s="30">
        <v>751.0</v>
      </c>
      <c r="I159" s="30">
        <v>154.0</v>
      </c>
      <c r="J159" s="30">
        <v>-1127.0</v>
      </c>
      <c r="K159" s="30">
        <v>-795.0</v>
      </c>
      <c r="L159" s="30">
        <v>-1001.0</v>
      </c>
      <c r="M159" s="30">
        <v>-1690.0</v>
      </c>
      <c r="N159" s="30">
        <v>-1379.0</v>
      </c>
      <c r="O159" s="30">
        <v>-1433.0</v>
      </c>
      <c r="P159" s="30">
        <v>-1623.0</v>
      </c>
      <c r="Q159" s="30">
        <v>-1772.0</v>
      </c>
      <c r="R159" s="30">
        <v>-1586.0</v>
      </c>
      <c r="S159" s="30">
        <v>-1262.0</v>
      </c>
      <c r="T159" s="30">
        <v>-1110.0</v>
      </c>
      <c r="U159" s="30">
        <v>-1432.0</v>
      </c>
      <c r="V159" s="30">
        <v>-1585.0</v>
      </c>
      <c r="W159" s="30">
        <v>-3036.0</v>
      </c>
      <c r="X159" s="30">
        <v>-3113.0</v>
      </c>
      <c r="Y159" s="30">
        <v>-136.0</v>
      </c>
      <c r="Z159" s="30">
        <v>-4118.0</v>
      </c>
      <c r="AA159" s="30">
        <v>-5001.0</v>
      </c>
      <c r="AB159" s="30">
        <v>-8629.0</v>
      </c>
      <c r="AC159" s="30">
        <v>-7343.0</v>
      </c>
      <c r="AD159" s="30">
        <v>-9646.0</v>
      </c>
      <c r="AE159" s="30">
        <v>-10201.0</v>
      </c>
      <c r="AF159" s="30">
        <v>-7978.0</v>
      </c>
      <c r="AG159" s="30">
        <v>-10473.0</v>
      </c>
      <c r="AH159" s="30">
        <v>-4513.0</v>
      </c>
      <c r="AI159" s="30">
        <v>-5168.0</v>
      </c>
      <c r="AJ159" s="30">
        <v>-21212.0</v>
      </c>
      <c r="AK159" s="30">
        <v>-11230.0</v>
      </c>
      <c r="AL159" s="30">
        <v>-11236.0</v>
      </c>
    </row>
    <row r="160" ht="14.25" customHeight="1">
      <c r="B160" s="30" t="s">
        <v>372</v>
      </c>
      <c r="F160" s="30">
        <v>-27.0</v>
      </c>
      <c r="G160" s="30">
        <v>2005.0</v>
      </c>
      <c r="H160" s="30">
        <v>1673.0</v>
      </c>
      <c r="I160" s="30">
        <v>3570.0</v>
      </c>
      <c r="J160" s="30">
        <v>1442.0</v>
      </c>
      <c r="K160" s="30">
        <v>372.0</v>
      </c>
      <c r="L160" s="30">
        <v>-1328.0</v>
      </c>
      <c r="M160" s="30">
        <v>3302.0</v>
      </c>
      <c r="N160" s="30">
        <v>2450.0</v>
      </c>
      <c r="O160" s="30">
        <v>1335.0</v>
      </c>
      <c r="P160" s="30">
        <v>3071.0</v>
      </c>
      <c r="Q160" s="30">
        <v>-5622.0</v>
      </c>
      <c r="R160" s="30">
        <v>-3348.0</v>
      </c>
      <c r="S160" s="30">
        <v>-959.0</v>
      </c>
      <c r="T160" s="30">
        <v>434.0</v>
      </c>
      <c r="U160" s="30">
        <v>17309.0</v>
      </c>
      <c r="V160" s="30">
        <v>1011.0</v>
      </c>
      <c r="W160" s="30">
        <v>1001.0</v>
      </c>
      <c r="X160" s="30">
        <v>1137.0</v>
      </c>
      <c r="Y160" s="30">
        <v>3041.0</v>
      </c>
      <c r="Z160" s="30">
        <v>219.0</v>
      </c>
      <c r="AA160" s="30">
        <v>316.0</v>
      </c>
      <c r="AB160" s="30">
        <v>984.0</v>
      </c>
      <c r="AC160" s="30">
        <v>4326.0</v>
      </c>
      <c r="AD160" s="30">
        <v>1963.0</v>
      </c>
      <c r="AE160" s="30">
        <v>4122.0</v>
      </c>
      <c r="AF160" s="30">
        <v>2124.0</v>
      </c>
      <c r="AG160" s="30">
        <v>12758.0</v>
      </c>
      <c r="AH160" s="30">
        <v>4650.0</v>
      </c>
      <c r="AI160" s="30">
        <v>6199.0</v>
      </c>
      <c r="AJ160" s="30">
        <v>12577.0</v>
      </c>
      <c r="AK160" s="30">
        <v>1550.0</v>
      </c>
      <c r="AL160" s="30">
        <v>9406.0</v>
      </c>
    </row>
    <row r="161" ht="14.25" customHeight="1">
      <c r="F161" s="30">
        <v>0.0</v>
      </c>
      <c r="G161" s="30">
        <v>0.0</v>
      </c>
      <c r="H161" s="30">
        <v>0.0</v>
      </c>
      <c r="I161" s="30">
        <v>0.0</v>
      </c>
      <c r="J161" s="30">
        <v>0.0</v>
      </c>
      <c r="K161" s="30">
        <v>0.0</v>
      </c>
      <c r="L161" s="30">
        <v>0.0</v>
      </c>
      <c r="M161" s="30">
        <v>0.0</v>
      </c>
      <c r="N161" s="30">
        <v>0.0</v>
      </c>
      <c r="O161" s="30">
        <v>0.0</v>
      </c>
      <c r="P161" s="30">
        <v>0.0</v>
      </c>
      <c r="Q161" s="30">
        <v>0.0</v>
      </c>
      <c r="R161" s="30">
        <v>0.0</v>
      </c>
      <c r="S161" s="30">
        <v>0.0</v>
      </c>
      <c r="T161" s="30">
        <v>0.0</v>
      </c>
      <c r="U161" s="30">
        <v>0.0</v>
      </c>
      <c r="V161" s="30">
        <v>0.0</v>
      </c>
      <c r="W161" s="30">
        <v>0.0</v>
      </c>
      <c r="X161" s="30">
        <v>0.0</v>
      </c>
      <c r="Y161" s="30">
        <v>0.0</v>
      </c>
      <c r="Z161" s="30">
        <v>0.0</v>
      </c>
      <c r="AA161" s="30">
        <v>0.0</v>
      </c>
      <c r="AB161" s="30">
        <v>0.0</v>
      </c>
      <c r="AC161" s="30">
        <v>0.0</v>
      </c>
      <c r="AD161" s="30">
        <v>0.0</v>
      </c>
      <c r="AE161" s="30">
        <v>0.0</v>
      </c>
      <c r="AF161" s="30">
        <v>0.0</v>
      </c>
      <c r="AG161" s="30">
        <v>0.0</v>
      </c>
      <c r="AH161" s="30">
        <v>0.0</v>
      </c>
      <c r="AI161" s="30">
        <v>0.0</v>
      </c>
    </row>
    <row r="162" ht="14.25" customHeight="1">
      <c r="B162" s="30" t="s">
        <v>373</v>
      </c>
      <c r="F162" s="30">
        <v>2272.0</v>
      </c>
      <c r="G162" s="30">
        <v>-1353.0</v>
      </c>
      <c r="H162" s="30">
        <v>-4063.0</v>
      </c>
      <c r="I162" s="30">
        <v>-4244.0</v>
      </c>
      <c r="J162" s="30">
        <v>720.0</v>
      </c>
      <c r="K162" s="30">
        <v>158.0</v>
      </c>
      <c r="L162" s="30">
        <v>-1192.0</v>
      </c>
      <c r="M162" s="30">
        <v>5454.0</v>
      </c>
      <c r="N162" s="30">
        <v>-505.0</v>
      </c>
      <c r="O162" s="30">
        <v>-1986.0</v>
      </c>
      <c r="P162" s="30">
        <v>-2943.0</v>
      </c>
      <c r="Q162" s="30">
        <v>-5364.0</v>
      </c>
      <c r="R162" s="30">
        <v>3270.0</v>
      </c>
      <c r="S162" s="30">
        <v>-18152.0</v>
      </c>
      <c r="T162" s="30">
        <v>-4930.0</v>
      </c>
      <c r="U162" s="30">
        <v>16716.0</v>
      </c>
      <c r="V162" s="30">
        <v>-1031.0</v>
      </c>
      <c r="W162" s="30">
        <v>6204.0</v>
      </c>
      <c r="X162" s="30">
        <v>3781.0</v>
      </c>
      <c r="Y162" s="30">
        <v>5545.0</v>
      </c>
      <c r="Z162" s="30">
        <v>5230.0</v>
      </c>
      <c r="AA162" s="30">
        <v>10946.0</v>
      </c>
      <c r="AB162" s="30">
        <v>36381.0</v>
      </c>
      <c r="AC162" s="30">
        <v>12377.0</v>
      </c>
      <c r="AD162" s="30">
        <v>8865.0</v>
      </c>
      <c r="AE162" s="30">
        <v>8949.0</v>
      </c>
      <c r="AF162" s="30">
        <v>2339.0</v>
      </c>
      <c r="AG162" s="30">
        <v>4926.0</v>
      </c>
      <c r="AH162" s="30">
        <v>2835.0</v>
      </c>
      <c r="AI162" s="30">
        <v>-2696.0</v>
      </c>
      <c r="AJ162" s="30">
        <v>20767.0</v>
      </c>
      <c r="AK162" s="30">
        <v>21349.0</v>
      </c>
      <c r="AL162" s="30">
        <v>4017.0</v>
      </c>
    </row>
    <row r="163" ht="14.25" customHeight="1">
      <c r="F163" s="30">
        <v>0.0</v>
      </c>
      <c r="G163" s="30">
        <v>0.0</v>
      </c>
      <c r="H163" s="30">
        <v>0.0</v>
      </c>
      <c r="I163" s="30">
        <v>0.0</v>
      </c>
      <c r="J163" s="30">
        <v>0.0</v>
      </c>
      <c r="K163" s="30">
        <v>0.0</v>
      </c>
      <c r="L163" s="30">
        <v>0.0</v>
      </c>
      <c r="M163" s="30">
        <v>0.0</v>
      </c>
      <c r="N163" s="30">
        <v>0.0</v>
      </c>
      <c r="O163" s="30">
        <v>0.0</v>
      </c>
      <c r="P163" s="30">
        <v>0.0</v>
      </c>
      <c r="Q163" s="30">
        <v>0.0</v>
      </c>
      <c r="R163" s="30">
        <v>0.0</v>
      </c>
      <c r="S163" s="30">
        <v>0.0</v>
      </c>
      <c r="T163" s="30">
        <v>0.0</v>
      </c>
      <c r="U163" s="30">
        <v>0.0</v>
      </c>
      <c r="V163" s="30">
        <v>0.0</v>
      </c>
      <c r="W163" s="30">
        <v>0.0</v>
      </c>
      <c r="X163" s="30">
        <v>0.0</v>
      </c>
      <c r="Y163" s="30">
        <v>0.0</v>
      </c>
      <c r="Z163" s="30">
        <v>0.0</v>
      </c>
      <c r="AA163" s="30">
        <v>0.0</v>
      </c>
      <c r="AB163" s="30">
        <v>0.0</v>
      </c>
      <c r="AC163" s="30">
        <v>0.0</v>
      </c>
      <c r="AD163" s="30">
        <v>0.0</v>
      </c>
      <c r="AE163" s="30">
        <v>0.0</v>
      </c>
      <c r="AF163" s="30">
        <v>0.0</v>
      </c>
      <c r="AG163" s="30">
        <v>0.0</v>
      </c>
      <c r="AH163" s="30">
        <v>0.0</v>
      </c>
      <c r="AI163" s="30">
        <v>0.0</v>
      </c>
    </row>
    <row r="164" ht="14.25" customHeight="1">
      <c r="F164" s="30">
        <v>0.0</v>
      </c>
      <c r="G164" s="30">
        <v>0.0</v>
      </c>
      <c r="H164" s="30">
        <v>0.0</v>
      </c>
      <c r="I164" s="30">
        <v>0.0</v>
      </c>
      <c r="J164" s="30">
        <v>0.0</v>
      </c>
      <c r="K164" s="30">
        <v>0.0</v>
      </c>
      <c r="L164" s="30">
        <v>0.0</v>
      </c>
      <c r="M164" s="30">
        <v>0.0</v>
      </c>
      <c r="N164" s="30">
        <v>0.0</v>
      </c>
      <c r="O164" s="30">
        <v>0.0</v>
      </c>
      <c r="P164" s="30">
        <v>0.0</v>
      </c>
      <c r="Q164" s="30">
        <v>0.0</v>
      </c>
      <c r="R164" s="30">
        <v>0.0</v>
      </c>
      <c r="S164" s="30">
        <v>0.0</v>
      </c>
      <c r="T164" s="30">
        <v>0.0</v>
      </c>
      <c r="U164" s="30">
        <v>0.0</v>
      </c>
      <c r="V164" s="30">
        <v>0.0</v>
      </c>
      <c r="W164" s="30">
        <v>0.0</v>
      </c>
      <c r="X164" s="30">
        <v>0.0</v>
      </c>
      <c r="Y164" s="30">
        <v>0.0</v>
      </c>
      <c r="Z164" s="30">
        <v>0.0</v>
      </c>
      <c r="AA164" s="30">
        <v>0.0</v>
      </c>
      <c r="AB164" s="30">
        <v>0.0</v>
      </c>
      <c r="AC164" s="30">
        <v>0.0</v>
      </c>
      <c r="AD164" s="30">
        <v>0.0</v>
      </c>
      <c r="AE164" s="30">
        <v>0.0</v>
      </c>
      <c r="AF164" s="30">
        <v>0.0</v>
      </c>
      <c r="AG164" s="30">
        <v>0.0</v>
      </c>
      <c r="AH164" s="30">
        <v>0.0</v>
      </c>
      <c r="AI164" s="30">
        <v>0.0</v>
      </c>
    </row>
    <row r="165" ht="14.25" customHeight="1">
      <c r="B165" s="30" t="s">
        <v>63</v>
      </c>
      <c r="F165" s="30">
        <v>6271.0</v>
      </c>
      <c r="G165" s="30">
        <v>1447.4</v>
      </c>
      <c r="H165" s="30">
        <v>-467.0</v>
      </c>
      <c r="I165" s="30">
        <v>-2574.7</v>
      </c>
      <c r="J165" s="30">
        <v>6924.0</v>
      </c>
      <c r="K165" s="30">
        <v>7418.0</v>
      </c>
      <c r="L165" s="30">
        <v>7260.661689999999</v>
      </c>
      <c r="M165" s="30">
        <v>8174.338310000001</v>
      </c>
      <c r="N165" s="30">
        <v>5625.29017</v>
      </c>
      <c r="O165" s="30">
        <v>7044.0</v>
      </c>
      <c r="P165" s="30">
        <v>4289.448585999999</v>
      </c>
      <c r="Q165" s="30">
        <v>10506.261244000001</v>
      </c>
      <c r="R165" s="30">
        <v>15895.0</v>
      </c>
      <c r="S165" s="30">
        <v>-9787.0</v>
      </c>
      <c r="T165" s="30">
        <v>2805.0</v>
      </c>
      <c r="U165" s="30">
        <v>8098.0</v>
      </c>
      <c r="V165" s="30">
        <v>5312.0</v>
      </c>
      <c r="W165" s="30">
        <v>14237.102</v>
      </c>
      <c r="X165" s="30">
        <v>12765.557219999999</v>
      </c>
      <c r="Y165" s="30">
        <v>9087.59833</v>
      </c>
      <c r="Z165" s="30">
        <v>16497.35473</v>
      </c>
      <c r="AA165" s="30">
        <v>25876.0</v>
      </c>
      <c r="AB165" s="30">
        <v>57437.0</v>
      </c>
      <c r="AC165" s="30">
        <v>30944.52699</v>
      </c>
      <c r="AD165" s="30">
        <v>32780.83693</v>
      </c>
      <c r="AE165" s="30">
        <v>33643.09883000001</v>
      </c>
      <c r="AF165" s="30">
        <v>29615.0</v>
      </c>
      <c r="AG165" s="30">
        <v>30420.0</v>
      </c>
      <c r="AH165" s="30">
        <v>24805.0</v>
      </c>
      <c r="AI165" s="30">
        <v>17692.0</v>
      </c>
      <c r="AJ165" s="30">
        <v>58135.0</v>
      </c>
      <c r="AK165" s="30">
        <v>59986.332511764704</v>
      </c>
      <c r="AL165" s="30">
        <v>40109.0</v>
      </c>
    </row>
    <row r="166" ht="14.25" customHeight="1">
      <c r="B166" s="30" t="s">
        <v>374</v>
      </c>
      <c r="F166" s="30">
        <v>0.0</v>
      </c>
      <c r="G166" s="30">
        <v>0.0</v>
      </c>
      <c r="H166" s="30">
        <v>0.0</v>
      </c>
      <c r="I166" s="30">
        <v>4676.7</v>
      </c>
      <c r="J166" s="30">
        <v>5329.700000000001</v>
      </c>
      <c r="K166" s="30">
        <v>11300.3</v>
      </c>
      <c r="L166" s="30">
        <v>19027.961689999996</v>
      </c>
      <c r="M166" s="30">
        <v>29777.0</v>
      </c>
      <c r="N166" s="30">
        <v>28478.29017</v>
      </c>
      <c r="O166" s="30">
        <v>28104.29017</v>
      </c>
      <c r="P166" s="30">
        <v>25133.077065999998</v>
      </c>
      <c r="Q166" s="30">
        <v>27465.0</v>
      </c>
      <c r="R166" s="30">
        <v>37734.70983</v>
      </c>
      <c r="S166" s="30">
        <v>20903.70983</v>
      </c>
      <c r="T166" s="30">
        <v>19419.261244</v>
      </c>
      <c r="U166" s="30">
        <v>17011.0</v>
      </c>
      <c r="V166" s="30">
        <v>6428.0</v>
      </c>
      <c r="W166" s="30">
        <v>30452.102</v>
      </c>
      <c r="X166" s="30">
        <v>40412.65922</v>
      </c>
      <c r="Y166" s="30">
        <v>41402.257549999995</v>
      </c>
      <c r="Z166" s="30">
        <v>52587.61228</v>
      </c>
      <c r="AA166" s="30">
        <v>64226.51028</v>
      </c>
      <c r="AB166" s="30">
        <v>108897.95306</v>
      </c>
      <c r="AC166" s="30">
        <v>130754.88171999999</v>
      </c>
      <c r="AD166" s="30">
        <v>147038.36392</v>
      </c>
      <c r="AE166" s="30">
        <v>154805.46275</v>
      </c>
      <c r="AF166" s="30">
        <v>126983.46275</v>
      </c>
      <c r="AG166" s="30">
        <v>126458.93576000001</v>
      </c>
      <c r="AH166" s="30">
        <v>118483.09883</v>
      </c>
      <c r="AI166" s="30">
        <v>102532.0</v>
      </c>
      <c r="AJ166" s="30">
        <v>131052.0</v>
      </c>
      <c r="AK166" s="30">
        <v>160618.33251176472</v>
      </c>
      <c r="AL166" s="30">
        <v>175918.33251176472</v>
      </c>
    </row>
    <row r="167" ht="14.25" customHeight="1">
      <c r="B167" s="30" t="s">
        <v>375</v>
      </c>
      <c r="F167" s="30">
        <v>0.0</v>
      </c>
      <c r="G167" s="30">
        <v>0.0</v>
      </c>
      <c r="H167" s="30">
        <v>0.0</v>
      </c>
      <c r="I167" s="30" t="e">
        <v>#DIV/0!</v>
      </c>
      <c r="J167" s="30" t="e">
        <v>#DIV/0!</v>
      </c>
      <c r="K167" s="30" t="e">
        <v>#DIV/0!</v>
      </c>
      <c r="L167" s="30" t="e">
        <v>#DIV/0!</v>
      </c>
      <c r="M167" s="30" t="e">
        <v>#DIV/0!</v>
      </c>
      <c r="N167" s="30" t="e">
        <v>#DIV/0!</v>
      </c>
      <c r="O167" s="30" t="e">
        <v>#DIV/0!</v>
      </c>
      <c r="P167" s="30" t="e">
        <v>#DIV/0!</v>
      </c>
      <c r="Q167" s="30" t="e">
        <v>#DIV/0!</v>
      </c>
      <c r="R167" s="30" t="e">
        <v>#DIV/0!</v>
      </c>
      <c r="S167" s="30" t="e">
        <v>#DIV/0!</v>
      </c>
      <c r="T167" s="30" t="e">
        <v>#DIV/0!</v>
      </c>
      <c r="U167" s="30" t="e">
        <v>#DIV/0!</v>
      </c>
      <c r="V167" s="30" t="e">
        <v>#DIV/0!</v>
      </c>
      <c r="W167" s="30" t="e">
        <v>#DIV/0!</v>
      </c>
      <c r="X167" s="30" t="e">
        <v>#DIV/0!</v>
      </c>
      <c r="Y167" s="30" t="e">
        <v>#DIV/0!</v>
      </c>
      <c r="Z167" s="30" t="e">
        <v>#DIV/0!</v>
      </c>
      <c r="AA167" s="30" t="e">
        <v>#DIV/0!</v>
      </c>
      <c r="AB167" s="30" t="e">
        <v>#DIV/0!</v>
      </c>
      <c r="AC167" s="30" t="e">
        <v>#DIV/0!</v>
      </c>
      <c r="AD167" s="30" t="e">
        <v>#DIV/0!</v>
      </c>
      <c r="AE167" s="30" t="e">
        <v>#DIV/0!</v>
      </c>
      <c r="AF167" s="30" t="e">
        <v>#DIV/0!</v>
      </c>
      <c r="AG167" s="30" t="e">
        <v>#DIV/0!</v>
      </c>
      <c r="AH167" s="30" t="e">
        <v>#DIV/0!</v>
      </c>
      <c r="AI167" s="30" t="e">
        <v>#DIV/0!</v>
      </c>
      <c r="AJ167" s="30">
        <v>2.891348472362116</v>
      </c>
      <c r="AK167" s="30">
        <v>2.3690010601506484</v>
      </c>
      <c r="AL167" s="30">
        <v>2.4914572218940783</v>
      </c>
    </row>
    <row r="168" ht="14.25" customHeight="1">
      <c r="F168" s="30">
        <v>0.0</v>
      </c>
      <c r="G168" s="30">
        <v>0.0</v>
      </c>
      <c r="H168" s="30">
        <v>0.0</v>
      </c>
      <c r="I168" s="30">
        <v>0.0</v>
      </c>
      <c r="J168" s="30">
        <v>0.0</v>
      </c>
      <c r="K168" s="30">
        <v>0.0</v>
      </c>
      <c r="L168" s="30">
        <v>0.0</v>
      </c>
      <c r="M168" s="30">
        <v>0.0</v>
      </c>
      <c r="N168" s="30">
        <v>0.0</v>
      </c>
      <c r="O168" s="30">
        <v>0.0</v>
      </c>
      <c r="P168" s="30">
        <v>0.0</v>
      </c>
      <c r="Q168" s="30">
        <v>0.0</v>
      </c>
      <c r="R168" s="30">
        <v>0.0</v>
      </c>
      <c r="S168" s="30">
        <v>0.0</v>
      </c>
      <c r="T168" s="30">
        <v>0.0</v>
      </c>
      <c r="U168" s="30">
        <v>0.0</v>
      </c>
      <c r="V168" s="30">
        <v>0.0</v>
      </c>
      <c r="W168" s="30">
        <v>0.0</v>
      </c>
      <c r="X168" s="30">
        <v>0.0</v>
      </c>
      <c r="Y168" s="30">
        <v>0.0</v>
      </c>
      <c r="Z168" s="30">
        <v>0.0</v>
      </c>
      <c r="AA168" s="30">
        <v>0.0</v>
      </c>
      <c r="AB168" s="30">
        <v>0.0</v>
      </c>
      <c r="AC168" s="30">
        <v>0.0</v>
      </c>
      <c r="AD168" s="30">
        <v>0.0</v>
      </c>
      <c r="AE168" s="30">
        <v>0.0</v>
      </c>
      <c r="AF168" s="30">
        <v>0.0</v>
      </c>
      <c r="AG168" s="30">
        <v>0.0</v>
      </c>
      <c r="AH168" s="30">
        <v>0.0</v>
      </c>
      <c r="AI168" s="30">
        <v>0.0</v>
      </c>
    </row>
    <row r="169" ht="14.25" customHeight="1">
      <c r="B169" s="30" t="s">
        <v>376</v>
      </c>
      <c r="F169" s="30">
        <v>0.0</v>
      </c>
      <c r="G169" s="30">
        <v>0.0</v>
      </c>
      <c r="H169" s="30">
        <v>0.0</v>
      </c>
      <c r="I169" s="30">
        <v>0.0</v>
      </c>
      <c r="J169" s="30">
        <v>0.0</v>
      </c>
      <c r="K169" s="30">
        <v>0.0</v>
      </c>
      <c r="L169" s="30">
        <v>0.0</v>
      </c>
      <c r="M169" s="30">
        <v>0.0</v>
      </c>
      <c r="N169" s="30">
        <v>0.0</v>
      </c>
      <c r="O169" s="30">
        <v>0.0</v>
      </c>
      <c r="P169" s="30">
        <v>0.0</v>
      </c>
      <c r="Q169" s="30">
        <v>0.0</v>
      </c>
      <c r="R169" s="30">
        <v>0.0</v>
      </c>
      <c r="S169" s="30">
        <v>0.0</v>
      </c>
      <c r="T169" s="30">
        <v>0.0</v>
      </c>
      <c r="U169" s="30">
        <v>0.0</v>
      </c>
      <c r="V169" s="30">
        <v>0.0</v>
      </c>
      <c r="W169" s="30">
        <v>0.0</v>
      </c>
      <c r="X169" s="30">
        <v>0.0</v>
      </c>
      <c r="Y169" s="30">
        <v>0.0</v>
      </c>
      <c r="Z169" s="30">
        <v>0.0</v>
      </c>
      <c r="AA169" s="30">
        <v>0.0</v>
      </c>
      <c r="AB169" s="30">
        <v>0.0</v>
      </c>
      <c r="AC169" s="30">
        <v>0.0</v>
      </c>
      <c r="AD169" s="30">
        <v>0.0</v>
      </c>
      <c r="AE169" s="30">
        <v>0.0</v>
      </c>
      <c r="AF169" s="30">
        <v>0.0</v>
      </c>
      <c r="AG169" s="30">
        <v>0.0</v>
      </c>
      <c r="AH169" s="30">
        <v>0.0</v>
      </c>
      <c r="AI169" s="30">
        <v>0.0</v>
      </c>
    </row>
    <row r="170" ht="14.25" customHeight="1">
      <c r="B170" s="30" t="s">
        <v>377</v>
      </c>
      <c r="F170" s="30">
        <v>-36343.0</v>
      </c>
      <c r="G170" s="30">
        <v>-41184.0</v>
      </c>
      <c r="H170" s="30">
        <v>-52981.0</v>
      </c>
      <c r="I170" s="30">
        <v>-56866.0</v>
      </c>
      <c r="J170" s="30">
        <v>-59778.0</v>
      </c>
      <c r="K170" s="30">
        <v>-71514.0</v>
      </c>
      <c r="L170" s="30">
        <v>-66336.29076</v>
      </c>
      <c r="M170" s="30">
        <v>-67587.70924</v>
      </c>
      <c r="N170" s="30">
        <v>-64305.68123000003</v>
      </c>
      <c r="O170" s="30">
        <v>-67336.0</v>
      </c>
      <c r="P170" s="30">
        <v>-68780.31876999997</v>
      </c>
      <c r="Q170" s="30">
        <v>-67085.00000000001</v>
      </c>
      <c r="R170" s="30">
        <v>-55592.0</v>
      </c>
      <c r="S170" s="30">
        <v>-41601.0</v>
      </c>
      <c r="T170" s="30">
        <v>-38316.0</v>
      </c>
      <c r="U170" s="30">
        <v>-48441.0</v>
      </c>
      <c r="V170" s="30">
        <v>-60103.0</v>
      </c>
      <c r="W170" s="30">
        <v>-81356.0</v>
      </c>
      <c r="X170" s="30">
        <v>-92830.4156</v>
      </c>
      <c r="Y170" s="30">
        <v>-94715.78576</v>
      </c>
      <c r="Z170" s="30">
        <v>-90434.65885</v>
      </c>
      <c r="AA170" s="30">
        <v>-117263.0</v>
      </c>
      <c r="AB170" s="30">
        <v>-123379.0</v>
      </c>
      <c r="AC170" s="30">
        <v>-135194.948</v>
      </c>
      <c r="AD170" s="30">
        <v>-145141.60412</v>
      </c>
      <c r="AE170" s="30">
        <v>-153604.9416099977</v>
      </c>
      <c r="AF170" s="30">
        <v>-176967.0</v>
      </c>
      <c r="AG170" s="30">
        <v>-181958.36896091697</v>
      </c>
      <c r="AH170" s="30">
        <v>-138293.24834000057</v>
      </c>
      <c r="AI170" s="30">
        <v>-125509.0</v>
      </c>
      <c r="AJ170" s="30">
        <v>-155852.65489999662</v>
      </c>
      <c r="AK170" s="30">
        <v>-178281.0</v>
      </c>
      <c r="AL170" s="30">
        <v>-166416.48801999915</v>
      </c>
    </row>
    <row r="171" ht="14.25" customHeight="1">
      <c r="B171" s="30" t="s">
        <v>378</v>
      </c>
      <c r="F171" s="30">
        <v>-1874.0</v>
      </c>
      <c r="G171" s="30">
        <v>-1923.7</v>
      </c>
      <c r="H171" s="30">
        <v>-2834.0</v>
      </c>
      <c r="I171" s="30">
        <v>-3236.0</v>
      </c>
      <c r="J171" s="30">
        <v>-3305.0</v>
      </c>
      <c r="K171" s="30">
        <v>-3373.0</v>
      </c>
      <c r="L171" s="30">
        <v>-3359.687029999999</v>
      </c>
      <c r="M171" s="30">
        <v>-1747.3129700000009</v>
      </c>
      <c r="N171" s="30">
        <v>-3902.6638199999998</v>
      </c>
      <c r="O171" s="30">
        <v>-4114.0</v>
      </c>
      <c r="P171" s="30">
        <v>-4227.074935999999</v>
      </c>
      <c r="Q171" s="30">
        <v>-4175.261244000001</v>
      </c>
      <c r="R171" s="30">
        <v>-4343.0</v>
      </c>
      <c r="S171" s="30">
        <v>-4397.0</v>
      </c>
      <c r="T171" s="30">
        <v>-4880.0</v>
      </c>
      <c r="U171" s="30">
        <v>-4483.0</v>
      </c>
      <c r="V171" s="30">
        <v>-3904.0</v>
      </c>
      <c r="W171" s="30">
        <v>-4422.0</v>
      </c>
      <c r="X171" s="30">
        <v>-4561.55722</v>
      </c>
      <c r="Y171" s="30">
        <v>-4142.10943</v>
      </c>
      <c r="Z171" s="30">
        <v>-4888.57759</v>
      </c>
      <c r="AA171" s="30">
        <v>-5217.0</v>
      </c>
      <c r="AB171" s="30">
        <v>-5605.0</v>
      </c>
      <c r="AC171" s="30">
        <v>-5499.42241</v>
      </c>
      <c r="AD171" s="30">
        <v>-5497.937089999999</v>
      </c>
      <c r="AE171" s="30">
        <v>-6105.025180000009</v>
      </c>
      <c r="AF171" s="30">
        <v>-6408.0</v>
      </c>
      <c r="AG171" s="30">
        <v>-7582.0</v>
      </c>
      <c r="AH171" s="30">
        <v>-7223.0</v>
      </c>
      <c r="AI171" s="30">
        <v>-7604.0</v>
      </c>
      <c r="AJ171" s="30">
        <v>-8424.0</v>
      </c>
      <c r="AK171" s="30">
        <v>-8537.0</v>
      </c>
      <c r="AL171" s="30">
        <v>-9018.0</v>
      </c>
    </row>
    <row r="172" ht="14.25" customHeight="1">
      <c r="B172" s="30" t="s">
        <v>379</v>
      </c>
      <c r="F172" s="30">
        <v>-1269.0</v>
      </c>
      <c r="G172" s="30">
        <v>-1435.3</v>
      </c>
      <c r="H172" s="30">
        <v>-1428.0</v>
      </c>
      <c r="I172" s="30">
        <v>-1725.0</v>
      </c>
      <c r="J172" s="30">
        <v>-2438.0</v>
      </c>
      <c r="K172" s="30">
        <v>-2432.0</v>
      </c>
      <c r="L172" s="30">
        <v>-1252.0222099999974</v>
      </c>
      <c r="M172" s="30">
        <v>909.0222099999974</v>
      </c>
      <c r="N172" s="30">
        <v>-4141.654949999969</v>
      </c>
      <c r="O172" s="30">
        <v>-8319.0</v>
      </c>
      <c r="P172" s="30">
        <v>-1638.606294000032</v>
      </c>
      <c r="Q172" s="30">
        <v>-1559.7387559999843</v>
      </c>
      <c r="R172" s="30">
        <v>-1772.0</v>
      </c>
      <c r="S172" s="30">
        <v>-6437.0</v>
      </c>
      <c r="T172" s="30">
        <v>-2184.0</v>
      </c>
      <c r="U172" s="30">
        <v>-2618.0</v>
      </c>
      <c r="V172" s="30">
        <v>-3023.0</v>
      </c>
      <c r="W172" s="30">
        <v>-4276.0</v>
      </c>
      <c r="X172" s="30">
        <v>-5029.46709</v>
      </c>
      <c r="Y172" s="30">
        <v>-4324.93682</v>
      </c>
      <c r="Z172" s="30">
        <v>-8441.763560000001</v>
      </c>
      <c r="AA172" s="30">
        <v>-22057.0</v>
      </c>
      <c r="AB172" s="30">
        <v>-47384.0</v>
      </c>
      <c r="AC172" s="30">
        <v>-49547.16407</v>
      </c>
      <c r="AD172" s="30">
        <v>-41031.74399</v>
      </c>
      <c r="AE172" s="30">
        <v>-39371.63967999932</v>
      </c>
      <c r="AF172" s="30">
        <v>-34070.0</v>
      </c>
      <c r="AG172" s="30">
        <v>-33100.38620999973</v>
      </c>
      <c r="AH172" s="30">
        <v>-27399.637800000088</v>
      </c>
      <c r="AI172" s="30">
        <v>-33158.0</v>
      </c>
      <c r="AJ172" s="30">
        <v>-139548.0941500023</v>
      </c>
      <c r="AK172" s="30">
        <v>-130635.0</v>
      </c>
      <c r="AL172" s="30">
        <v>-119570.06527999915</v>
      </c>
    </row>
    <row r="173" ht="14.25" customHeight="1">
      <c r="B173" s="30" t="s">
        <v>380</v>
      </c>
      <c r="F173" s="30">
        <v>-39486.0</v>
      </c>
      <c r="G173" s="30">
        <v>-44543.0</v>
      </c>
      <c r="H173" s="30">
        <v>-57243.0</v>
      </c>
      <c r="I173" s="30">
        <v>-61827.0</v>
      </c>
      <c r="J173" s="30">
        <v>-65521.0</v>
      </c>
      <c r="K173" s="30">
        <v>-77319.0</v>
      </c>
      <c r="L173" s="30">
        <v>-70948.0</v>
      </c>
      <c r="M173" s="30">
        <v>-68426.0</v>
      </c>
      <c r="N173" s="30">
        <v>-72350.0</v>
      </c>
      <c r="O173" s="30">
        <v>-79769.0</v>
      </c>
      <c r="P173" s="30">
        <v>-74646.0</v>
      </c>
      <c r="Q173" s="30">
        <v>-72820.0</v>
      </c>
      <c r="R173" s="30">
        <v>-61707.0</v>
      </c>
      <c r="S173" s="30">
        <v>-52435.0</v>
      </c>
      <c r="T173" s="30">
        <v>-45380.0</v>
      </c>
      <c r="U173" s="30">
        <v>-55542.0</v>
      </c>
      <c r="V173" s="30">
        <v>-67030.0</v>
      </c>
      <c r="W173" s="30">
        <v>-90054.0</v>
      </c>
      <c r="X173" s="30">
        <v>-102421.43991</v>
      </c>
      <c r="Y173" s="30">
        <v>-103182.83201</v>
      </c>
      <c r="Z173" s="30">
        <v>-103765.00000000001</v>
      </c>
      <c r="AA173" s="30">
        <v>-144537.0</v>
      </c>
      <c r="AB173" s="30">
        <v>-176368.0</v>
      </c>
      <c r="AC173" s="30">
        <v>-190241.53448</v>
      </c>
      <c r="AD173" s="30">
        <v>-191671.28519999998</v>
      </c>
      <c r="AE173" s="30">
        <v>-199081.60646999703</v>
      </c>
      <c r="AF173" s="30">
        <v>-217445.0</v>
      </c>
      <c r="AG173" s="30">
        <v>-222640.7551709167</v>
      </c>
      <c r="AH173" s="30">
        <v>-172915.88614000066</v>
      </c>
      <c r="AI173" s="30">
        <v>-166271.0</v>
      </c>
      <c r="AJ173" s="30">
        <v>-303824.74904999894</v>
      </c>
      <c r="AK173" s="30">
        <v>-139172.0</v>
      </c>
      <c r="AL173" s="30">
        <v>-139172.0</v>
      </c>
    </row>
    <row r="174" ht="14.25" customHeight="1">
      <c r="F174" s="30">
        <v>0.0</v>
      </c>
      <c r="G174" s="30">
        <v>0.0</v>
      </c>
      <c r="H174" s="30">
        <v>0.0</v>
      </c>
      <c r="I174" s="30">
        <v>0.0</v>
      </c>
      <c r="J174" s="30">
        <v>0.0</v>
      </c>
      <c r="K174" s="30">
        <v>0.0</v>
      </c>
      <c r="L174" s="30">
        <v>0.0</v>
      </c>
      <c r="M174" s="30">
        <v>0.0</v>
      </c>
      <c r="N174" s="30">
        <v>0.0</v>
      </c>
      <c r="O174" s="30">
        <v>0.0</v>
      </c>
      <c r="P174" s="30">
        <v>0.0</v>
      </c>
      <c r="Q174" s="30">
        <v>0.0</v>
      </c>
      <c r="R174" s="30">
        <v>0.0</v>
      </c>
      <c r="S174" s="30">
        <v>0.0</v>
      </c>
      <c r="T174" s="30">
        <v>0.0</v>
      </c>
      <c r="U174" s="30">
        <v>0.0</v>
      </c>
      <c r="V174" s="30">
        <v>0.0</v>
      </c>
      <c r="W174" s="30">
        <v>0.0</v>
      </c>
      <c r="X174" s="30">
        <v>0.0</v>
      </c>
      <c r="Y174" s="30">
        <v>0.0</v>
      </c>
      <c r="Z174" s="30">
        <v>0.0</v>
      </c>
      <c r="AA174" s="30">
        <v>0.0</v>
      </c>
      <c r="AB174" s="30">
        <v>0.0</v>
      </c>
      <c r="AC174" s="30">
        <v>0.0</v>
      </c>
      <c r="AD174" s="30">
        <v>0.0</v>
      </c>
      <c r="AE174" s="30">
        <v>0.0</v>
      </c>
      <c r="AF174" s="30">
        <v>0.0</v>
      </c>
      <c r="AG174" s="30">
        <v>0.0</v>
      </c>
      <c r="AH174" s="30">
        <v>0.0</v>
      </c>
      <c r="AI174" s="30">
        <v>0.0</v>
      </c>
    </row>
    <row r="175" ht="14.25" customHeight="1">
      <c r="B175" s="30" t="s">
        <v>381</v>
      </c>
      <c r="F175" s="30">
        <v>0.0</v>
      </c>
      <c r="G175" s="30">
        <v>0.0</v>
      </c>
      <c r="H175" s="30">
        <v>0.0</v>
      </c>
      <c r="I175" s="30">
        <v>0.0</v>
      </c>
      <c r="J175" s="30">
        <v>0.0</v>
      </c>
      <c r="K175" s="30">
        <v>0.0</v>
      </c>
      <c r="L175" s="30">
        <v>0.0</v>
      </c>
      <c r="M175" s="30">
        <v>0.0</v>
      </c>
      <c r="N175" s="30">
        <v>0.0</v>
      </c>
      <c r="O175" s="30">
        <v>0.0</v>
      </c>
      <c r="P175" s="30">
        <v>0.0</v>
      </c>
      <c r="Q175" s="30">
        <v>0.0</v>
      </c>
      <c r="R175" s="30">
        <v>0.0</v>
      </c>
      <c r="S175" s="30">
        <v>0.0</v>
      </c>
      <c r="T175" s="30">
        <v>0.0</v>
      </c>
      <c r="U175" s="30">
        <v>0.0</v>
      </c>
      <c r="V175" s="30">
        <v>0.0</v>
      </c>
      <c r="W175" s="30">
        <v>0.0</v>
      </c>
      <c r="X175" s="30">
        <v>0.0</v>
      </c>
      <c r="Y175" s="30">
        <v>0.0</v>
      </c>
      <c r="Z175" s="30">
        <v>0.0</v>
      </c>
      <c r="AA175" s="30">
        <v>0.0</v>
      </c>
      <c r="AB175" s="30">
        <v>0.0</v>
      </c>
      <c r="AC175" s="30">
        <v>0.0</v>
      </c>
      <c r="AD175" s="30">
        <v>0.0</v>
      </c>
      <c r="AE175" s="30">
        <v>0.0</v>
      </c>
      <c r="AF175" s="30">
        <v>0.0</v>
      </c>
      <c r="AG175" s="30">
        <v>0.0</v>
      </c>
      <c r="AH175" s="30">
        <v>0.0</v>
      </c>
      <c r="AI175" s="30">
        <v>0.0</v>
      </c>
    </row>
    <row r="176" ht="14.25" customHeight="1">
      <c r="B176" s="30" t="s">
        <v>382</v>
      </c>
      <c r="F176" s="30">
        <v>-7372.293</v>
      </c>
      <c r="G176" s="30">
        <v>-8273.52736</v>
      </c>
      <c r="H176" s="30">
        <v>-6493.838830000001</v>
      </c>
      <c r="I176" s="30">
        <v>-10302.84762</v>
      </c>
      <c r="J176" s="30">
        <v>-8587.0</v>
      </c>
      <c r="K176" s="30">
        <v>-5574.0</v>
      </c>
      <c r="L176" s="30">
        <v>-12009.51574</v>
      </c>
      <c r="M176" s="30">
        <v>-10988.48426</v>
      </c>
      <c r="N176" s="30">
        <v>-8832.1886</v>
      </c>
      <c r="O176" s="30">
        <v>-10885.20095</v>
      </c>
      <c r="P176" s="30">
        <v>-10988.98228</v>
      </c>
      <c r="Q176" s="30">
        <v>-9509.62817</v>
      </c>
      <c r="R176" s="30">
        <v>-8447.0</v>
      </c>
      <c r="S176" s="30">
        <v>-9040.58749</v>
      </c>
      <c r="T176" s="30">
        <v>-6588.41251</v>
      </c>
      <c r="U176" s="30">
        <v>-9085.0</v>
      </c>
      <c r="V176" s="30">
        <v>-10005.0</v>
      </c>
      <c r="W176" s="30">
        <v>-11471.43875</v>
      </c>
      <c r="X176" s="30">
        <v>-13749.0</v>
      </c>
      <c r="Y176" s="30">
        <v>-11487.02955</v>
      </c>
      <c r="Z176" s="30">
        <v>-13096.83397</v>
      </c>
      <c r="AA176" s="30">
        <v>-17196.0</v>
      </c>
      <c r="AB176" s="30">
        <v>-25521.0</v>
      </c>
      <c r="AC176" s="30">
        <v>-29728.74239</v>
      </c>
      <c r="AD176" s="30">
        <v>-21142.796929999997</v>
      </c>
      <c r="AE176" s="30">
        <v>-27508.177890000003</v>
      </c>
      <c r="AF176" s="30">
        <v>-28128.0</v>
      </c>
      <c r="AG176" s="30">
        <v>-37030.71004</v>
      </c>
      <c r="AH176" s="30">
        <v>-25956.54272</v>
      </c>
      <c r="AI176" s="30">
        <v>-27693.0</v>
      </c>
      <c r="AJ176" s="30">
        <v>-38096.734189999996</v>
      </c>
      <c r="AK176" s="30">
        <v>-51596.134238235296</v>
      </c>
      <c r="AL176" s="30">
        <v>-43549.353910000005</v>
      </c>
    </row>
    <row r="177" ht="14.25" customHeight="1">
      <c r="B177" s="30" t="s">
        <v>383</v>
      </c>
      <c r="F177" s="30">
        <v>-107.0</v>
      </c>
      <c r="G177" s="30">
        <v>-529.0</v>
      </c>
      <c r="H177" s="30">
        <v>-1148.0</v>
      </c>
      <c r="I177" s="30">
        <v>-345.0</v>
      </c>
      <c r="J177" s="30">
        <v>-186.0</v>
      </c>
      <c r="K177" s="30">
        <v>-152.0</v>
      </c>
      <c r="L177" s="30">
        <v>-46.91886000000002</v>
      </c>
      <c r="M177" s="30">
        <v>-53.081140000000005</v>
      </c>
      <c r="N177" s="30">
        <v>-75.92667999999999</v>
      </c>
      <c r="O177" s="30">
        <v>-54.05742000000002</v>
      </c>
      <c r="P177" s="30">
        <v>-371.93457</v>
      </c>
      <c r="Q177" s="30">
        <v>-278.08133</v>
      </c>
      <c r="R177" s="30">
        <v>-57.0</v>
      </c>
      <c r="S177" s="30">
        <v>-225.49882000000002</v>
      </c>
      <c r="T177" s="30">
        <v>-366.50118</v>
      </c>
      <c r="U177" s="30">
        <v>-409.0</v>
      </c>
      <c r="V177" s="30">
        <v>-135.0</v>
      </c>
      <c r="W177" s="30">
        <v>-141.294</v>
      </c>
      <c r="X177" s="30">
        <v>-216.0</v>
      </c>
      <c r="Y177" s="30">
        <v>-421.04959</v>
      </c>
      <c r="Z177" s="30">
        <v>-521.14057</v>
      </c>
      <c r="AA177" s="30">
        <v>-1163.0</v>
      </c>
      <c r="AB177" s="30">
        <v>-351.0</v>
      </c>
      <c r="AC177" s="30">
        <v>-413.40135</v>
      </c>
      <c r="AD177" s="30">
        <v>-913.80309</v>
      </c>
      <c r="AE177" s="30">
        <v>-378.548</v>
      </c>
      <c r="AF177" s="30">
        <v>-657.0</v>
      </c>
      <c r="AG177" s="30">
        <v>-439.2899599999993</v>
      </c>
      <c r="AH177" s="30">
        <v>-379.45728000000037</v>
      </c>
      <c r="AI177" s="30">
        <v>-686.0</v>
      </c>
      <c r="AJ177" s="30">
        <v>-1112.2616299999993</v>
      </c>
      <c r="AK177" s="30">
        <v>2191.5723400000015</v>
      </c>
      <c r="AL177" s="30">
        <v>3815.27238</v>
      </c>
    </row>
    <row r="178" ht="14.25" customHeight="1">
      <c r="B178" s="30" t="s">
        <v>121</v>
      </c>
      <c r="F178" s="30">
        <v>-431.0</v>
      </c>
      <c r="G178" s="30">
        <v>-431.7</v>
      </c>
      <c r="H178" s="30">
        <v>-680.0</v>
      </c>
      <c r="I178" s="30">
        <v>-793.3</v>
      </c>
      <c r="J178" s="30">
        <v>-786.0</v>
      </c>
      <c r="K178" s="30">
        <v>-723.0</v>
      </c>
      <c r="L178" s="30">
        <v>-692.9746599999999</v>
      </c>
      <c r="M178" s="30">
        <v>-694.0253400000001</v>
      </c>
      <c r="N178" s="30">
        <v>-795.6263500000001</v>
      </c>
      <c r="O178" s="30">
        <v>-855.0</v>
      </c>
      <c r="P178" s="30">
        <v>-800.3736499999999</v>
      </c>
      <c r="Q178" s="30">
        <v>-834.9999999999999</v>
      </c>
      <c r="R178" s="30">
        <v>-776.0</v>
      </c>
      <c r="S178" s="30">
        <v>-863.0</v>
      </c>
      <c r="T178" s="30">
        <v>-939.0</v>
      </c>
      <c r="U178" s="30">
        <v>-962.0</v>
      </c>
      <c r="V178" s="30">
        <v>-1004.0</v>
      </c>
      <c r="W178" s="30">
        <v>-1020.102</v>
      </c>
      <c r="X178" s="30">
        <v>-1089.0</v>
      </c>
      <c r="Y178" s="30">
        <v>-767.4889000000001</v>
      </c>
      <c r="Z178" s="30">
        <v>-1056.77714</v>
      </c>
      <c r="AA178" s="30">
        <v>-1226.0</v>
      </c>
      <c r="AB178" s="30">
        <v>-1338.0</v>
      </c>
      <c r="AC178" s="30">
        <v>-1466.1045800000002</v>
      </c>
      <c r="AD178" s="30">
        <v>-3227.89984</v>
      </c>
      <c r="AE178" s="30">
        <v>-3249.07365</v>
      </c>
      <c r="AF178" s="30">
        <v>-2591.0</v>
      </c>
      <c r="AG178" s="30">
        <v>-4400.0</v>
      </c>
      <c r="AH178" s="30">
        <v>-3595.0</v>
      </c>
      <c r="AI178" s="30">
        <v>-3500.0</v>
      </c>
      <c r="AJ178" s="30">
        <v>-4654.0</v>
      </c>
      <c r="AK178" s="30">
        <v>-5599.332511764706</v>
      </c>
      <c r="AL178" s="30">
        <v>-9446.0</v>
      </c>
    </row>
    <row r="179" ht="14.25" customHeight="1">
      <c r="B179" s="30" t="s">
        <v>384</v>
      </c>
      <c r="F179" s="30">
        <v>-934.0</v>
      </c>
      <c r="G179" s="30">
        <v>-1033.0</v>
      </c>
      <c r="H179" s="30">
        <v>322.0</v>
      </c>
      <c r="I179" s="30">
        <v>3.0</v>
      </c>
      <c r="J179" s="30">
        <v>20.0</v>
      </c>
      <c r="K179" s="30">
        <v>-1898.0</v>
      </c>
      <c r="L179" s="30">
        <v>6208.40926</v>
      </c>
      <c r="M179" s="30">
        <v>-323.40926000000036</v>
      </c>
      <c r="N179" s="30">
        <v>370.74163</v>
      </c>
      <c r="O179" s="30">
        <v>1283.25837</v>
      </c>
      <c r="P179" s="30">
        <v>284.29050000000007</v>
      </c>
      <c r="Q179" s="30">
        <v>-140.29050000000007</v>
      </c>
      <c r="R179" s="30">
        <v>2664.0</v>
      </c>
      <c r="S179" s="30">
        <v>-668.9136900000001</v>
      </c>
      <c r="T179" s="30">
        <v>1238.9136900000003</v>
      </c>
      <c r="U179" s="30">
        <v>573.0</v>
      </c>
      <c r="V179" s="30">
        <v>137.0</v>
      </c>
      <c r="W179" s="30">
        <v>-42.16525</v>
      </c>
      <c r="X179" s="30">
        <v>1007.0</v>
      </c>
      <c r="Y179" s="30">
        <v>442.56804</v>
      </c>
      <c r="Z179" s="30">
        <v>-296.24832000000004</v>
      </c>
      <c r="AA179" s="30">
        <v>-388.0</v>
      </c>
      <c r="AB179" s="30">
        <v>-367.0</v>
      </c>
      <c r="AC179" s="30">
        <v>5.248320000000035</v>
      </c>
      <c r="AD179" s="30">
        <v>-251.50014000000002</v>
      </c>
      <c r="AE179" s="30">
        <v>571.79954</v>
      </c>
      <c r="AF179" s="30">
        <v>480.0</v>
      </c>
      <c r="AG179" s="30">
        <v>694.0</v>
      </c>
      <c r="AH179" s="30">
        <v>403.0</v>
      </c>
      <c r="AI179" s="30">
        <v>-522.0</v>
      </c>
      <c r="AJ179" s="30">
        <v>68.99582000000001</v>
      </c>
      <c r="AK179" s="30">
        <v>47.89441000000001</v>
      </c>
      <c r="AL179" s="30">
        <v>-1580.9184700000003</v>
      </c>
    </row>
    <row r="180" ht="14.25" customHeight="1">
      <c r="B180" s="30" t="s">
        <v>385</v>
      </c>
      <c r="F180" s="30">
        <v>8.636389999999999</v>
      </c>
      <c r="G180" s="30">
        <v>-4.447669999999999</v>
      </c>
      <c r="H180" s="30">
        <v>-166.85460000000003</v>
      </c>
      <c r="I180" s="30">
        <v>-1660.7532199999998</v>
      </c>
      <c r="J180" s="30">
        <v>1190.0</v>
      </c>
      <c r="K180" s="30">
        <v>4224.0</v>
      </c>
      <c r="L180" s="30">
        <v>697.0</v>
      </c>
      <c r="M180" s="30">
        <v>0.0</v>
      </c>
      <c r="N180" s="30">
        <v>-107.0</v>
      </c>
      <c r="O180" s="30">
        <v>-389.0</v>
      </c>
      <c r="P180" s="30">
        <v>653.0</v>
      </c>
      <c r="Q180" s="30">
        <v>263.0</v>
      </c>
      <c r="R180" s="30">
        <v>7760.0</v>
      </c>
      <c r="S180" s="30">
        <v>0.0</v>
      </c>
      <c r="T180" s="30">
        <v>0.0</v>
      </c>
      <c r="U180" s="30">
        <v>0.0</v>
      </c>
      <c r="V180" s="30">
        <v>0.0</v>
      </c>
      <c r="W180" s="30">
        <v>0.0</v>
      </c>
      <c r="X180" s="30">
        <v>0.0</v>
      </c>
      <c r="Y180" s="30">
        <v>0.0</v>
      </c>
      <c r="Z180" s="30">
        <v>0.0</v>
      </c>
      <c r="AA180" s="30">
        <v>0.0</v>
      </c>
      <c r="AB180" s="30">
        <v>0.0</v>
      </c>
      <c r="AC180" s="30">
        <v>0.0</v>
      </c>
      <c r="AD180" s="30">
        <v>0.0</v>
      </c>
      <c r="AE180" s="30">
        <v>0.0</v>
      </c>
      <c r="AF180" s="30">
        <v>0.0</v>
      </c>
      <c r="AG180" s="30">
        <v>0.0</v>
      </c>
      <c r="AH180" s="30">
        <v>0.0</v>
      </c>
      <c r="AI180" s="30">
        <v>0.0</v>
      </c>
      <c r="AJ180" s="30">
        <v>0.0</v>
      </c>
      <c r="AK180" s="30">
        <v>0.0</v>
      </c>
      <c r="AL180" s="30">
        <v>0.0</v>
      </c>
    </row>
    <row r="181" ht="14.25" customHeight="1">
      <c r="B181" s="30" t="s">
        <v>386</v>
      </c>
      <c r="F181" s="30">
        <v>-178.34339</v>
      </c>
      <c r="G181" s="30">
        <v>-180.32497</v>
      </c>
      <c r="H181" s="30">
        <v>-182.30657</v>
      </c>
      <c r="I181" s="30">
        <v>-202.09915999999998</v>
      </c>
      <c r="J181" s="30">
        <v>0.0</v>
      </c>
      <c r="K181" s="30">
        <v>0.0</v>
      </c>
      <c r="L181" s="30">
        <v>0.0</v>
      </c>
      <c r="M181" s="30">
        <v>0.0</v>
      </c>
      <c r="N181" s="30">
        <v>0.0</v>
      </c>
      <c r="O181" s="30">
        <v>0.0</v>
      </c>
      <c r="P181" s="30">
        <v>0.0</v>
      </c>
      <c r="Q181" s="30">
        <v>0.0</v>
      </c>
      <c r="R181" s="30">
        <v>0.0</v>
      </c>
      <c r="S181" s="30">
        <v>0.0</v>
      </c>
      <c r="T181" s="30">
        <v>-5806.0</v>
      </c>
      <c r="U181" s="30">
        <v>0.0</v>
      </c>
      <c r="V181" s="30">
        <v>0.0</v>
      </c>
      <c r="W181" s="30">
        <v>0.0</v>
      </c>
      <c r="X181" s="30">
        <v>0.0</v>
      </c>
      <c r="Y181" s="30">
        <v>0.0</v>
      </c>
      <c r="Z181" s="30">
        <v>0.0</v>
      </c>
      <c r="AA181" s="30">
        <v>0.0</v>
      </c>
      <c r="AB181" s="30">
        <v>0.0</v>
      </c>
      <c r="AC181" s="30">
        <v>0.0</v>
      </c>
      <c r="AD181" s="30">
        <v>0.0</v>
      </c>
      <c r="AE181" s="30">
        <v>0.0</v>
      </c>
      <c r="AF181" s="30">
        <v>0.0</v>
      </c>
      <c r="AG181" s="30">
        <v>0.0</v>
      </c>
      <c r="AH181" s="30">
        <v>0.0</v>
      </c>
      <c r="AI181" s="30">
        <v>0.0</v>
      </c>
      <c r="AJ181" s="30">
        <v>0.0</v>
      </c>
      <c r="AK181" s="30">
        <v>-1434.0</v>
      </c>
      <c r="AL181" s="30">
        <v>-1434.0</v>
      </c>
    </row>
    <row r="182" ht="14.25" customHeight="1">
      <c r="B182" s="30" t="s">
        <v>380</v>
      </c>
      <c r="F182" s="30">
        <v>-9014.0</v>
      </c>
      <c r="G182" s="30">
        <v>-10452.0</v>
      </c>
      <c r="H182" s="30">
        <v>-8349.0</v>
      </c>
      <c r="I182" s="30">
        <v>-13301.0</v>
      </c>
      <c r="J182" s="30">
        <v>-8349.0</v>
      </c>
      <c r="K182" s="30">
        <v>-4123.0</v>
      </c>
      <c r="L182" s="30">
        <v>-5844.0</v>
      </c>
      <c r="M182" s="30">
        <v>-12059.0</v>
      </c>
      <c r="N182" s="30">
        <v>-9440.0</v>
      </c>
      <c r="O182" s="30">
        <v>-10900.0</v>
      </c>
      <c r="P182" s="30">
        <v>-11224.0</v>
      </c>
      <c r="Q182" s="30">
        <v>-10500.0</v>
      </c>
      <c r="R182" s="30">
        <v>1144.0</v>
      </c>
      <c r="S182" s="30">
        <v>-10798.0</v>
      </c>
      <c r="T182" s="30">
        <v>-12461.0</v>
      </c>
      <c r="U182" s="30">
        <v>-9883.0</v>
      </c>
      <c r="V182" s="30">
        <v>-11007.0</v>
      </c>
      <c r="W182" s="30">
        <v>-12675.0</v>
      </c>
      <c r="X182" s="30">
        <v>-14047.0</v>
      </c>
      <c r="Y182" s="30">
        <v>-12233.0</v>
      </c>
      <c r="Z182" s="30">
        <v>-14971.0</v>
      </c>
      <c r="AA182" s="30">
        <v>-19973.0</v>
      </c>
      <c r="AB182" s="30">
        <v>-27577.0</v>
      </c>
      <c r="AC182" s="30">
        <v>-31603.0</v>
      </c>
      <c r="AD182" s="30">
        <v>-25536.0</v>
      </c>
      <c r="AE182" s="30">
        <v>-30564.0</v>
      </c>
      <c r="AF182" s="30">
        <v>-30896.0</v>
      </c>
      <c r="AG182" s="30">
        <v>-41176.0</v>
      </c>
      <c r="AH182" s="30">
        <v>-29528.0</v>
      </c>
      <c r="AI182" s="30">
        <v>-32401.0</v>
      </c>
      <c r="AJ182" s="30">
        <v>-43794.0</v>
      </c>
      <c r="AK182" s="30">
        <v>-56390.0</v>
      </c>
      <c r="AL182" s="30">
        <v>-52195.0</v>
      </c>
    </row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>
      <c r="B188" s="30" t="s">
        <v>387</v>
      </c>
      <c r="F188" s="30">
        <v>0.0</v>
      </c>
      <c r="G188" s="30">
        <v>0.0</v>
      </c>
      <c r="H188" s="30">
        <v>0.0</v>
      </c>
      <c r="I188" s="30">
        <v>0.0</v>
      </c>
      <c r="J188" s="30">
        <v>0.0</v>
      </c>
      <c r="K188" s="30">
        <v>0.0</v>
      </c>
      <c r="L188" s="30">
        <v>0.0</v>
      </c>
      <c r="M188" s="30">
        <v>0.0</v>
      </c>
      <c r="N188" s="30">
        <v>0.0</v>
      </c>
      <c r="O188" s="30">
        <v>0.0</v>
      </c>
      <c r="P188" s="30">
        <v>0.0</v>
      </c>
      <c r="Q188" s="30">
        <v>0.0</v>
      </c>
      <c r="R188" s="30">
        <v>0.0</v>
      </c>
      <c r="S188" s="30">
        <v>0.0</v>
      </c>
      <c r="T188" s="30">
        <v>0.0</v>
      </c>
      <c r="U188" s="30">
        <v>0.0</v>
      </c>
      <c r="V188" s="30">
        <v>0.0</v>
      </c>
      <c r="W188" s="30">
        <v>0.0</v>
      </c>
      <c r="X188" s="30">
        <v>0.0</v>
      </c>
      <c r="Y188" s="30">
        <v>0.0</v>
      </c>
      <c r="Z188" s="30">
        <v>0.0</v>
      </c>
      <c r="AA188" s="30">
        <v>0.0</v>
      </c>
      <c r="AB188" s="30">
        <v>0.0</v>
      </c>
      <c r="AC188" s="30">
        <v>0.0</v>
      </c>
      <c r="AD188" s="30">
        <v>0.0</v>
      </c>
      <c r="AE188" s="30">
        <v>0.0</v>
      </c>
      <c r="AF188" s="30">
        <v>0.0</v>
      </c>
      <c r="AG188" s="30">
        <v>0.0</v>
      </c>
      <c r="AH188" s="30">
        <v>0.0</v>
      </c>
      <c r="AI188" s="30">
        <v>0.0</v>
      </c>
    </row>
    <row r="189" ht="14.25" customHeight="1">
      <c r="B189" s="30" t="s">
        <v>388</v>
      </c>
      <c r="F189" s="30">
        <v>376.0</v>
      </c>
      <c r="G189" s="30">
        <v>444.0</v>
      </c>
      <c r="H189" s="30">
        <v>261.0</v>
      </c>
      <c r="I189" s="30">
        <v>94.0</v>
      </c>
      <c r="J189" s="30">
        <v>85.0</v>
      </c>
      <c r="K189" s="30">
        <v>85.0</v>
      </c>
      <c r="L189" s="30">
        <v>32.0</v>
      </c>
      <c r="M189" s="30">
        <v>13.0</v>
      </c>
      <c r="N189" s="30">
        <v>41.0</v>
      </c>
      <c r="O189" s="30">
        <v>149.0</v>
      </c>
      <c r="P189" s="30">
        <v>246.0</v>
      </c>
      <c r="Q189" s="30">
        <v>238.0</v>
      </c>
      <c r="R189" s="30">
        <v>856.0</v>
      </c>
      <c r="S189" s="30">
        <v>1046.0</v>
      </c>
      <c r="T189" s="30">
        <v>665.0</v>
      </c>
      <c r="U189" s="30">
        <v>-132.0</v>
      </c>
      <c r="V189" s="30">
        <v>601.0</v>
      </c>
      <c r="W189" s="30">
        <v>524.1734</v>
      </c>
      <c r="X189" s="30">
        <v>927.0</v>
      </c>
      <c r="Y189" s="30">
        <v>1341.54089</v>
      </c>
      <c r="Z189" s="30">
        <v>1425.20082</v>
      </c>
      <c r="AA189" s="30">
        <v>1054.2340800000002</v>
      </c>
      <c r="AB189" s="30">
        <v>1814.0</v>
      </c>
      <c r="AC189" s="30">
        <v>2608.5651</v>
      </c>
      <c r="AD189" s="30">
        <v>3386.0</v>
      </c>
      <c r="AE189" s="30">
        <v>2621.0</v>
      </c>
      <c r="AF189" s="30">
        <v>1601.0</v>
      </c>
      <c r="AG189" s="30">
        <v>1696.0</v>
      </c>
      <c r="AH189" s="30">
        <v>3245.0</v>
      </c>
      <c r="AI189" s="30">
        <v>3237.0</v>
      </c>
      <c r="AJ189" s="30">
        <v>4821.0</v>
      </c>
      <c r="AK189" s="30">
        <v>4062.0</v>
      </c>
      <c r="AL189" s="30">
        <v>5428.0</v>
      </c>
    </row>
    <row r="190" ht="14.25" customHeight="1">
      <c r="B190" s="30" t="s">
        <v>389</v>
      </c>
      <c r="F190" s="30">
        <v>-468.0</v>
      </c>
      <c r="G190" s="30">
        <v>-1061.0</v>
      </c>
      <c r="H190" s="30">
        <v>-1387.0</v>
      </c>
      <c r="I190" s="30">
        <v>-1335.0</v>
      </c>
      <c r="J190" s="30">
        <v>-1829.0</v>
      </c>
      <c r="K190" s="30">
        <v>-1747.0</v>
      </c>
      <c r="L190" s="30">
        <v>-1606.0</v>
      </c>
      <c r="M190" s="30">
        <v>-1769.0</v>
      </c>
      <c r="N190" s="30">
        <v>-1793.0</v>
      </c>
      <c r="O190" s="30">
        <v>-1618.0</v>
      </c>
      <c r="P190" s="30">
        <v>-572.0</v>
      </c>
      <c r="Q190" s="30">
        <v>-511.0</v>
      </c>
      <c r="R190" s="30">
        <v>-445.0</v>
      </c>
      <c r="S190" s="30">
        <v>-233.0</v>
      </c>
      <c r="T190" s="30">
        <v>-206.0</v>
      </c>
      <c r="U190" s="30">
        <v>-240.0</v>
      </c>
      <c r="V190" s="30">
        <v>-271.0</v>
      </c>
      <c r="W190" s="30">
        <v>-243.159</v>
      </c>
      <c r="X190" s="30">
        <v>-222.0</v>
      </c>
      <c r="Y190" s="30">
        <v>-535.2601500000001</v>
      </c>
      <c r="Z190" s="30">
        <v>-1070.2920900000001</v>
      </c>
      <c r="AA190" s="30">
        <v>-1616.02641</v>
      </c>
      <c r="AB190" s="30">
        <v>-4160.0</v>
      </c>
      <c r="AC190" s="30">
        <v>-4679.6815</v>
      </c>
      <c r="AD190" s="30">
        <v>-6403.0</v>
      </c>
      <c r="AE190" s="30">
        <v>-9120.11898</v>
      </c>
      <c r="AF190" s="30">
        <v>-9595.0</v>
      </c>
      <c r="AG190" s="30">
        <v>-11691.0</v>
      </c>
      <c r="AH190" s="30">
        <v>-11348.0</v>
      </c>
      <c r="AI190" s="30">
        <v>-11431.0</v>
      </c>
      <c r="AJ190" s="30">
        <v>-13911.0</v>
      </c>
      <c r="AK190" s="30">
        <v>-14611.0</v>
      </c>
      <c r="AL190" s="30">
        <v>-16374.0</v>
      </c>
    </row>
    <row r="191" ht="14.25" customHeight="1">
      <c r="B191" s="30" t="s">
        <v>390</v>
      </c>
      <c r="F191" s="30">
        <v>0.0</v>
      </c>
      <c r="G191" s="30">
        <v>0.0</v>
      </c>
      <c r="H191" s="30">
        <v>0.0</v>
      </c>
      <c r="I191" s="30">
        <v>0.0</v>
      </c>
      <c r="J191" s="30">
        <v>0.0</v>
      </c>
      <c r="K191" s="30">
        <v>0.0</v>
      </c>
      <c r="L191" s="30">
        <v>0.0</v>
      </c>
      <c r="M191" s="30">
        <v>0.0</v>
      </c>
      <c r="N191" s="30">
        <v>0.0</v>
      </c>
      <c r="O191" s="30">
        <v>-1112.0</v>
      </c>
      <c r="P191" s="30">
        <v>-1957.0</v>
      </c>
      <c r="Q191" s="30">
        <v>-1841.0</v>
      </c>
      <c r="R191" s="30">
        <v>-1559.0</v>
      </c>
      <c r="S191" s="30">
        <v>-1419.0</v>
      </c>
      <c r="T191" s="30">
        <v>-1221.0</v>
      </c>
      <c r="U191" s="30">
        <v>-1022.0</v>
      </c>
      <c r="V191" s="30">
        <v>-1026.0</v>
      </c>
      <c r="W191" s="30">
        <v>-1013.1796999999999</v>
      </c>
      <c r="X191" s="30">
        <v>-1092.0</v>
      </c>
      <c r="Y191" s="30">
        <v>-1131.9273799999999</v>
      </c>
      <c r="Z191" s="30">
        <v>-1101.31634</v>
      </c>
      <c r="AA191" s="30">
        <v>-982.47474</v>
      </c>
      <c r="AB191" s="30">
        <v>-802.0</v>
      </c>
      <c r="AC191" s="30">
        <v>-522.2089199999998</v>
      </c>
      <c r="AD191" s="30">
        <v>-340.0</v>
      </c>
      <c r="AE191" s="30">
        <v>-80.10115</v>
      </c>
      <c r="AF191" s="30">
        <v>0.0</v>
      </c>
      <c r="AG191" s="30">
        <v>0.0</v>
      </c>
      <c r="AH191" s="30">
        <v>0.0</v>
      </c>
      <c r="AI191" s="30">
        <v>0.0</v>
      </c>
      <c r="AJ191" s="30">
        <v>0.0</v>
      </c>
      <c r="AK191" s="30">
        <v>0.0</v>
      </c>
      <c r="AL191" s="30">
        <v>-122.0</v>
      </c>
    </row>
    <row r="192" ht="14.25" customHeight="1">
      <c r="B192" s="30" t="s">
        <v>391</v>
      </c>
      <c r="F192" s="30">
        <v>-206.0</v>
      </c>
      <c r="G192" s="30">
        <v>-64.0</v>
      </c>
      <c r="H192" s="30">
        <v>-901.0</v>
      </c>
      <c r="I192" s="30">
        <v>81.0</v>
      </c>
      <c r="J192" s="30">
        <v>-515.0</v>
      </c>
      <c r="K192" s="30">
        <v>97.0</v>
      </c>
      <c r="L192" s="30">
        <v>-696.0</v>
      </c>
      <c r="M192" s="30">
        <v>-832.0</v>
      </c>
      <c r="N192" s="30">
        <v>-966.0</v>
      </c>
      <c r="O192" s="30">
        <v>241.0</v>
      </c>
      <c r="P192" s="30">
        <v>-289.0</v>
      </c>
      <c r="Q192" s="30">
        <v>-348.0</v>
      </c>
      <c r="R192" s="30">
        <v>-627.0</v>
      </c>
      <c r="S192" s="30">
        <v>-375.0</v>
      </c>
      <c r="T192" s="30">
        <v>-46.0</v>
      </c>
      <c r="U192" s="30">
        <v>-58.0</v>
      </c>
      <c r="V192" s="30">
        <v>-1.0</v>
      </c>
      <c r="W192" s="30">
        <v>-29.16964</v>
      </c>
      <c r="X192" s="30">
        <v>-425.0</v>
      </c>
      <c r="Y192" s="30">
        <v>35.13105</v>
      </c>
      <c r="Z192" s="30">
        <v>-38.83198</v>
      </c>
      <c r="AA192" s="30">
        <v>-4.26577</v>
      </c>
      <c r="AB192" s="30">
        <v>16.0</v>
      </c>
      <c r="AC192" s="30">
        <v>288.09775</v>
      </c>
      <c r="AD192" s="30">
        <v>183.0</v>
      </c>
      <c r="AE192" s="30">
        <v>-307.00458</v>
      </c>
      <c r="AF192" s="30">
        <v>196.0</v>
      </c>
      <c r="AG192" s="30">
        <v>-2493.0</v>
      </c>
      <c r="AH192" s="30">
        <v>-610.0</v>
      </c>
      <c r="AI192" s="30">
        <v>693.0</v>
      </c>
      <c r="AJ192" s="30">
        <v>1043.0</v>
      </c>
      <c r="AK192" s="30">
        <v>3331.0</v>
      </c>
      <c r="AL192" s="30">
        <v>1605.0</v>
      </c>
    </row>
    <row r="193" ht="14.25" customHeight="1">
      <c r="B193" s="30" t="s">
        <v>392</v>
      </c>
      <c r="F193" s="30">
        <v>-673.0</v>
      </c>
      <c r="G193" s="30">
        <v>-600.0</v>
      </c>
      <c r="H193" s="30">
        <v>-207.0</v>
      </c>
      <c r="I193" s="30">
        <v>-179.0</v>
      </c>
      <c r="J193" s="30">
        <v>-212.0</v>
      </c>
      <c r="K193" s="30">
        <v>-149.0</v>
      </c>
      <c r="L193" s="30">
        <v>-140.0</v>
      </c>
      <c r="M193" s="30">
        <v>-77.0</v>
      </c>
      <c r="N193" s="30">
        <v>-129.0</v>
      </c>
      <c r="O193" s="30">
        <v>-130.0</v>
      </c>
      <c r="P193" s="30">
        <v>-128.0</v>
      </c>
      <c r="Q193" s="30">
        <v>-51.0</v>
      </c>
      <c r="R193" s="30">
        <v>-69.0</v>
      </c>
      <c r="S193" s="30">
        <v>-29.0</v>
      </c>
      <c r="T193" s="30">
        <v>-19.0</v>
      </c>
      <c r="U193" s="30">
        <v>-21.0</v>
      </c>
      <c r="V193" s="30">
        <v>-21.0</v>
      </c>
      <c r="W193" s="30">
        <v>-35.89094</v>
      </c>
      <c r="X193" s="30">
        <v>-55.0</v>
      </c>
      <c r="Y193" s="30">
        <v>-65.4656</v>
      </c>
      <c r="Z193" s="30">
        <v>-151.86498</v>
      </c>
      <c r="AA193" s="30">
        <v>-378.07309999999995</v>
      </c>
      <c r="AB193" s="30">
        <v>-496.0</v>
      </c>
      <c r="AC193" s="30">
        <v>-387.06192000000004</v>
      </c>
      <c r="AD193" s="30">
        <v>-665.0</v>
      </c>
      <c r="AE193" s="30">
        <v>-853.0</v>
      </c>
      <c r="AF193" s="30">
        <v>-1044.0</v>
      </c>
      <c r="AG193" s="30">
        <v>-411.0</v>
      </c>
      <c r="AH193" s="30">
        <v>-794.0</v>
      </c>
      <c r="AI193" s="30">
        <v>-585.0</v>
      </c>
      <c r="AJ193" s="30">
        <v>-5566.0</v>
      </c>
      <c r="AK193" s="30">
        <v>-4099.0</v>
      </c>
      <c r="AL193" s="30">
        <v>-4416.0</v>
      </c>
    </row>
    <row r="194" ht="14.25" customHeight="1">
      <c r="B194" s="30" t="s">
        <v>393</v>
      </c>
      <c r="F194" s="30">
        <v>66.0</v>
      </c>
      <c r="G194" s="30">
        <v>31.0</v>
      </c>
      <c r="H194" s="30">
        <v>381.0</v>
      </c>
      <c r="I194" s="30">
        <v>333.0</v>
      </c>
      <c r="J194" s="30">
        <v>149.0</v>
      </c>
      <c r="K194" s="30">
        <v>181.0</v>
      </c>
      <c r="L194" s="30">
        <v>449.0</v>
      </c>
      <c r="M194" s="30">
        <v>474.0</v>
      </c>
      <c r="N194" s="30">
        <v>70.0</v>
      </c>
      <c r="O194" s="30">
        <v>93.0</v>
      </c>
      <c r="P194" s="30">
        <v>56.0</v>
      </c>
      <c r="Q194" s="30">
        <v>215.0</v>
      </c>
      <c r="R194" s="30">
        <v>50.0</v>
      </c>
      <c r="S194" s="30">
        <v>121.0</v>
      </c>
      <c r="T194" s="30">
        <v>206.0</v>
      </c>
      <c r="U194" s="30">
        <v>125.0</v>
      </c>
      <c r="V194" s="30">
        <v>90.0</v>
      </c>
      <c r="W194" s="30">
        <v>212.32213</v>
      </c>
      <c r="X194" s="30">
        <v>105.0</v>
      </c>
      <c r="Y194" s="30">
        <v>41.79278</v>
      </c>
      <c r="Z194" s="30">
        <v>41.4711</v>
      </c>
      <c r="AA194" s="30">
        <v>144.22516000000002</v>
      </c>
      <c r="AB194" s="30">
        <v>644.37875</v>
      </c>
      <c r="AC194" s="30">
        <v>31.924990000000015</v>
      </c>
      <c r="AD194" s="30">
        <v>7.0</v>
      </c>
      <c r="AE194" s="30">
        <v>7.795990000000029</v>
      </c>
      <c r="AF194" s="30">
        <v>71.0</v>
      </c>
      <c r="AG194" s="30">
        <v>173.0</v>
      </c>
      <c r="AH194" s="30">
        <v>205.0</v>
      </c>
      <c r="AI194" s="30">
        <v>41.0</v>
      </c>
      <c r="AJ194" s="30">
        <v>354.0</v>
      </c>
      <c r="AK194" s="30">
        <v>0.0</v>
      </c>
      <c r="AL194" s="30">
        <v>0.0</v>
      </c>
    </row>
    <row r="195" ht="14.25" customHeight="1">
      <c r="B195" s="30" t="s">
        <v>394</v>
      </c>
      <c r="F195" s="30">
        <v>0.0</v>
      </c>
      <c r="G195" s="30">
        <v>0.0</v>
      </c>
      <c r="H195" s="30">
        <v>0.0</v>
      </c>
      <c r="I195" s="30">
        <v>0.0</v>
      </c>
      <c r="J195" s="30">
        <v>0.0</v>
      </c>
      <c r="K195" s="30">
        <v>-21.0</v>
      </c>
      <c r="L195" s="30">
        <v>-468.0</v>
      </c>
      <c r="M195" s="30">
        <v>-293.0</v>
      </c>
      <c r="N195" s="30">
        <v>-372.0</v>
      </c>
      <c r="O195" s="30">
        <v>-737.0</v>
      </c>
      <c r="P195" s="30">
        <v>-1077.0</v>
      </c>
      <c r="Q195" s="30">
        <v>-1056.0</v>
      </c>
      <c r="R195" s="30">
        <v>-384.0</v>
      </c>
      <c r="S195" s="30">
        <v>-71.0</v>
      </c>
      <c r="T195" s="30">
        <v>-58.0</v>
      </c>
      <c r="U195" s="30">
        <v>-77.0</v>
      </c>
      <c r="V195" s="30">
        <v>-116.0</v>
      </c>
      <c r="W195" s="30">
        <v>-58.7344</v>
      </c>
      <c r="X195" s="30">
        <v>-128.0</v>
      </c>
      <c r="Y195" s="30">
        <v>-552.52049</v>
      </c>
      <c r="Z195" s="30">
        <v>-587.94157</v>
      </c>
      <c r="AA195" s="30">
        <v>-1904.37297</v>
      </c>
      <c r="AB195" s="30">
        <v>-2946.0</v>
      </c>
      <c r="AC195" s="30">
        <v>-4654.68546</v>
      </c>
      <c r="AD195" s="30">
        <v>-2975.0</v>
      </c>
      <c r="AE195" s="30">
        <v>-561.7307599999999</v>
      </c>
      <c r="AF195" s="30">
        <v>-2910.0</v>
      </c>
      <c r="AG195" s="30">
        <v>-1943.0</v>
      </c>
      <c r="AH195" s="30">
        <v>-296.0</v>
      </c>
      <c r="AI195" s="30">
        <v>-697.0</v>
      </c>
      <c r="AJ195" s="30">
        <v>-594.0</v>
      </c>
      <c r="AK195" s="30">
        <v>-1147.0</v>
      </c>
      <c r="AL195" s="30">
        <v>-226.0</v>
      </c>
    </row>
    <row r="196" ht="14.25" customHeight="1">
      <c r="B196" s="30" t="s">
        <v>395</v>
      </c>
      <c r="F196" s="30">
        <v>-1.0</v>
      </c>
      <c r="G196" s="30">
        <v>-26.0</v>
      </c>
      <c r="H196" s="30">
        <v>-277.0</v>
      </c>
      <c r="I196" s="30">
        <v>-187.0</v>
      </c>
      <c r="J196" s="30">
        <v>-435.0</v>
      </c>
      <c r="K196" s="30">
        <v>-636.0</v>
      </c>
      <c r="L196" s="30">
        <v>-343.0</v>
      </c>
      <c r="M196" s="30">
        <v>-326.0</v>
      </c>
      <c r="N196" s="30">
        <v>-141.0</v>
      </c>
      <c r="O196" s="30">
        <v>-664.0</v>
      </c>
      <c r="P196" s="30">
        <v>-169.0</v>
      </c>
      <c r="Q196" s="30">
        <v>-111.0</v>
      </c>
      <c r="R196" s="30">
        <v>-274.0</v>
      </c>
      <c r="S196" s="30">
        <v>-66.0</v>
      </c>
      <c r="T196" s="30">
        <v>-103.0</v>
      </c>
      <c r="U196" s="30">
        <v>-159.0</v>
      </c>
      <c r="V196" s="30">
        <v>-116.0</v>
      </c>
      <c r="W196" s="30">
        <v>-25.957</v>
      </c>
      <c r="X196" s="30">
        <v>-413.0</v>
      </c>
      <c r="Y196" s="30">
        <v>-258.26842</v>
      </c>
      <c r="Z196" s="30">
        <v>-129.89243</v>
      </c>
      <c r="AA196" s="30">
        <v>-18.509349999999998</v>
      </c>
      <c r="AB196" s="30">
        <v>-134.0</v>
      </c>
      <c r="AC196" s="30">
        <v>-138.59822000000003</v>
      </c>
      <c r="AD196" s="30">
        <v>-126.0</v>
      </c>
      <c r="AE196" s="30">
        <v>-128.65295999999975</v>
      </c>
      <c r="AF196" s="30">
        <v>-104.0</v>
      </c>
      <c r="AG196" s="30">
        <v>-200.0</v>
      </c>
      <c r="AH196" s="30">
        <v>-136.0</v>
      </c>
      <c r="AI196" s="30">
        <v>-201.0</v>
      </c>
      <c r="AJ196" s="30">
        <v>-217.0</v>
      </c>
      <c r="AK196" s="30">
        <v>-516.0</v>
      </c>
      <c r="AL196" s="30">
        <v>-378.0</v>
      </c>
    </row>
    <row r="197" ht="14.25" customHeight="1">
      <c r="B197" s="30" t="s">
        <v>396</v>
      </c>
      <c r="F197" s="30">
        <v>38.0</v>
      </c>
      <c r="G197" s="30">
        <v>-121.0</v>
      </c>
      <c r="H197" s="30">
        <v>-376.0</v>
      </c>
      <c r="I197" s="30">
        <v>-171.0</v>
      </c>
      <c r="J197" s="30">
        <v>329.0</v>
      </c>
      <c r="K197" s="30">
        <v>-551.0</v>
      </c>
      <c r="L197" s="30">
        <v>701.0</v>
      </c>
      <c r="M197" s="30">
        <v>919.0</v>
      </c>
      <c r="N197" s="30">
        <v>787.0</v>
      </c>
      <c r="O197" s="30">
        <v>-185.0</v>
      </c>
      <c r="P197" s="30">
        <v>237.0</v>
      </c>
      <c r="Q197" s="30">
        <v>-1.0</v>
      </c>
      <c r="R197" s="30">
        <v>-120.0</v>
      </c>
      <c r="S197" s="30">
        <v>142.0</v>
      </c>
      <c r="T197" s="30">
        <v>-458.0</v>
      </c>
      <c r="U197" s="30">
        <v>-230.0</v>
      </c>
      <c r="V197" s="30">
        <v>-1.0</v>
      </c>
      <c r="W197" s="30">
        <v>113.59514999999988</v>
      </c>
      <c r="X197" s="30">
        <v>-55.0</v>
      </c>
      <c r="Y197" s="30">
        <v>-413.10569</v>
      </c>
      <c r="Z197" s="30">
        <v>190.15363</v>
      </c>
      <c r="AA197" s="30">
        <v>-96.96402999999998</v>
      </c>
      <c r="AB197" s="30">
        <v>-404.0</v>
      </c>
      <c r="AC197" s="30">
        <v>-1131.1896</v>
      </c>
      <c r="AD197" s="30">
        <v>-574.0</v>
      </c>
      <c r="AE197" s="30">
        <v>-839.237849999995</v>
      </c>
      <c r="AF197" s="30">
        <v>-638.0</v>
      </c>
      <c r="AG197" s="30">
        <v>-928.0</v>
      </c>
      <c r="AH197" s="30">
        <v>-1555.0</v>
      </c>
      <c r="AI197" s="30">
        <v>-1372.0</v>
      </c>
      <c r="AJ197" s="30">
        <v>-1585.0</v>
      </c>
      <c r="AK197" s="30">
        <v>-1841.0</v>
      </c>
      <c r="AL197" s="30">
        <v>-1315.0</v>
      </c>
    </row>
    <row r="198" ht="14.25" customHeight="1">
      <c r="B198" s="30" t="s">
        <v>380</v>
      </c>
      <c r="F198" s="30">
        <v>-868.0</v>
      </c>
      <c r="G198" s="30">
        <v>-1397.0</v>
      </c>
      <c r="H198" s="30">
        <v>-2506.0</v>
      </c>
      <c r="I198" s="30">
        <v>-1364.0</v>
      </c>
      <c r="J198" s="30">
        <v>-2428.0</v>
      </c>
      <c r="K198" s="30">
        <v>-2741.0</v>
      </c>
      <c r="L198" s="30">
        <v>-2071.0</v>
      </c>
      <c r="M198" s="30">
        <v>-1891.0</v>
      </c>
      <c r="N198" s="30">
        <v>-2503.0</v>
      </c>
      <c r="O198" s="30">
        <v>-3963.0</v>
      </c>
      <c r="P198" s="30">
        <v>-3653.0</v>
      </c>
      <c r="Q198" s="30">
        <v>-3466.0</v>
      </c>
      <c r="R198" s="30">
        <v>-2572.0</v>
      </c>
      <c r="S198" s="30">
        <v>-884.0</v>
      </c>
      <c r="T198" s="30">
        <v>-1240.0</v>
      </c>
      <c r="U198" s="30">
        <v>-1814.0</v>
      </c>
      <c r="V198" s="30">
        <v>-861.0</v>
      </c>
      <c r="W198" s="30">
        <v>-556.0</v>
      </c>
      <c r="X198" s="30">
        <v>-1358.0</v>
      </c>
      <c r="Y198" s="30">
        <v>-1538.0830099999998</v>
      </c>
      <c r="Z198" s="30">
        <v>-1423.31384</v>
      </c>
      <c r="AA198" s="30">
        <v>-3802.2271299999998</v>
      </c>
      <c r="AB198" s="30">
        <v>-6467.62125</v>
      </c>
      <c r="AC198" s="30">
        <v>-8584.83778</v>
      </c>
      <c r="AD198" s="30">
        <v>-7507.0</v>
      </c>
      <c r="AE198" s="30">
        <v>-9261.050289999996</v>
      </c>
      <c r="AF198" s="30">
        <v>-12423.0</v>
      </c>
      <c r="AG198" s="30">
        <v>-15797.0</v>
      </c>
      <c r="AH198" s="30">
        <v>-11289.0</v>
      </c>
      <c r="AI198" s="30">
        <v>-10315.0</v>
      </c>
      <c r="AJ198" s="30">
        <v>-15655.0</v>
      </c>
      <c r="AK198" s="30">
        <v>-14821.0</v>
      </c>
      <c r="AL198" s="30">
        <v>-15798.0</v>
      </c>
    </row>
    <row r="199" ht="14.25" customHeight="1">
      <c r="B199" s="30" t="s">
        <v>351</v>
      </c>
      <c r="F199" s="30">
        <v>-868.0</v>
      </c>
      <c r="G199" s="30">
        <v>-1397.0</v>
      </c>
      <c r="H199" s="30">
        <v>-2506.0</v>
      </c>
      <c r="I199" s="30">
        <v>-1364.0</v>
      </c>
      <c r="J199" s="30">
        <v>-2428.0</v>
      </c>
      <c r="K199" s="30">
        <v>-2741.0</v>
      </c>
      <c r="L199" s="30">
        <v>-2071.0</v>
      </c>
      <c r="M199" s="30">
        <v>-1891.0</v>
      </c>
      <c r="N199" s="30">
        <v>-2503.0</v>
      </c>
      <c r="O199" s="30">
        <v>-3963.0</v>
      </c>
      <c r="P199" s="30">
        <v>-3653.0</v>
      </c>
      <c r="Q199" s="30">
        <v>-3466.0</v>
      </c>
      <c r="R199" s="30">
        <v>-2572.0</v>
      </c>
      <c r="S199" s="30">
        <v>-884.0</v>
      </c>
      <c r="T199" s="30">
        <v>-1240.0</v>
      </c>
      <c r="U199" s="30">
        <v>-1814.0</v>
      </c>
      <c r="V199" s="30">
        <v>-861.0</v>
      </c>
      <c r="W199" s="30">
        <v>-556.0</v>
      </c>
      <c r="X199" s="30">
        <v>-1358.0</v>
      </c>
      <c r="Y199" s="30">
        <v>-1538.0</v>
      </c>
      <c r="Z199" s="30">
        <v>-1423.0</v>
      </c>
      <c r="AA199" s="30">
        <v>-3802.0</v>
      </c>
      <c r="AB199" s="30">
        <v>-6468.0</v>
      </c>
      <c r="AC199" s="30">
        <v>-8585.0</v>
      </c>
      <c r="AD199" s="30">
        <v>-7507.0</v>
      </c>
      <c r="AE199" s="30">
        <v>-9261.0</v>
      </c>
      <c r="AF199" s="30">
        <v>-12423.0</v>
      </c>
      <c r="AG199" s="30">
        <v>-15797.0</v>
      </c>
      <c r="AH199" s="30">
        <v>-11289.0</v>
      </c>
      <c r="AI199" s="30">
        <v>-10315.0</v>
      </c>
      <c r="AJ199" s="30">
        <v>-15655.0</v>
      </c>
      <c r="AK199" s="30">
        <v>-14821.0</v>
      </c>
      <c r="AL199" s="30">
        <v>-15798.0</v>
      </c>
    </row>
    <row r="200" ht="14.25" customHeight="1"/>
    <row r="201" ht="14.25" customHeight="1">
      <c r="B201" s="170" t="s">
        <v>397</v>
      </c>
    </row>
    <row r="202" ht="14.25" customHeight="1"/>
    <row r="203" ht="14.25" customHeight="1">
      <c r="B203" s="170" t="s">
        <v>398</v>
      </c>
      <c r="J203" s="30">
        <v>405.0</v>
      </c>
      <c r="K203" s="30">
        <v>581.0</v>
      </c>
      <c r="L203" s="30">
        <v>1137.0</v>
      </c>
      <c r="M203" s="30">
        <v>3842.0</v>
      </c>
      <c r="N203" s="30">
        <v>-1576.0</v>
      </c>
      <c r="O203" s="30">
        <v>-1888.0</v>
      </c>
      <c r="P203" s="30">
        <v>-4391.0</v>
      </c>
      <c r="Q203" s="30">
        <v>2030.0</v>
      </c>
      <c r="R203" s="30">
        <v>8204.0</v>
      </c>
      <c r="S203" s="30">
        <v>-15931.0</v>
      </c>
      <c r="T203" s="30">
        <v>-4254.0</v>
      </c>
      <c r="U203" s="30">
        <v>839.0</v>
      </c>
      <c r="V203" s="30">
        <v>-457.0</v>
      </c>
      <c r="W203" s="30">
        <v>8239.0</v>
      </c>
      <c r="X203" s="30">
        <v>5757.0</v>
      </c>
      <c r="Y203" s="30">
        <v>2640.0</v>
      </c>
      <c r="Z203" s="30">
        <v>9129.0</v>
      </c>
      <c r="AA203" s="30">
        <v>15631.0</v>
      </c>
      <c r="AB203" s="30">
        <v>44026.0</v>
      </c>
      <c r="AC203" s="30">
        <v>15394.0</v>
      </c>
      <c r="AD203" s="30">
        <v>16548.0</v>
      </c>
      <c r="AE203" s="30">
        <v>15028.0</v>
      </c>
      <c r="AF203" s="30">
        <v>8193.0</v>
      </c>
      <c r="AG203" s="30">
        <v>2642.0</v>
      </c>
      <c r="AH203" s="30">
        <v>2698.0</v>
      </c>
      <c r="AI203" s="30">
        <v>-3728.0</v>
      </c>
      <c r="AJ203" s="30">
        <v>7878.0</v>
      </c>
      <c r="AK203" s="30">
        <v>31030.0</v>
      </c>
      <c r="AL203" s="30">
        <v>5847.0</v>
      </c>
    </row>
    <row r="204" ht="14.25" customHeight="1">
      <c r="B204" s="170" t="s">
        <v>399</v>
      </c>
      <c r="J204" s="30">
        <v>0.0</v>
      </c>
      <c r="K204" s="30">
        <v>0.0</v>
      </c>
      <c r="L204" s="30">
        <v>0.0</v>
      </c>
      <c r="M204" s="30">
        <v>0.0</v>
      </c>
      <c r="N204" s="30">
        <v>0.0</v>
      </c>
      <c r="O204" s="30">
        <v>0.0</v>
      </c>
      <c r="P204" s="30">
        <v>0.0</v>
      </c>
      <c r="Q204" s="30">
        <v>0.0</v>
      </c>
      <c r="R204" s="30">
        <v>0.0</v>
      </c>
      <c r="S204" s="30">
        <v>0.0</v>
      </c>
      <c r="T204" s="30">
        <v>0.0</v>
      </c>
      <c r="U204" s="30">
        <v>0.0</v>
      </c>
      <c r="V204" s="30">
        <v>0.0</v>
      </c>
      <c r="W204" s="30">
        <v>0.0</v>
      </c>
      <c r="X204" s="30">
        <v>0.0</v>
      </c>
      <c r="Y204" s="30">
        <v>0.0</v>
      </c>
      <c r="Z204" s="30">
        <v>0.0</v>
      </c>
      <c r="AA204" s="30">
        <v>0.0</v>
      </c>
      <c r="AB204" s="30">
        <v>0.0</v>
      </c>
      <c r="AC204" s="30">
        <v>0.0</v>
      </c>
      <c r="AD204" s="30">
        <v>0.0</v>
      </c>
      <c r="AE204" s="30">
        <v>0.0</v>
      </c>
      <c r="AF204" s="30">
        <v>0.0</v>
      </c>
      <c r="AG204" s="30">
        <v>0.0</v>
      </c>
      <c r="AH204" s="30">
        <v>0.0</v>
      </c>
      <c r="AI204" s="30">
        <v>0.0</v>
      </c>
    </row>
    <row r="205" ht="14.25" customHeight="1">
      <c r="B205" s="171" t="s">
        <v>400</v>
      </c>
      <c r="J205" s="30">
        <v>4091.0</v>
      </c>
      <c r="K205" s="30">
        <v>4096.0</v>
      </c>
      <c r="L205" s="30">
        <v>4052.661689999999</v>
      </c>
      <c r="M205" s="30">
        <v>2441.338310000001</v>
      </c>
      <c r="N205" s="30">
        <v>4698.29017</v>
      </c>
      <c r="O205" s="30">
        <v>4969.0</v>
      </c>
      <c r="P205" s="30">
        <v>5027.448585999999</v>
      </c>
      <c r="Q205" s="30">
        <v>5010.261244000001</v>
      </c>
      <c r="R205" s="30">
        <v>5119.0</v>
      </c>
      <c r="S205" s="30">
        <v>5260.0</v>
      </c>
      <c r="T205" s="30">
        <v>5819.0</v>
      </c>
      <c r="U205" s="30">
        <v>5445.0</v>
      </c>
      <c r="V205" s="30">
        <v>4908.0</v>
      </c>
      <c r="W205" s="30">
        <v>5442.102</v>
      </c>
      <c r="X205" s="30">
        <v>5650.55722</v>
      </c>
      <c r="Y205" s="30">
        <v>4909.598330000001</v>
      </c>
      <c r="Z205" s="30">
        <v>5945.35473</v>
      </c>
      <c r="AA205" s="30">
        <v>6443.0</v>
      </c>
      <c r="AB205" s="30">
        <v>6943.0</v>
      </c>
      <c r="AC205" s="30">
        <v>6965.52699</v>
      </c>
      <c r="AD205" s="30">
        <v>8725.83693</v>
      </c>
      <c r="AE205" s="30">
        <v>9352.0</v>
      </c>
      <c r="AF205" s="30">
        <v>9000.0</v>
      </c>
      <c r="AG205" s="30">
        <v>11983.163070000002</v>
      </c>
      <c r="AH205" s="30">
        <v>10818.0</v>
      </c>
      <c r="AI205" s="30">
        <v>11104.0</v>
      </c>
      <c r="AJ205" s="30">
        <v>12678.0</v>
      </c>
      <c r="AK205" s="30">
        <v>14136.0</v>
      </c>
      <c r="AL205" s="30">
        <v>18464.0</v>
      </c>
    </row>
    <row r="206" ht="14.25" customHeight="1">
      <c r="B206" s="171" t="s">
        <v>401</v>
      </c>
      <c r="J206" s="30">
        <v>-53.0</v>
      </c>
      <c r="K206" s="30">
        <v>-267.0</v>
      </c>
      <c r="L206" s="30">
        <v>5.0</v>
      </c>
      <c r="M206" s="30">
        <v>416.0</v>
      </c>
      <c r="N206" s="30">
        <v>-2.0</v>
      </c>
      <c r="O206" s="30">
        <v>-75.0</v>
      </c>
      <c r="P206" s="30">
        <v>-37.0</v>
      </c>
      <c r="Q206" s="30">
        <v>-92.0</v>
      </c>
      <c r="R206" s="30">
        <v>-175.0</v>
      </c>
      <c r="S206" s="30">
        <v>376.0</v>
      </c>
      <c r="T206" s="30">
        <v>-390.0</v>
      </c>
      <c r="U206" s="30">
        <v>426.0</v>
      </c>
      <c r="V206" s="30">
        <v>-91.0</v>
      </c>
      <c r="W206" s="30">
        <v>-96.0</v>
      </c>
      <c r="X206" s="30">
        <v>-1.0</v>
      </c>
      <c r="Y206" s="30">
        <v>-84.0</v>
      </c>
      <c r="Z206" s="30">
        <v>-409.0</v>
      </c>
      <c r="AA206" s="30">
        <v>24.0</v>
      </c>
      <c r="AB206" s="30">
        <v>-365.0</v>
      </c>
      <c r="AC206" s="30">
        <v>116.0</v>
      </c>
      <c r="AD206" s="30">
        <v>-14.0</v>
      </c>
      <c r="AE206" s="30">
        <v>-240.0</v>
      </c>
      <c r="AF206" s="30">
        <v>-465.0</v>
      </c>
      <c r="AG206" s="30">
        <v>-670.0</v>
      </c>
      <c r="AH206" s="30">
        <v>-551.0</v>
      </c>
      <c r="AI206" s="30">
        <v>-48.0</v>
      </c>
      <c r="AJ206" s="30">
        <v>-1010.0</v>
      </c>
      <c r="AK206" s="30">
        <v>-540.0</v>
      </c>
      <c r="AL206" s="30">
        <v>-2889.0</v>
      </c>
    </row>
    <row r="207" ht="14.25" customHeight="1">
      <c r="B207" s="171" t="s">
        <v>402</v>
      </c>
      <c r="J207" s="30">
        <v>0.0</v>
      </c>
      <c r="K207" s="30">
        <v>0.0</v>
      </c>
      <c r="L207" s="30">
        <v>0.0</v>
      </c>
      <c r="M207" s="30">
        <v>0.0</v>
      </c>
      <c r="N207" s="30">
        <v>0.0</v>
      </c>
      <c r="O207" s="30">
        <v>0.0</v>
      </c>
      <c r="P207" s="30">
        <v>0.0</v>
      </c>
      <c r="Q207" s="30">
        <v>0.0</v>
      </c>
      <c r="R207" s="30">
        <v>0.0</v>
      </c>
      <c r="S207" s="30">
        <v>0.0</v>
      </c>
      <c r="T207" s="30">
        <v>0.0</v>
      </c>
      <c r="U207" s="30">
        <v>0.0</v>
      </c>
      <c r="V207" s="30">
        <v>0.0</v>
      </c>
      <c r="W207" s="30">
        <v>0.0</v>
      </c>
      <c r="X207" s="30">
        <v>0.0</v>
      </c>
      <c r="Y207" s="30">
        <v>0.0</v>
      </c>
      <c r="Z207" s="30">
        <v>0.0</v>
      </c>
      <c r="AA207" s="30">
        <v>0.0</v>
      </c>
      <c r="AB207" s="30">
        <v>0.0</v>
      </c>
      <c r="AC207" s="30">
        <v>0.0</v>
      </c>
      <c r="AD207" s="30">
        <v>458.0</v>
      </c>
      <c r="AE207" s="30">
        <v>497.0</v>
      </c>
      <c r="AF207" s="30">
        <v>491.0</v>
      </c>
      <c r="AG207" s="30">
        <v>555.0</v>
      </c>
      <c r="AH207" s="30">
        <v>543.0</v>
      </c>
      <c r="AI207" s="30">
        <v>506.0</v>
      </c>
      <c r="AJ207" s="30">
        <v>582.0</v>
      </c>
      <c r="AK207" s="30">
        <v>584.0</v>
      </c>
      <c r="AL207" s="30">
        <v>569.0</v>
      </c>
    </row>
    <row r="208" ht="14.25" customHeight="1">
      <c r="B208" s="171" t="s">
        <v>403</v>
      </c>
      <c r="J208" s="30">
        <v>0.0</v>
      </c>
      <c r="K208" s="30">
        <v>0.0</v>
      </c>
      <c r="L208" s="30">
        <v>0.0</v>
      </c>
      <c r="M208" s="30">
        <v>0.0</v>
      </c>
      <c r="N208" s="30">
        <v>0.0</v>
      </c>
      <c r="O208" s="30">
        <v>0.0</v>
      </c>
      <c r="P208" s="30">
        <v>0.0</v>
      </c>
      <c r="Q208" s="30">
        <v>0.0</v>
      </c>
      <c r="R208" s="30">
        <v>0.0</v>
      </c>
      <c r="S208" s="30">
        <v>0.0</v>
      </c>
      <c r="T208" s="30">
        <v>0.0</v>
      </c>
      <c r="U208" s="30">
        <v>0.0</v>
      </c>
      <c r="V208" s="30">
        <v>0.0</v>
      </c>
      <c r="W208" s="30">
        <v>0.0</v>
      </c>
      <c r="X208" s="30">
        <v>0.0</v>
      </c>
      <c r="Y208" s="30">
        <v>0.0</v>
      </c>
      <c r="Z208" s="30">
        <v>0.0</v>
      </c>
      <c r="AA208" s="30">
        <v>0.0</v>
      </c>
      <c r="AB208" s="30">
        <v>0.0</v>
      </c>
      <c r="AC208" s="30">
        <v>0.0</v>
      </c>
      <c r="AD208" s="30">
        <v>-55.0</v>
      </c>
      <c r="AE208" s="30">
        <v>55.0</v>
      </c>
      <c r="AF208" s="30">
        <v>0.0</v>
      </c>
      <c r="AG208" s="30">
        <v>0.0</v>
      </c>
      <c r="AH208" s="30">
        <v>0.0</v>
      </c>
      <c r="AI208" s="30">
        <v>0.0</v>
      </c>
      <c r="AJ208" s="30">
        <v>0.0</v>
      </c>
      <c r="AK208" s="30">
        <v>0.0</v>
      </c>
      <c r="AL208" s="30">
        <v>0.0</v>
      </c>
    </row>
    <row r="209" ht="14.25" customHeight="1">
      <c r="B209" s="171" t="s">
        <v>404</v>
      </c>
      <c r="J209" s="30">
        <v>0.0</v>
      </c>
      <c r="K209" s="30">
        <v>0.0</v>
      </c>
      <c r="L209" s="30">
        <v>0.0</v>
      </c>
      <c r="M209" s="30">
        <v>0.0</v>
      </c>
      <c r="N209" s="30">
        <v>0.0</v>
      </c>
      <c r="O209" s="30">
        <v>0.0</v>
      </c>
      <c r="P209" s="30">
        <v>0.0</v>
      </c>
      <c r="Q209" s="30">
        <v>0.0</v>
      </c>
      <c r="R209" s="30">
        <v>0.0</v>
      </c>
      <c r="S209" s="30">
        <v>0.0</v>
      </c>
      <c r="T209" s="30">
        <v>0.0</v>
      </c>
      <c r="U209" s="30">
        <v>0.0</v>
      </c>
      <c r="V209" s="30">
        <v>0.0</v>
      </c>
      <c r="W209" s="30">
        <v>0.0</v>
      </c>
      <c r="X209" s="30">
        <v>0.0</v>
      </c>
      <c r="Y209" s="30">
        <v>0.0</v>
      </c>
      <c r="Z209" s="30">
        <v>0.0</v>
      </c>
      <c r="AA209" s="30">
        <v>0.0</v>
      </c>
      <c r="AB209" s="30">
        <v>0.0</v>
      </c>
      <c r="AC209" s="30">
        <v>0.0</v>
      </c>
      <c r="AD209" s="30">
        <v>8.0</v>
      </c>
      <c r="AE209" s="30">
        <v>-1031.0</v>
      </c>
      <c r="AF209" s="30">
        <v>0.0</v>
      </c>
      <c r="AG209" s="30">
        <v>0.0</v>
      </c>
      <c r="AH209" s="30">
        <v>0.0</v>
      </c>
      <c r="AI209" s="30">
        <v>0.0</v>
      </c>
      <c r="AJ209" s="30">
        <v>0.0</v>
      </c>
      <c r="AK209" s="30">
        <v>0.0</v>
      </c>
      <c r="AL209" s="30">
        <v>0.0</v>
      </c>
    </row>
    <row r="210" ht="14.25" customHeight="1">
      <c r="B210" s="171" t="s">
        <v>405</v>
      </c>
      <c r="J210" s="30">
        <v>-607.0</v>
      </c>
      <c r="K210" s="30">
        <v>-438.0</v>
      </c>
      <c r="L210" s="30">
        <v>-116.0</v>
      </c>
      <c r="M210" s="30">
        <v>713.0</v>
      </c>
      <c r="N210" s="30">
        <v>163.0</v>
      </c>
      <c r="O210" s="30">
        <v>-288.0</v>
      </c>
      <c r="P210" s="30">
        <v>256.0</v>
      </c>
      <c r="Q210" s="30">
        <v>-928.0</v>
      </c>
      <c r="R210" s="30">
        <v>-217.0</v>
      </c>
      <c r="S210" s="30">
        <v>0.0</v>
      </c>
      <c r="T210" s="30">
        <v>0.0</v>
      </c>
      <c r="U210" s="30">
        <v>0.0</v>
      </c>
      <c r="V210" s="30">
        <v>0.0</v>
      </c>
      <c r="W210" s="30">
        <v>0.0</v>
      </c>
      <c r="X210" s="30">
        <v>0.0</v>
      </c>
      <c r="Y210" s="30">
        <v>0.0</v>
      </c>
      <c r="Z210" s="30">
        <v>0.0</v>
      </c>
      <c r="AA210" s="30">
        <v>0.0</v>
      </c>
      <c r="AB210" s="30">
        <v>0.0</v>
      </c>
      <c r="AC210" s="30">
        <v>0.0</v>
      </c>
      <c r="AD210" s="30">
        <v>0.0</v>
      </c>
      <c r="AE210" s="30">
        <v>0.0</v>
      </c>
      <c r="AF210" s="30">
        <v>0.0</v>
      </c>
      <c r="AG210" s="30">
        <v>0.0</v>
      </c>
      <c r="AH210" s="30">
        <v>0.0</v>
      </c>
      <c r="AI210" s="30">
        <v>0.0</v>
      </c>
      <c r="AJ210" s="30">
        <v>0.0</v>
      </c>
      <c r="AK210" s="30">
        <v>0.0</v>
      </c>
      <c r="AL210" s="30">
        <v>0.0</v>
      </c>
    </row>
    <row r="211" ht="14.25" customHeight="1">
      <c r="B211" s="171" t="s">
        <v>406</v>
      </c>
      <c r="J211" s="30">
        <v>597.0</v>
      </c>
      <c r="K211" s="30">
        <v>-2389.0</v>
      </c>
      <c r="L211" s="30">
        <v>1125.0</v>
      </c>
      <c r="M211" s="30">
        <v>2179.0</v>
      </c>
      <c r="N211" s="30">
        <v>2252.0</v>
      </c>
      <c r="O211" s="30">
        <v>2960.0</v>
      </c>
      <c r="P211" s="30">
        <v>1647.0</v>
      </c>
      <c r="Q211" s="30">
        <v>2005.0</v>
      </c>
      <c r="R211" s="30">
        <v>-4990.0</v>
      </c>
      <c r="S211" s="30">
        <v>1783.0</v>
      </c>
      <c r="T211" s="30">
        <v>1581.0</v>
      </c>
      <c r="U211" s="30">
        <v>1495.0</v>
      </c>
      <c r="V211" s="30">
        <v>1133.0</v>
      </c>
      <c r="W211" s="30">
        <v>1109.0</v>
      </c>
      <c r="X211" s="30">
        <v>1643.0</v>
      </c>
      <c r="Y211" s="30">
        <v>1728.0</v>
      </c>
      <c r="Z211" s="30">
        <v>2029.0</v>
      </c>
      <c r="AA211" s="30">
        <v>2606.0</v>
      </c>
      <c r="AB211" s="30">
        <v>5367.0</v>
      </c>
      <c r="AC211" s="30">
        <v>5588.0</v>
      </c>
      <c r="AD211" s="30">
        <v>6151.0</v>
      </c>
      <c r="AE211" s="30">
        <v>9543.0</v>
      </c>
      <c r="AF211" s="30">
        <v>10094.0</v>
      </c>
      <c r="AG211" s="30">
        <v>10467.0</v>
      </c>
      <c r="AH211" s="30">
        <v>12570.0</v>
      </c>
      <c r="AI211" s="30">
        <v>11219.0</v>
      </c>
      <c r="AJ211" s="30">
        <v>17755.0</v>
      </c>
      <c r="AK211" s="30">
        <v>15307.0</v>
      </c>
      <c r="AL211" s="30">
        <v>19212.0</v>
      </c>
    </row>
    <row r="212" ht="14.25" customHeight="1">
      <c r="B212" s="171" t="s">
        <v>407</v>
      </c>
      <c r="J212" s="30">
        <v>0.0</v>
      </c>
      <c r="K212" s="30">
        <v>-700.0</v>
      </c>
      <c r="L212" s="30">
        <v>0.0</v>
      </c>
      <c r="M212" s="30">
        <v>0.0</v>
      </c>
      <c r="N212" s="30">
        <v>0.0</v>
      </c>
      <c r="O212" s="30">
        <v>0.0</v>
      </c>
      <c r="P212" s="30">
        <v>0.0</v>
      </c>
      <c r="Q212" s="30">
        <v>0.0</v>
      </c>
      <c r="R212" s="30">
        <v>0.0</v>
      </c>
      <c r="S212" s="30">
        <v>0.0</v>
      </c>
      <c r="T212" s="30">
        <v>0.0</v>
      </c>
      <c r="U212" s="30">
        <v>0.0</v>
      </c>
      <c r="V212" s="30">
        <v>0.0</v>
      </c>
      <c r="W212" s="30">
        <v>0.0</v>
      </c>
      <c r="X212" s="30">
        <v>0.0</v>
      </c>
      <c r="Y212" s="30">
        <v>0.0</v>
      </c>
      <c r="Z212" s="30">
        <v>0.0</v>
      </c>
      <c r="AA212" s="30">
        <v>0.0</v>
      </c>
      <c r="AB212" s="30">
        <v>0.0</v>
      </c>
      <c r="AC212" s="30">
        <v>0.0</v>
      </c>
      <c r="AD212" s="30">
        <v>0.0</v>
      </c>
      <c r="AE212" s="30">
        <v>0.0</v>
      </c>
      <c r="AF212" s="30">
        <v>0.0</v>
      </c>
      <c r="AG212" s="30">
        <v>0.0</v>
      </c>
      <c r="AH212" s="30">
        <v>0.0</v>
      </c>
      <c r="AI212" s="30">
        <v>0.0</v>
      </c>
      <c r="AJ212" s="30">
        <v>0.0</v>
      </c>
      <c r="AK212" s="30">
        <v>0.0</v>
      </c>
      <c r="AL212" s="30">
        <v>0.0</v>
      </c>
    </row>
    <row r="213" ht="14.25" customHeight="1">
      <c r="B213" s="171" t="s">
        <v>408</v>
      </c>
      <c r="J213" s="30">
        <v>27.0</v>
      </c>
      <c r="K213" s="30">
        <v>-248.0</v>
      </c>
      <c r="L213" s="30">
        <v>-193.0</v>
      </c>
      <c r="M213" s="30">
        <v>-281.0</v>
      </c>
      <c r="N213" s="30">
        <v>257.0</v>
      </c>
      <c r="O213" s="30">
        <v>448.0</v>
      </c>
      <c r="P213" s="30">
        <v>-172.0</v>
      </c>
      <c r="Q213" s="30">
        <v>-68.0</v>
      </c>
      <c r="R213" s="30">
        <v>-162.0</v>
      </c>
      <c r="S213" s="30">
        <v>-260.0</v>
      </c>
      <c r="T213" s="30">
        <v>-15.0</v>
      </c>
      <c r="U213" s="30">
        <v>-728.0</v>
      </c>
      <c r="V213" s="30">
        <v>15.0</v>
      </c>
      <c r="W213" s="30">
        <v>59.0</v>
      </c>
      <c r="X213" s="30">
        <v>-250.0</v>
      </c>
      <c r="Y213" s="30">
        <v>648.0</v>
      </c>
      <c r="Z213" s="30">
        <v>58.0</v>
      </c>
      <c r="AA213" s="30">
        <v>147.0</v>
      </c>
      <c r="AB213" s="30">
        <v>911.0</v>
      </c>
      <c r="AC213" s="30">
        <v>269.0</v>
      </c>
      <c r="AD213" s="30">
        <v>675.0</v>
      </c>
      <c r="AE213" s="30">
        <v>32.0</v>
      </c>
      <c r="AF213" s="30">
        <v>498.0</v>
      </c>
      <c r="AG213" s="30">
        <v>1866.0</v>
      </c>
      <c r="AH213" s="30">
        <v>623.0</v>
      </c>
      <c r="AI213" s="30">
        <v>-1225.0</v>
      </c>
      <c r="AJ213" s="30">
        <v>-789.0</v>
      </c>
      <c r="AK213" s="30">
        <v>-128.0</v>
      </c>
      <c r="AL213" s="30">
        <v>-120.0</v>
      </c>
    </row>
    <row r="214" ht="14.25" customHeight="1">
      <c r="B214" s="171" t="s">
        <v>409</v>
      </c>
      <c r="J214" s="30">
        <v>-164.0</v>
      </c>
      <c r="K214" s="30">
        <v>-1333.0</v>
      </c>
      <c r="L214" s="30">
        <v>-2833.0</v>
      </c>
      <c r="M214" s="30">
        <v>323.0</v>
      </c>
      <c r="N214" s="30">
        <v>-371.0</v>
      </c>
      <c r="O214" s="30">
        <v>-1283.0</v>
      </c>
      <c r="P214" s="30">
        <v>-284.0</v>
      </c>
      <c r="Q214" s="30">
        <v>140.0</v>
      </c>
      <c r="R214" s="30">
        <v>-2664.0</v>
      </c>
      <c r="S214" s="30">
        <v>669.0</v>
      </c>
      <c r="T214" s="30">
        <v>-1239.0</v>
      </c>
      <c r="U214" s="30">
        <v>-573.0</v>
      </c>
      <c r="V214" s="30">
        <v>-137.0</v>
      </c>
      <c r="W214" s="30">
        <v>42.0</v>
      </c>
      <c r="X214" s="30">
        <v>-1006.0</v>
      </c>
      <c r="Y214" s="30">
        <v>-460.0</v>
      </c>
      <c r="Z214" s="30">
        <v>296.0</v>
      </c>
      <c r="AA214" s="30">
        <v>388.0</v>
      </c>
      <c r="AB214" s="30">
        <v>367.0</v>
      </c>
      <c r="AC214" s="30">
        <v>-5.0</v>
      </c>
      <c r="AD214" s="30">
        <v>252.0</v>
      </c>
      <c r="AE214" s="30">
        <v>-572.0</v>
      </c>
      <c r="AF214" s="30">
        <v>-480.0</v>
      </c>
      <c r="AG214" s="30">
        <v>-694.0</v>
      </c>
      <c r="AH214" s="30">
        <v>-403.0</v>
      </c>
      <c r="AI214" s="30">
        <v>521.0</v>
      </c>
      <c r="AJ214" s="30">
        <v>-69.0</v>
      </c>
      <c r="AK214" s="30">
        <v>-48.0</v>
      </c>
      <c r="AL214" s="30">
        <v>1581.0</v>
      </c>
    </row>
    <row r="215" ht="14.25" customHeight="1">
      <c r="B215" s="171" t="s">
        <v>410</v>
      </c>
      <c r="J215" s="30">
        <v>0.0</v>
      </c>
      <c r="K215" s="30">
        <v>0.0</v>
      </c>
      <c r="L215" s="30">
        <v>0.0</v>
      </c>
      <c r="M215" s="30">
        <v>0.0</v>
      </c>
      <c r="N215" s="30">
        <v>0.0</v>
      </c>
      <c r="O215" s="30">
        <v>0.0</v>
      </c>
      <c r="P215" s="30">
        <v>0.0</v>
      </c>
      <c r="Q215" s="30">
        <v>0.0</v>
      </c>
      <c r="R215" s="30">
        <v>0.0</v>
      </c>
      <c r="S215" s="30">
        <v>0.0</v>
      </c>
      <c r="T215" s="30">
        <v>5806.0</v>
      </c>
      <c r="U215" s="30">
        <v>0.0</v>
      </c>
      <c r="V215" s="30">
        <v>0.0</v>
      </c>
      <c r="W215" s="30">
        <v>0.0</v>
      </c>
      <c r="X215" s="30">
        <v>0.0</v>
      </c>
      <c r="Y215" s="30">
        <v>0.0</v>
      </c>
      <c r="Z215" s="30">
        <v>0.0</v>
      </c>
      <c r="AA215" s="30">
        <v>0.0</v>
      </c>
      <c r="AB215" s="30">
        <v>0.0</v>
      </c>
      <c r="AC215" s="30">
        <v>0.0</v>
      </c>
      <c r="AD215" s="30">
        <v>0.0</v>
      </c>
      <c r="AE215" s="30">
        <v>0.0</v>
      </c>
      <c r="AF215" s="30">
        <v>0.0</v>
      </c>
      <c r="AG215" s="30">
        <v>0.0</v>
      </c>
      <c r="AH215" s="30">
        <v>0.0</v>
      </c>
      <c r="AI215" s="30">
        <v>0.0</v>
      </c>
      <c r="AJ215" s="30">
        <v>0.0</v>
      </c>
      <c r="AK215" s="30">
        <v>1434.0</v>
      </c>
      <c r="AL215" s="30">
        <v>0.0</v>
      </c>
    </row>
    <row r="216" ht="14.25" customHeight="1">
      <c r="B216" s="171" t="s">
        <v>411</v>
      </c>
      <c r="J216" s="30">
        <v>0.0</v>
      </c>
      <c r="K216" s="30">
        <v>0.0</v>
      </c>
      <c r="L216" s="30">
        <v>0.0</v>
      </c>
      <c r="M216" s="30">
        <v>0.0</v>
      </c>
      <c r="N216" s="30">
        <v>0.0</v>
      </c>
      <c r="O216" s="30">
        <v>0.0</v>
      </c>
      <c r="P216" s="30">
        <v>0.0</v>
      </c>
      <c r="Q216" s="30">
        <v>0.0</v>
      </c>
      <c r="R216" s="30">
        <v>0.0</v>
      </c>
      <c r="S216" s="30">
        <v>0.0</v>
      </c>
      <c r="T216" s="30">
        <v>-650.0</v>
      </c>
      <c r="U216" s="30">
        <v>0.0</v>
      </c>
      <c r="V216" s="30">
        <v>0.0</v>
      </c>
      <c r="W216" s="30">
        <v>0.0</v>
      </c>
      <c r="X216" s="30">
        <v>0.0</v>
      </c>
      <c r="Y216" s="30">
        <v>0.0</v>
      </c>
      <c r="Z216" s="30">
        <v>0.0</v>
      </c>
      <c r="AA216" s="30">
        <v>0.0</v>
      </c>
      <c r="AB216" s="30">
        <v>0.0</v>
      </c>
      <c r="AC216" s="30">
        <v>0.0</v>
      </c>
      <c r="AD216" s="30">
        <v>0.0</v>
      </c>
      <c r="AE216" s="30">
        <v>-602.0</v>
      </c>
      <c r="AF216" s="30">
        <v>0.0</v>
      </c>
      <c r="AG216" s="30">
        <v>0.0</v>
      </c>
      <c r="AH216" s="30">
        <v>0.0</v>
      </c>
      <c r="AI216" s="30">
        <v>-1023.0</v>
      </c>
      <c r="AJ216" s="30">
        <v>0.0</v>
      </c>
      <c r="AK216" s="30">
        <v>686.0</v>
      </c>
      <c r="AL216" s="30">
        <v>0.0</v>
      </c>
    </row>
    <row r="217" ht="14.25" customHeight="1">
      <c r="B217" s="171" t="s">
        <v>412</v>
      </c>
      <c r="J217" s="30">
        <v>0.0</v>
      </c>
      <c r="K217" s="30">
        <v>0.0</v>
      </c>
      <c r="L217" s="30">
        <v>0.0</v>
      </c>
      <c r="M217" s="30">
        <v>0.0</v>
      </c>
      <c r="N217" s="30">
        <v>0.0</v>
      </c>
      <c r="O217" s="30">
        <v>-2410.0</v>
      </c>
      <c r="P217" s="30">
        <v>157.0</v>
      </c>
      <c r="Q217" s="30">
        <v>157.0</v>
      </c>
      <c r="R217" s="30">
        <v>157.0</v>
      </c>
      <c r="S217" s="30">
        <v>93.0</v>
      </c>
      <c r="T217" s="30">
        <v>162.0</v>
      </c>
      <c r="U217" s="30">
        <v>164.0</v>
      </c>
      <c r="V217" s="30">
        <v>163.0</v>
      </c>
      <c r="W217" s="30">
        <v>163.0</v>
      </c>
      <c r="X217" s="30">
        <v>163.0</v>
      </c>
      <c r="Y217" s="30">
        <v>162.0</v>
      </c>
      <c r="Z217" s="30">
        <v>163.0</v>
      </c>
      <c r="AA217" s="30">
        <v>163.0</v>
      </c>
      <c r="AB217" s="30">
        <v>163.0</v>
      </c>
      <c r="AC217" s="30">
        <v>162.0</v>
      </c>
      <c r="AD217" s="30">
        <v>163.0</v>
      </c>
      <c r="AE217" s="30">
        <v>-163.0</v>
      </c>
      <c r="AF217" s="30">
        <v>0.0</v>
      </c>
      <c r="AG217" s="30">
        <v>0.0</v>
      </c>
      <c r="AH217" s="30">
        <v>0.0</v>
      </c>
      <c r="AI217" s="30">
        <v>0.0</v>
      </c>
      <c r="AJ217" s="30">
        <v>0.0</v>
      </c>
      <c r="AK217" s="30">
        <v>0.0</v>
      </c>
      <c r="AL217" s="30">
        <v>0.0</v>
      </c>
    </row>
    <row r="218" ht="14.25" customHeight="1">
      <c r="B218" s="171" t="s">
        <v>74</v>
      </c>
      <c r="J218" s="30">
        <v>0.0</v>
      </c>
      <c r="K218" s="30">
        <v>0.0</v>
      </c>
      <c r="L218" s="30">
        <v>0.0</v>
      </c>
      <c r="M218" s="30">
        <v>0.0</v>
      </c>
      <c r="N218" s="30">
        <v>0.0</v>
      </c>
      <c r="O218" s="30">
        <v>0.0</v>
      </c>
      <c r="P218" s="30">
        <v>0.0</v>
      </c>
      <c r="Q218" s="30">
        <v>0.0</v>
      </c>
      <c r="R218" s="30">
        <v>0.0</v>
      </c>
      <c r="S218" s="30">
        <v>0.0</v>
      </c>
      <c r="T218" s="30">
        <v>0.0</v>
      </c>
      <c r="U218" s="30">
        <v>0.0</v>
      </c>
      <c r="V218" s="30">
        <v>0.0</v>
      </c>
      <c r="W218" s="30">
        <v>0.0</v>
      </c>
      <c r="X218" s="30">
        <v>0.0</v>
      </c>
      <c r="Y218" s="30">
        <v>0.0</v>
      </c>
      <c r="Z218" s="30">
        <v>0.0</v>
      </c>
      <c r="AA218" s="30">
        <v>0.0</v>
      </c>
      <c r="AB218" s="30">
        <v>0.0</v>
      </c>
      <c r="AC218" s="30">
        <v>0.0</v>
      </c>
      <c r="AD218" s="30">
        <v>0.0</v>
      </c>
      <c r="AE218" s="30">
        <v>2392.0</v>
      </c>
      <c r="AF218" s="30">
        <v>0.0</v>
      </c>
      <c r="AG218" s="30">
        <v>1415.0</v>
      </c>
      <c r="AH218" s="30">
        <v>2.0</v>
      </c>
      <c r="AI218" s="30">
        <v>357.0</v>
      </c>
      <c r="AJ218" s="30">
        <v>-50.0</v>
      </c>
      <c r="AK218" s="30">
        <v>17.0</v>
      </c>
      <c r="AL218" s="30">
        <v>-403.0</v>
      </c>
    </row>
    <row r="219" ht="14.25" customHeight="1">
      <c r="B219" s="171"/>
      <c r="J219" s="30">
        <v>0.0</v>
      </c>
      <c r="K219" s="30">
        <v>0.0</v>
      </c>
      <c r="L219" s="30">
        <v>0.0</v>
      </c>
      <c r="M219" s="30">
        <v>0.0</v>
      </c>
      <c r="N219" s="30">
        <v>0.0</v>
      </c>
      <c r="O219" s="30">
        <v>0.0</v>
      </c>
      <c r="P219" s="30">
        <v>0.0</v>
      </c>
      <c r="Q219" s="30">
        <v>0.0</v>
      </c>
      <c r="R219" s="30">
        <v>0.0</v>
      </c>
      <c r="S219" s="30">
        <v>0.0</v>
      </c>
      <c r="T219" s="30">
        <v>0.0</v>
      </c>
      <c r="U219" s="30">
        <v>0.0</v>
      </c>
      <c r="V219" s="30">
        <v>0.0</v>
      </c>
      <c r="W219" s="30">
        <v>0.0</v>
      </c>
      <c r="X219" s="30">
        <v>0.0</v>
      </c>
      <c r="Y219" s="30">
        <v>0.0</v>
      </c>
      <c r="Z219" s="30">
        <v>0.0</v>
      </c>
      <c r="AA219" s="30">
        <v>0.0</v>
      </c>
      <c r="AB219" s="30">
        <v>0.0</v>
      </c>
      <c r="AC219" s="30">
        <v>0.0</v>
      </c>
      <c r="AD219" s="30">
        <v>0.0</v>
      </c>
      <c r="AE219" s="30">
        <v>0.0</v>
      </c>
      <c r="AF219" s="30">
        <v>0.0</v>
      </c>
      <c r="AG219" s="30">
        <v>0.0</v>
      </c>
      <c r="AH219" s="30">
        <v>0.0</v>
      </c>
      <c r="AI219" s="30">
        <v>0.0</v>
      </c>
    </row>
    <row r="220" ht="14.25" customHeight="1">
      <c r="B220" s="170" t="s">
        <v>413</v>
      </c>
      <c r="J220" s="30">
        <v>0.0</v>
      </c>
      <c r="K220" s="30">
        <v>0.0</v>
      </c>
      <c r="L220" s="30">
        <v>0.0</v>
      </c>
      <c r="M220" s="30">
        <v>0.0</v>
      </c>
      <c r="N220" s="30">
        <v>0.0</v>
      </c>
      <c r="O220" s="30">
        <v>0.0</v>
      </c>
      <c r="P220" s="30">
        <v>0.0</v>
      </c>
      <c r="Q220" s="30">
        <v>0.0</v>
      </c>
      <c r="R220" s="30">
        <v>0.0</v>
      </c>
      <c r="S220" s="30">
        <v>0.0</v>
      </c>
      <c r="T220" s="30">
        <v>0.0</v>
      </c>
      <c r="U220" s="30">
        <v>0.0</v>
      </c>
      <c r="V220" s="30">
        <v>0.0</v>
      </c>
      <c r="W220" s="30">
        <v>0.0</v>
      </c>
      <c r="X220" s="30">
        <v>0.0</v>
      </c>
      <c r="Y220" s="30">
        <v>0.0</v>
      </c>
      <c r="Z220" s="30">
        <v>0.0</v>
      </c>
      <c r="AA220" s="30">
        <v>0.0</v>
      </c>
      <c r="AB220" s="30">
        <v>0.0</v>
      </c>
      <c r="AC220" s="30">
        <v>0.0</v>
      </c>
      <c r="AD220" s="30">
        <v>0.0</v>
      </c>
      <c r="AE220" s="30">
        <v>0.0</v>
      </c>
      <c r="AF220" s="30">
        <v>0.0</v>
      </c>
      <c r="AG220" s="30">
        <v>0.0</v>
      </c>
      <c r="AH220" s="30">
        <v>0.0</v>
      </c>
      <c r="AI220" s="30">
        <v>0.0</v>
      </c>
    </row>
    <row r="221" ht="14.25" customHeight="1">
      <c r="B221" s="171" t="s">
        <v>414</v>
      </c>
      <c r="J221" s="30">
        <v>-9155.0</v>
      </c>
      <c r="K221" s="30">
        <v>8043.0</v>
      </c>
      <c r="L221" s="30">
        <v>6876.0</v>
      </c>
      <c r="M221" s="30">
        <v>-3582.0</v>
      </c>
      <c r="N221" s="30">
        <v>-1342.0</v>
      </c>
      <c r="O221" s="30">
        <v>7302.0</v>
      </c>
      <c r="P221" s="30">
        <v>4943.0</v>
      </c>
      <c r="Q221" s="30">
        <v>7106.0</v>
      </c>
      <c r="R221" s="30">
        <v>-17475.0</v>
      </c>
      <c r="S221" s="30">
        <v>17967.0</v>
      </c>
      <c r="T221" s="30">
        <v>-1863.0</v>
      </c>
      <c r="U221" s="30">
        <v>-7804.0</v>
      </c>
      <c r="V221" s="30">
        <v>-15926.0</v>
      </c>
      <c r="W221" s="30">
        <v>-24204.0</v>
      </c>
      <c r="X221" s="30">
        <v>-1539.0</v>
      </c>
      <c r="Y221" s="30">
        <v>-2503.0</v>
      </c>
      <c r="Z221" s="30">
        <v>-6320.0</v>
      </c>
      <c r="AA221" s="30">
        <v>-17486.0</v>
      </c>
      <c r="AB221" s="30">
        <v>-46424.0</v>
      </c>
      <c r="AC221" s="30">
        <v>-129.0</v>
      </c>
      <c r="AD221" s="30">
        <v>-19495.0</v>
      </c>
      <c r="AE221" s="30">
        <v>-44893.0</v>
      </c>
      <c r="AF221" s="30">
        <v>41419.0</v>
      </c>
      <c r="AG221" s="30">
        <v>-43316.0</v>
      </c>
      <c r="AH221" s="30">
        <v>37885.0</v>
      </c>
      <c r="AI221" s="30">
        <v>27609.0</v>
      </c>
      <c r="AJ221" s="30">
        <v>-41263.0</v>
      </c>
      <c r="AK221" s="30">
        <v>31909.0</v>
      </c>
      <c r="AL221" s="30">
        <v>-62311.0</v>
      </c>
    </row>
    <row r="222" ht="14.25" customHeight="1">
      <c r="B222" s="171" t="s">
        <v>109</v>
      </c>
      <c r="J222" s="30">
        <v>1595.0</v>
      </c>
      <c r="K222" s="30">
        <v>-1402.0</v>
      </c>
      <c r="L222" s="30">
        <v>-60.0</v>
      </c>
      <c r="M222" s="30">
        <v>477.0</v>
      </c>
      <c r="N222" s="30">
        <v>-284.0</v>
      </c>
      <c r="O222" s="30">
        <v>652.0</v>
      </c>
      <c r="P222" s="30">
        <v>-758.0</v>
      </c>
      <c r="Q222" s="30">
        <v>750.0</v>
      </c>
      <c r="R222" s="30">
        <v>-232.0</v>
      </c>
      <c r="S222" s="30">
        <v>722.0</v>
      </c>
      <c r="T222" s="30">
        <v>-533.0</v>
      </c>
      <c r="U222" s="30">
        <v>123.0</v>
      </c>
      <c r="V222" s="30">
        <v>-1337.0</v>
      </c>
      <c r="W222" s="30">
        <v>-335.0</v>
      </c>
      <c r="X222" s="30">
        <v>-529.0</v>
      </c>
      <c r="Y222" s="30">
        <v>-145.0</v>
      </c>
      <c r="Z222" s="30">
        <v>99.0</v>
      </c>
      <c r="AA222" s="30">
        <v>-628.0</v>
      </c>
      <c r="AB222" s="30">
        <v>-1352.0</v>
      </c>
      <c r="AC222" s="30">
        <v>299.0</v>
      </c>
      <c r="AD222" s="30">
        <v>624.0</v>
      </c>
      <c r="AE222" s="30">
        <v>-200.0</v>
      </c>
      <c r="AF222" s="30">
        <v>-1192.0</v>
      </c>
      <c r="AG222" s="30">
        <v>1238.0</v>
      </c>
      <c r="AH222" s="30">
        <v>178.0</v>
      </c>
      <c r="AI222" s="30">
        <v>-1261.0</v>
      </c>
      <c r="AJ222" s="30">
        <v>-40.0</v>
      </c>
      <c r="AK222" s="30">
        <v>8.0</v>
      </c>
      <c r="AL222" s="30">
        <v>-1003.0</v>
      </c>
    </row>
    <row r="223" ht="14.25" customHeight="1">
      <c r="B223" s="171" t="s">
        <v>89</v>
      </c>
      <c r="J223" s="30">
        <v>-813.0</v>
      </c>
      <c r="K223" s="30">
        <v>-1701.0</v>
      </c>
      <c r="L223" s="30">
        <v>-4134.0</v>
      </c>
      <c r="M223" s="30">
        <v>-4490.0</v>
      </c>
      <c r="N223" s="30">
        <v>-1599.0</v>
      </c>
      <c r="O223" s="30">
        <v>-913.0</v>
      </c>
      <c r="P223" s="30">
        <v>-806.0</v>
      </c>
      <c r="Q223" s="30">
        <v>473.0</v>
      </c>
      <c r="R223" s="30">
        <v>-555.0</v>
      </c>
      <c r="S223" s="30">
        <v>-1596.0</v>
      </c>
      <c r="T223" s="30">
        <v>92.0</v>
      </c>
      <c r="U223" s="30">
        <v>4930.0</v>
      </c>
      <c r="V223" s="30">
        <v>2544.0</v>
      </c>
      <c r="W223" s="30">
        <v>2640.0</v>
      </c>
      <c r="X223" s="30">
        <v>4693.0</v>
      </c>
      <c r="Y223" s="30">
        <v>219.0</v>
      </c>
      <c r="Z223" s="30">
        <v>830.0</v>
      </c>
      <c r="AA223" s="30">
        <v>-2291.0</v>
      </c>
      <c r="AB223" s="30">
        <v>-1658.0</v>
      </c>
      <c r="AC223" s="30">
        <v>4059.0</v>
      </c>
      <c r="AD223" s="30">
        <v>-1179.0</v>
      </c>
      <c r="AE223" s="30">
        <v>-4300.0</v>
      </c>
      <c r="AF223" s="30">
        <v>-1933.0</v>
      </c>
      <c r="AG223" s="30">
        <v>4126.0</v>
      </c>
      <c r="AH223" s="30">
        <v>-6130.0</v>
      </c>
      <c r="AI223" s="30">
        <v>-5344.0</v>
      </c>
      <c r="AJ223" s="30">
        <v>1143.0</v>
      </c>
      <c r="AK223" s="30">
        <v>5935.0</v>
      </c>
      <c r="AL223" s="30">
        <v>-7257.0</v>
      </c>
    </row>
    <row r="224" ht="14.25" customHeight="1">
      <c r="B224" s="171" t="s">
        <v>415</v>
      </c>
      <c r="J224" s="30">
        <v>-376.0</v>
      </c>
      <c r="K224" s="30">
        <v>-536.0</v>
      </c>
      <c r="L224" s="30">
        <v>-241.0</v>
      </c>
      <c r="M224" s="30">
        <v>-759.0</v>
      </c>
      <c r="N224" s="30">
        <v>-55.0</v>
      </c>
      <c r="O224" s="30">
        <v>-69.0</v>
      </c>
      <c r="P224" s="30">
        <v>612.0</v>
      </c>
      <c r="Q224" s="30">
        <v>146.0</v>
      </c>
      <c r="R224" s="30">
        <v>-1856.0</v>
      </c>
      <c r="S224" s="30">
        <v>2678.0</v>
      </c>
      <c r="T224" s="30">
        <v>-2317.0</v>
      </c>
      <c r="U224" s="30">
        <v>-3819.0</v>
      </c>
      <c r="V224" s="30">
        <v>-638.0</v>
      </c>
      <c r="W224" s="30">
        <v>-285.0</v>
      </c>
      <c r="X224" s="30">
        <v>-107.0</v>
      </c>
      <c r="Y224" s="30">
        <v>-2126.0</v>
      </c>
      <c r="Z224" s="30">
        <v>2143.0</v>
      </c>
      <c r="AA224" s="30">
        <v>-3103.0</v>
      </c>
      <c r="AB224" s="30">
        <v>162.0</v>
      </c>
      <c r="AC224" s="30">
        <v>-3408.0</v>
      </c>
      <c r="AD224" s="30">
        <v>-290.0</v>
      </c>
      <c r="AE224" s="30">
        <v>-4618.0</v>
      </c>
      <c r="AF224" s="30">
        <v>4466.0</v>
      </c>
      <c r="AG224" s="30">
        <v>3893.0</v>
      </c>
      <c r="AH224" s="30">
        <v>-1927.0</v>
      </c>
      <c r="AI224" s="30">
        <v>-2262.0</v>
      </c>
      <c r="AJ224" s="30">
        <v>-3506.0</v>
      </c>
      <c r="AK224" s="30">
        <v>8904.0</v>
      </c>
      <c r="AL224" s="30">
        <v>1372.0</v>
      </c>
    </row>
    <row r="225" ht="14.25" customHeight="1">
      <c r="B225" s="171" t="s">
        <v>416</v>
      </c>
      <c r="J225" s="30">
        <v>-1483.0</v>
      </c>
      <c r="K225" s="30">
        <v>899.0</v>
      </c>
      <c r="L225" s="30">
        <v>162.0</v>
      </c>
      <c r="M225" s="30">
        <v>3612.0</v>
      </c>
      <c r="N225" s="30">
        <v>-2017.0</v>
      </c>
      <c r="O225" s="30">
        <v>-2494.0</v>
      </c>
      <c r="P225" s="30">
        <v>238.0</v>
      </c>
      <c r="Q225" s="30">
        <v>-337.0</v>
      </c>
      <c r="R225" s="30">
        <v>-1650.0</v>
      </c>
      <c r="S225" s="30">
        <v>-2240.0</v>
      </c>
      <c r="T225" s="30">
        <v>-428.0</v>
      </c>
      <c r="U225" s="30">
        <v>3726.0</v>
      </c>
      <c r="V225" s="30">
        <v>-2286.0</v>
      </c>
      <c r="W225" s="30">
        <v>1940.0</v>
      </c>
      <c r="X225" s="30">
        <v>507.0</v>
      </c>
      <c r="Y225" s="30">
        <v>3257.0</v>
      </c>
      <c r="Z225" s="30">
        <v>-3485.0</v>
      </c>
      <c r="AA225" s="30">
        <v>3909.0</v>
      </c>
      <c r="AB225" s="30">
        <v>-4545.0</v>
      </c>
      <c r="AC225" s="30">
        <v>7778.0</v>
      </c>
      <c r="AD225" s="30">
        <v>-8250.0</v>
      </c>
      <c r="AE225" s="30">
        <v>-4341.0</v>
      </c>
      <c r="AF225" s="30">
        <v>3506.0</v>
      </c>
      <c r="AG225" s="30">
        <v>3809.0</v>
      </c>
      <c r="AH225" s="30">
        <v>-21503.0</v>
      </c>
      <c r="AI225" s="30">
        <v>470.0</v>
      </c>
      <c r="AJ225" s="30">
        <v>1213.0</v>
      </c>
      <c r="AK225" s="30">
        <v>-15411.0</v>
      </c>
      <c r="AL225" s="30">
        <v>-9192.0</v>
      </c>
    </row>
    <row r="226" ht="14.25" customHeight="1">
      <c r="B226" s="171" t="s">
        <v>291</v>
      </c>
      <c r="J226" s="30">
        <v>0.0</v>
      </c>
      <c r="K226" s="30">
        <v>0.0</v>
      </c>
      <c r="L226" s="30">
        <v>0.0</v>
      </c>
      <c r="M226" s="30">
        <v>0.0</v>
      </c>
      <c r="N226" s="30">
        <v>0.0</v>
      </c>
      <c r="O226" s="30">
        <v>2505.0</v>
      </c>
      <c r="P226" s="30">
        <v>5440.0</v>
      </c>
      <c r="Q226" s="30">
        <v>-2598.0</v>
      </c>
      <c r="R226" s="30">
        <v>-5347.0</v>
      </c>
      <c r="S226" s="30">
        <v>0.0</v>
      </c>
      <c r="T226" s="30">
        <v>0.0</v>
      </c>
      <c r="U226" s="30">
        <v>0.0</v>
      </c>
      <c r="V226" s="30">
        <v>0.0</v>
      </c>
      <c r="W226" s="30">
        <v>0.0</v>
      </c>
      <c r="X226" s="30">
        <v>0.0</v>
      </c>
      <c r="Y226" s="30">
        <v>0.0</v>
      </c>
      <c r="Z226" s="30">
        <v>0.0</v>
      </c>
      <c r="AA226" s="30">
        <v>2939.0</v>
      </c>
      <c r="AB226" s="30">
        <v>4002.0</v>
      </c>
      <c r="AC226" s="30">
        <v>12849.0</v>
      </c>
      <c r="AD226" s="30">
        <v>5946.0</v>
      </c>
      <c r="AE226" s="30">
        <v>-5946.0</v>
      </c>
      <c r="AF226" s="30">
        <v>0.0</v>
      </c>
      <c r="AG226" s="30">
        <v>0.0</v>
      </c>
      <c r="AH226" s="30">
        <v>0.0</v>
      </c>
      <c r="AI226" s="30">
        <v>0.0</v>
      </c>
      <c r="AJ226" s="30">
        <v>0.0</v>
      </c>
      <c r="AK226" s="30">
        <v>0.0</v>
      </c>
      <c r="AL226" s="30">
        <v>0.0</v>
      </c>
    </row>
    <row r="227" ht="14.25" customHeight="1">
      <c r="B227" s="171" t="s">
        <v>417</v>
      </c>
      <c r="J227" s="30">
        <v>5072.0</v>
      </c>
      <c r="K227" s="30">
        <v>10060.0</v>
      </c>
      <c r="L227" s="30">
        <v>-1728.0</v>
      </c>
      <c r="M227" s="30">
        <v>-6529.0</v>
      </c>
      <c r="N227" s="30">
        <v>3403.0</v>
      </c>
      <c r="O227" s="30">
        <v>3589.0</v>
      </c>
      <c r="P227" s="30">
        <v>-566.0</v>
      </c>
      <c r="Q227" s="30">
        <v>-9844.0</v>
      </c>
      <c r="R227" s="30">
        <v>-3446.0</v>
      </c>
      <c r="S227" s="30">
        <v>38.0</v>
      </c>
      <c r="T227" s="30">
        <v>-22.0</v>
      </c>
      <c r="U227" s="30">
        <v>-4381.0</v>
      </c>
      <c r="V227" s="30">
        <v>5366.0</v>
      </c>
      <c r="W227" s="30">
        <v>10159.0</v>
      </c>
      <c r="X227" s="30">
        <v>8003.0</v>
      </c>
      <c r="Y227" s="30">
        <v>-8324.0</v>
      </c>
      <c r="Z227" s="30">
        <v>5097.0</v>
      </c>
      <c r="AA227" s="30">
        <v>11719.0</v>
      </c>
      <c r="AB227" s="30">
        <v>15554.0</v>
      </c>
      <c r="AC227" s="30">
        <v>-1953.0</v>
      </c>
      <c r="AD227" s="30">
        <v>5120.0</v>
      </c>
      <c r="AE227" s="30">
        <v>8012.0</v>
      </c>
      <c r="AF227" s="30">
        <v>14083.0</v>
      </c>
      <c r="AG227" s="30">
        <v>-18795.0</v>
      </c>
      <c r="AH227" s="30">
        <v>-3359.0</v>
      </c>
      <c r="AI227" s="30">
        <v>-1242.0</v>
      </c>
      <c r="AJ227" s="30">
        <v>19148.0</v>
      </c>
      <c r="AK227" s="30">
        <v>-19572.0</v>
      </c>
      <c r="AL227" s="30">
        <v>9823.0</v>
      </c>
    </row>
    <row r="228" ht="14.25" customHeight="1">
      <c r="B228" s="171" t="s">
        <v>418</v>
      </c>
      <c r="J228" s="30">
        <v>-363.0</v>
      </c>
      <c r="K228" s="30">
        <v>-2149.0</v>
      </c>
      <c r="L228" s="30">
        <v>-3.0</v>
      </c>
      <c r="M228" s="30">
        <v>-4.0</v>
      </c>
      <c r="N228" s="30">
        <v>-1.0</v>
      </c>
      <c r="O228" s="30">
        <v>-22.0</v>
      </c>
      <c r="P228" s="30">
        <v>0.0</v>
      </c>
      <c r="Q228" s="30">
        <v>-106.0</v>
      </c>
      <c r="R228" s="30">
        <v>-40.0</v>
      </c>
      <c r="S228" s="30">
        <v>7.0</v>
      </c>
      <c r="T228" s="30">
        <v>-3.0</v>
      </c>
      <c r="U228" s="30">
        <v>42.0</v>
      </c>
      <c r="V228" s="30">
        <v>0.0</v>
      </c>
      <c r="W228" s="30">
        <v>-1179.0</v>
      </c>
      <c r="X228" s="30">
        <v>-1178.0</v>
      </c>
      <c r="Y228" s="30">
        <v>742.0</v>
      </c>
      <c r="Z228" s="30">
        <v>-1076.0</v>
      </c>
      <c r="AA228" s="30">
        <v>-1563.0</v>
      </c>
      <c r="AB228" s="30">
        <v>-785.0</v>
      </c>
      <c r="AC228" s="30">
        <v>-1646.0</v>
      </c>
      <c r="AD228" s="30">
        <v>-1947.0</v>
      </c>
      <c r="AE228" s="30">
        <v>-2858.0</v>
      </c>
      <c r="AF228" s="30">
        <v>-2672.0</v>
      </c>
      <c r="AG228" s="30">
        <v>-1750.0</v>
      </c>
      <c r="AH228" s="30">
        <v>0.0</v>
      </c>
      <c r="AI228" s="30">
        <v>0.0</v>
      </c>
      <c r="AJ228" s="30">
        <v>0.0</v>
      </c>
      <c r="AL228" s="30">
        <v>0.0</v>
      </c>
    </row>
    <row r="229" ht="14.25" customHeight="1">
      <c r="B229" s="171" t="s">
        <v>419</v>
      </c>
      <c r="J229" s="30">
        <v>414.0</v>
      </c>
      <c r="K229" s="30">
        <v>-658.0</v>
      </c>
      <c r="L229" s="30">
        <v>-458.0</v>
      </c>
      <c r="M229" s="30">
        <v>95.0</v>
      </c>
      <c r="N229" s="30">
        <v>411.0</v>
      </c>
      <c r="O229" s="30">
        <v>135.0</v>
      </c>
      <c r="P229" s="30">
        <v>-298.0</v>
      </c>
      <c r="Q229" s="30">
        <v>104.0</v>
      </c>
      <c r="R229" s="30">
        <v>91.0</v>
      </c>
      <c r="S229" s="30">
        <v>729.0</v>
      </c>
      <c r="T229" s="30">
        <v>-915.0</v>
      </c>
      <c r="U229" s="30">
        <v>-285.0</v>
      </c>
      <c r="V229" s="30">
        <v>933.0</v>
      </c>
      <c r="W229" s="30">
        <v>163.0</v>
      </c>
      <c r="X229" s="30">
        <v>-957.0</v>
      </c>
      <c r="Y229" s="30">
        <v>-441.0</v>
      </c>
      <c r="Z229" s="30">
        <v>412.0</v>
      </c>
      <c r="AA229" s="30">
        <v>2056.0</v>
      </c>
      <c r="AB229" s="30">
        <v>2275.0</v>
      </c>
      <c r="AC229" s="30">
        <v>-2871.0</v>
      </c>
      <c r="AD229" s="30">
        <v>491.0</v>
      </c>
      <c r="AE229" s="30">
        <v>-26.0</v>
      </c>
      <c r="AF229" s="30">
        <v>-235.0</v>
      </c>
      <c r="AG229" s="30">
        <v>668.0</v>
      </c>
      <c r="AH229" s="30">
        <v>-5936.0</v>
      </c>
      <c r="AI229" s="30">
        <v>-2101.0</v>
      </c>
      <c r="AJ229" s="30">
        <v>1073.0</v>
      </c>
      <c r="AK229" s="30">
        <v>-14999.0</v>
      </c>
      <c r="AL229" s="30">
        <v>-272.0</v>
      </c>
    </row>
    <row r="230" ht="14.25" customHeight="1">
      <c r="B230" s="171" t="s">
        <v>420</v>
      </c>
      <c r="J230" s="30">
        <v>1526.0</v>
      </c>
      <c r="K230" s="30">
        <v>1455.0</v>
      </c>
      <c r="L230" s="30">
        <v>-811.0</v>
      </c>
      <c r="M230" s="30">
        <v>1331.0</v>
      </c>
      <c r="N230" s="30">
        <v>1663.0</v>
      </c>
      <c r="O230" s="30">
        <v>-491.0</v>
      </c>
      <c r="P230" s="30">
        <v>3095.0</v>
      </c>
      <c r="Q230" s="30">
        <v>1223.0</v>
      </c>
      <c r="R230" s="30">
        <v>-2028.0</v>
      </c>
      <c r="S230" s="30">
        <v>-2525.0</v>
      </c>
      <c r="T230" s="30">
        <v>-1040.0</v>
      </c>
      <c r="U230" s="30">
        <v>545.0</v>
      </c>
      <c r="V230" s="30">
        <v>1528.0</v>
      </c>
      <c r="W230" s="30">
        <v>2540.0</v>
      </c>
      <c r="X230" s="30">
        <v>2342.0</v>
      </c>
      <c r="Y230" s="30">
        <v>444.0</v>
      </c>
      <c r="Z230" s="30">
        <v>2769.0</v>
      </c>
      <c r="AA230" s="30">
        <v>1720.0</v>
      </c>
      <c r="AB230" s="30">
        <v>6216.0</v>
      </c>
      <c r="AC230" s="30">
        <v>-5260.0</v>
      </c>
      <c r="AD230" s="30">
        <v>449.0</v>
      </c>
      <c r="AE230" s="30">
        <v>-5672.0</v>
      </c>
      <c r="AF230" s="30">
        <v>-3618.0</v>
      </c>
      <c r="AG230" s="30">
        <v>7506.0</v>
      </c>
      <c r="AH230" s="30">
        <v>-3977.0</v>
      </c>
      <c r="AI230" s="30">
        <v>-5860.0</v>
      </c>
      <c r="AJ230" s="30">
        <v>2869.0</v>
      </c>
      <c r="AK230" s="30">
        <v>6125.0</v>
      </c>
      <c r="AL230" s="30">
        <v>807.0</v>
      </c>
    </row>
    <row r="231" ht="14.25" customHeight="1">
      <c r="B231" s="171" t="s">
        <v>421</v>
      </c>
      <c r="J231" s="30">
        <v>-847.0</v>
      </c>
      <c r="K231" s="30">
        <v>-901.0</v>
      </c>
      <c r="L231" s="30">
        <v>-1009.0</v>
      </c>
      <c r="M231" s="30">
        <v>-1000.0</v>
      </c>
      <c r="N231" s="30">
        <v>-1327.0</v>
      </c>
      <c r="O231" s="30">
        <v>-1736.0</v>
      </c>
      <c r="P231" s="30">
        <v>-1411.0</v>
      </c>
      <c r="Q231" s="30">
        <v>-1622.0</v>
      </c>
      <c r="R231" s="30">
        <v>-1667.0</v>
      </c>
      <c r="S231" s="30">
        <v>-57.0</v>
      </c>
      <c r="T231" s="30">
        <v>-2759.0</v>
      </c>
      <c r="U231" s="30">
        <v>-1164.0</v>
      </c>
      <c r="V231" s="30">
        <v>-1417.0</v>
      </c>
      <c r="W231" s="30">
        <v>-1584.0</v>
      </c>
      <c r="X231" s="30">
        <v>-1859.0</v>
      </c>
      <c r="Y231" s="30">
        <v>-1559.0</v>
      </c>
      <c r="Z231" s="30">
        <v>-2267.0</v>
      </c>
      <c r="AA231" s="30">
        <v>-3913.0</v>
      </c>
      <c r="AB231" s="30">
        <v>-4824.0</v>
      </c>
      <c r="AC231" s="30">
        <v>-6044.0</v>
      </c>
      <c r="AD231" s="30">
        <v>-9999.0</v>
      </c>
      <c r="AE231" s="30">
        <v>-6990.0</v>
      </c>
      <c r="AF231" s="30">
        <v>-6948.0</v>
      </c>
      <c r="AG231" s="30">
        <v>-5018.0</v>
      </c>
      <c r="AH231" s="30">
        <v>-8234.0</v>
      </c>
      <c r="AI231" s="30">
        <v>-3562.0</v>
      </c>
      <c r="AJ231" s="30">
        <v>-5502.0</v>
      </c>
      <c r="AK231" s="30">
        <v>-7163.0</v>
      </c>
      <c r="AL231" s="30">
        <v>-12756.0</v>
      </c>
    </row>
    <row r="232" ht="14.25" customHeight="1">
      <c r="B232" s="171" t="s">
        <v>422</v>
      </c>
      <c r="J232" s="30">
        <v>0.0</v>
      </c>
      <c r="K232" s="30">
        <v>0.0</v>
      </c>
      <c r="L232" s="30">
        <v>0.0</v>
      </c>
      <c r="M232" s="30">
        <v>0.0</v>
      </c>
      <c r="N232" s="30">
        <v>0.0</v>
      </c>
      <c r="O232" s="30">
        <v>0.0</v>
      </c>
      <c r="P232" s="30">
        <v>0.0</v>
      </c>
      <c r="Q232" s="30">
        <v>0.0</v>
      </c>
      <c r="R232" s="30">
        <v>0.0</v>
      </c>
      <c r="S232" s="30">
        <v>0.0</v>
      </c>
      <c r="T232" s="30">
        <v>0.0</v>
      </c>
      <c r="U232" s="30">
        <v>0.0</v>
      </c>
      <c r="V232" s="30">
        <v>0.0</v>
      </c>
      <c r="W232" s="30">
        <v>0.0</v>
      </c>
      <c r="X232" s="30">
        <v>0.0</v>
      </c>
      <c r="Y232" s="30">
        <v>0.0</v>
      </c>
      <c r="Z232" s="30">
        <v>0.0</v>
      </c>
      <c r="AA232" s="30">
        <v>0.0</v>
      </c>
      <c r="AB232" s="30">
        <v>0.0</v>
      </c>
      <c r="AC232" s="30">
        <v>933.0</v>
      </c>
      <c r="AD232" s="30">
        <v>0.0</v>
      </c>
      <c r="AE232" s="30">
        <v>669.0</v>
      </c>
      <c r="AF232" s="30">
        <v>0.0</v>
      </c>
      <c r="AG232" s="30">
        <v>0.0</v>
      </c>
      <c r="AH232" s="30">
        <v>0.0</v>
      </c>
      <c r="AI232" s="30">
        <v>0.0</v>
      </c>
      <c r="AJ232" s="30">
        <v>0.0</v>
      </c>
      <c r="AK232" s="30">
        <v>0.0</v>
      </c>
      <c r="AL232" s="30">
        <v>0.0</v>
      </c>
    </row>
    <row r="233" ht="14.25" customHeight="1">
      <c r="B233" s="170" t="s">
        <v>423</v>
      </c>
      <c r="J233" s="30">
        <v>-134.0</v>
      </c>
      <c r="K233" s="30">
        <v>12412.0</v>
      </c>
      <c r="L233" s="30">
        <v>1771.661689999999</v>
      </c>
      <c r="M233" s="30">
        <v>-1215.661689999999</v>
      </c>
      <c r="N233" s="30">
        <v>4273.29017</v>
      </c>
      <c r="O233" s="30">
        <v>10891.0</v>
      </c>
      <c r="P233" s="30">
        <v>12692.448585999999</v>
      </c>
      <c r="Q233" s="30">
        <v>3549.261244000001</v>
      </c>
      <c r="R233" s="30">
        <v>-28933.0</v>
      </c>
      <c r="S233" s="30">
        <v>7713.0</v>
      </c>
      <c r="T233" s="30">
        <v>-2968.0</v>
      </c>
      <c r="U233" s="30">
        <v>-1019.0</v>
      </c>
      <c r="V233" s="30">
        <v>-5699.0</v>
      </c>
      <c r="W233" s="30">
        <v>4813.101999999999</v>
      </c>
      <c r="X233" s="30">
        <v>21332.55722</v>
      </c>
      <c r="Y233" s="30">
        <v>-892.4016699999993</v>
      </c>
      <c r="Z233" s="30">
        <v>15413.35473</v>
      </c>
      <c r="AA233" s="30">
        <v>18761.0</v>
      </c>
      <c r="AB233" s="30">
        <v>26033.0</v>
      </c>
      <c r="AC233" s="30">
        <v>33096.52699</v>
      </c>
      <c r="AD233" s="30">
        <v>4381.836929999998</v>
      </c>
      <c r="AE233" s="30">
        <v>-36872.0</v>
      </c>
      <c r="AF233" s="30">
        <v>74207.0</v>
      </c>
      <c r="AG233" s="30">
        <v>-20074.836929999998</v>
      </c>
      <c r="AH233" s="30">
        <v>13297.0</v>
      </c>
      <c r="AI233" s="30">
        <v>24130.0</v>
      </c>
      <c r="AJ233" s="30">
        <v>12110.0</v>
      </c>
      <c r="AK233" s="30">
        <v>58214.0</v>
      </c>
      <c r="AL233" s="30">
        <v>-38528.0</v>
      </c>
    </row>
    <row r="234" ht="14.25" customHeight="1">
      <c r="B234" s="171"/>
      <c r="J234" s="30">
        <v>0.0</v>
      </c>
      <c r="K234" s="30">
        <v>0.0</v>
      </c>
      <c r="L234" s="30">
        <v>0.0</v>
      </c>
      <c r="M234" s="30">
        <v>0.0</v>
      </c>
      <c r="N234" s="30">
        <v>0.0</v>
      </c>
      <c r="O234" s="30">
        <v>0.0</v>
      </c>
      <c r="P234" s="30">
        <v>0.0</v>
      </c>
      <c r="Q234" s="30">
        <v>0.0</v>
      </c>
      <c r="R234" s="30">
        <v>0.0</v>
      </c>
      <c r="S234" s="30">
        <v>0.0</v>
      </c>
      <c r="T234" s="30">
        <v>0.0</v>
      </c>
      <c r="U234" s="30">
        <v>0.0</v>
      </c>
      <c r="V234" s="30">
        <v>0.0</v>
      </c>
      <c r="W234" s="30">
        <v>0.0</v>
      </c>
      <c r="X234" s="30">
        <v>0.0</v>
      </c>
      <c r="Y234" s="30">
        <v>0.0</v>
      </c>
      <c r="Z234" s="30">
        <v>0.0</v>
      </c>
      <c r="AA234" s="30">
        <v>0.0</v>
      </c>
      <c r="AB234" s="30">
        <v>0.0</v>
      </c>
      <c r="AC234" s="30">
        <v>0.0</v>
      </c>
      <c r="AD234" s="30">
        <v>0.0</v>
      </c>
      <c r="AE234" s="30">
        <v>0.0</v>
      </c>
      <c r="AF234" s="30">
        <v>0.0</v>
      </c>
      <c r="AG234" s="30">
        <v>0.0</v>
      </c>
      <c r="AH234" s="30">
        <v>0.0</v>
      </c>
      <c r="AI234" s="30">
        <v>0.0</v>
      </c>
    </row>
    <row r="235" ht="14.25" customHeight="1">
      <c r="B235" s="170" t="s">
        <v>424</v>
      </c>
      <c r="J235" s="30">
        <v>0.0</v>
      </c>
      <c r="K235" s="30">
        <v>0.0</v>
      </c>
      <c r="L235" s="30">
        <v>0.0</v>
      </c>
      <c r="M235" s="30">
        <v>0.0</v>
      </c>
      <c r="N235" s="30">
        <v>0.0</v>
      </c>
      <c r="O235" s="30">
        <v>0.0</v>
      </c>
      <c r="P235" s="30">
        <v>0.0</v>
      </c>
      <c r="Q235" s="30">
        <v>0.0</v>
      </c>
      <c r="R235" s="30">
        <v>0.0</v>
      </c>
      <c r="S235" s="30">
        <v>0.0</v>
      </c>
      <c r="T235" s="30">
        <v>0.0</v>
      </c>
      <c r="U235" s="30">
        <v>0.0</v>
      </c>
      <c r="V235" s="30">
        <v>0.0</v>
      </c>
      <c r="W235" s="30">
        <v>0.0</v>
      </c>
      <c r="X235" s="30">
        <v>0.0</v>
      </c>
      <c r="Y235" s="30">
        <v>0.0</v>
      </c>
      <c r="Z235" s="30">
        <v>0.0</v>
      </c>
      <c r="AA235" s="30">
        <v>0.0</v>
      </c>
      <c r="AB235" s="30">
        <v>0.0</v>
      </c>
      <c r="AC235" s="30">
        <v>0.0</v>
      </c>
      <c r="AD235" s="30">
        <v>0.0</v>
      </c>
      <c r="AE235" s="30">
        <v>0.0</v>
      </c>
      <c r="AF235" s="30">
        <v>0.0</v>
      </c>
      <c r="AG235" s="30">
        <v>0.0</v>
      </c>
      <c r="AH235" s="30">
        <v>0.0</v>
      </c>
      <c r="AI235" s="30">
        <v>0.0</v>
      </c>
    </row>
    <row r="236" ht="14.25" customHeight="1">
      <c r="B236" s="171" t="s">
        <v>425</v>
      </c>
      <c r="J236" s="30">
        <v>1823.0</v>
      </c>
      <c r="K236" s="30">
        <v>-501.0</v>
      </c>
      <c r="L236" s="30">
        <v>520.0</v>
      </c>
      <c r="M236" s="30">
        <v>-52.0</v>
      </c>
      <c r="N236" s="30">
        <v>-465.0</v>
      </c>
      <c r="O236" s="30">
        <v>420.0</v>
      </c>
      <c r="P236" s="30">
        <v>-3591.0</v>
      </c>
      <c r="Q236" s="30">
        <v>94.0</v>
      </c>
      <c r="R236" s="30">
        <v>-134708.0</v>
      </c>
      <c r="S236" s="30">
        <v>17993.0</v>
      </c>
      <c r="T236" s="30">
        <v>33198.0</v>
      </c>
      <c r="U236" s="30">
        <v>29339.0</v>
      </c>
      <c r="V236" s="30">
        <v>22597.0</v>
      </c>
      <c r="W236" s="30">
        <v>14775.0</v>
      </c>
      <c r="X236" s="30">
        <v>-1377.0</v>
      </c>
      <c r="Y236" s="30">
        <v>9871.0</v>
      </c>
      <c r="Z236" s="30">
        <v>-2073.0</v>
      </c>
      <c r="AA236" s="30">
        <v>-108.0</v>
      </c>
      <c r="AB236" s="30">
        <v>310.0</v>
      </c>
      <c r="AC236" s="30">
        <v>1634.0</v>
      </c>
      <c r="AD236" s="30">
        <v>-9.0</v>
      </c>
      <c r="AE236" s="30">
        <v>-181.0</v>
      </c>
      <c r="AF236" s="30">
        <v>180.0</v>
      </c>
      <c r="AG236" s="30">
        <v>-153.0</v>
      </c>
      <c r="AH236" s="30">
        <v>105.0</v>
      </c>
      <c r="AI236" s="30">
        <v>-160.0</v>
      </c>
      <c r="AJ236" s="30">
        <v>43.0</v>
      </c>
      <c r="AK236" s="30">
        <v>-1641.0</v>
      </c>
      <c r="AL236" s="30">
        <v>-5.0</v>
      </c>
    </row>
    <row r="237" ht="14.25" customHeight="1">
      <c r="B237" s="171" t="s">
        <v>119</v>
      </c>
      <c r="J237" s="30">
        <v>-1788.0</v>
      </c>
      <c r="K237" s="30">
        <v>-6918.0</v>
      </c>
      <c r="L237" s="30">
        <v>-2237.0</v>
      </c>
      <c r="M237" s="30">
        <v>-3966.0</v>
      </c>
      <c r="N237" s="30">
        <v>-2653.0</v>
      </c>
      <c r="O237" s="30">
        <v>-5197.0</v>
      </c>
      <c r="P237" s="30">
        <v>-4913.0</v>
      </c>
      <c r="Q237" s="30">
        <v>-3718.0</v>
      </c>
      <c r="R237" s="30">
        <v>-1436.0</v>
      </c>
      <c r="S237" s="30">
        <v>-1491.0</v>
      </c>
      <c r="T237" s="30">
        <v>-4989.0</v>
      </c>
      <c r="U237" s="30">
        <v>-7786.0</v>
      </c>
      <c r="V237" s="30">
        <v>-18165.0</v>
      </c>
      <c r="W237" s="30">
        <v>-6402.0</v>
      </c>
      <c r="X237" s="30">
        <v>-9779.0</v>
      </c>
      <c r="Y237" s="30">
        <v>-8368.0</v>
      </c>
      <c r="Z237" s="30">
        <v>-6803.0</v>
      </c>
      <c r="AA237" s="30">
        <v>-13535.0</v>
      </c>
      <c r="AB237" s="30">
        <v>-18057.0</v>
      </c>
      <c r="AC237" s="30">
        <v>-33692.0</v>
      </c>
      <c r="AD237" s="30">
        <v>-14933.0</v>
      </c>
      <c r="AE237" s="30">
        <v>-23974.0</v>
      </c>
      <c r="AF237" s="30">
        <v>-33378.0</v>
      </c>
      <c r="AG237" s="30">
        <v>-20815.0</v>
      </c>
      <c r="AH237" s="30">
        <v>-15836.0</v>
      </c>
      <c r="AI237" s="30">
        <v>-14524.0</v>
      </c>
      <c r="AJ237" s="30">
        <v>-18408.0</v>
      </c>
      <c r="AK237" s="30">
        <v>-20018.0</v>
      </c>
      <c r="AL237" s="30">
        <v>-3219.0</v>
      </c>
    </row>
    <row r="238" ht="14.25" customHeight="1">
      <c r="B238" s="171" t="s">
        <v>426</v>
      </c>
      <c r="J238" s="30">
        <v>60.0</v>
      </c>
      <c r="K238" s="30">
        <v>271.0</v>
      </c>
      <c r="L238" s="30">
        <v>41.0</v>
      </c>
      <c r="M238" s="30">
        <v>8.0</v>
      </c>
      <c r="N238" s="30">
        <v>5.0</v>
      </c>
      <c r="O238" s="30">
        <v>91.0</v>
      </c>
      <c r="P238" s="30">
        <v>132.0</v>
      </c>
      <c r="Q238" s="30">
        <v>222.0</v>
      </c>
      <c r="R238" s="30">
        <v>277.0</v>
      </c>
      <c r="S238" s="30">
        <v>64.0</v>
      </c>
      <c r="T238" s="30">
        <v>409.0</v>
      </c>
      <c r="U238" s="30">
        <v>-123.0</v>
      </c>
      <c r="V238" s="30">
        <v>188.0</v>
      </c>
      <c r="W238" s="30">
        <v>103.0</v>
      </c>
      <c r="X238" s="30">
        <v>251.0</v>
      </c>
      <c r="Y238" s="30">
        <v>228.0</v>
      </c>
      <c r="Z238" s="30">
        <v>425.0</v>
      </c>
      <c r="AA238" s="30">
        <v>159.0</v>
      </c>
      <c r="AB238" s="30">
        <v>395.0</v>
      </c>
      <c r="AC238" s="30">
        <v>188.0</v>
      </c>
      <c r="AD238" s="30">
        <v>607.0</v>
      </c>
      <c r="AE238" s="30">
        <v>384.0</v>
      </c>
      <c r="AF238" s="30">
        <v>953.0</v>
      </c>
      <c r="AG238" s="30">
        <v>116.0</v>
      </c>
      <c r="AH238" s="30">
        <v>657.0</v>
      </c>
      <c r="AI238" s="30">
        <v>153.0</v>
      </c>
      <c r="AJ238" s="30">
        <v>1137.0</v>
      </c>
      <c r="AK238" s="30">
        <v>1517.0</v>
      </c>
      <c r="AL238" s="30">
        <v>3256.0</v>
      </c>
    </row>
    <row r="239" ht="14.25" customHeight="1">
      <c r="B239" s="171" t="s">
        <v>120</v>
      </c>
      <c r="J239" s="30">
        <v>0.0</v>
      </c>
      <c r="K239" s="30">
        <v>0.0</v>
      </c>
      <c r="L239" s="30">
        <v>0.0</v>
      </c>
      <c r="M239" s="30">
        <v>0.0</v>
      </c>
      <c r="N239" s="30">
        <v>0.0</v>
      </c>
      <c r="O239" s="30">
        <v>0.0</v>
      </c>
      <c r="P239" s="30">
        <v>0.0</v>
      </c>
      <c r="Q239" s="30">
        <v>0.0</v>
      </c>
      <c r="R239" s="30">
        <v>0.0</v>
      </c>
      <c r="S239" s="30">
        <v>0.0</v>
      </c>
      <c r="T239" s="30">
        <v>0.0</v>
      </c>
      <c r="U239" s="30">
        <v>-6261.0</v>
      </c>
      <c r="V239" s="30">
        <v>0.0</v>
      </c>
      <c r="W239" s="30">
        <v>0.0</v>
      </c>
      <c r="X239" s="30">
        <v>0.0</v>
      </c>
      <c r="Y239" s="30">
        <v>0.0</v>
      </c>
      <c r="Z239" s="30">
        <v>-8894.0</v>
      </c>
      <c r="AA239" s="30">
        <v>-2047.0</v>
      </c>
      <c r="AB239" s="30">
        <v>0.0</v>
      </c>
      <c r="AC239" s="30">
        <v>0.0</v>
      </c>
      <c r="AD239" s="30">
        <v>10414.0</v>
      </c>
      <c r="AE239" s="30">
        <v>647.0</v>
      </c>
      <c r="AF239" s="30">
        <v>-2267.0</v>
      </c>
      <c r="AG239" s="30">
        <v>0.0</v>
      </c>
      <c r="AH239" s="30">
        <v>0.0</v>
      </c>
      <c r="AI239" s="30">
        <v>-9245.0</v>
      </c>
      <c r="AJ239" s="30">
        <v>-14758.0</v>
      </c>
      <c r="AK239" s="30">
        <v>-2621.0</v>
      </c>
      <c r="AL239" s="30">
        <v>0.0</v>
      </c>
    </row>
    <row r="240" ht="14.25" customHeight="1">
      <c r="B240" s="171" t="s">
        <v>427</v>
      </c>
      <c r="J240" s="30">
        <v>0.0</v>
      </c>
      <c r="K240" s="30">
        <v>0.0</v>
      </c>
      <c r="L240" s="30">
        <v>0.0</v>
      </c>
      <c r="M240" s="30">
        <v>0.0</v>
      </c>
      <c r="N240" s="30">
        <v>0.0</v>
      </c>
      <c r="O240" s="30">
        <v>0.0</v>
      </c>
      <c r="P240" s="30">
        <v>0.0</v>
      </c>
      <c r="Q240" s="30">
        <v>0.0</v>
      </c>
      <c r="R240" s="30">
        <v>0.0</v>
      </c>
      <c r="S240" s="30">
        <v>287.0</v>
      </c>
      <c r="T240" s="30">
        <v>0.0</v>
      </c>
      <c r="U240" s="30">
        <v>-287.0</v>
      </c>
      <c r="V240" s="30">
        <v>0.0</v>
      </c>
      <c r="W240" s="30">
        <v>0.0</v>
      </c>
      <c r="X240" s="30">
        <v>0.0</v>
      </c>
      <c r="Y240" s="30">
        <v>0.0</v>
      </c>
      <c r="Z240" s="30">
        <v>0.0</v>
      </c>
      <c r="AA240" s="30">
        <v>0.0</v>
      </c>
      <c r="AB240" s="30">
        <v>0.0</v>
      </c>
      <c r="AC240" s="30">
        <v>0.0</v>
      </c>
      <c r="AD240" s="30">
        <v>0.0</v>
      </c>
      <c r="AE240" s="30">
        <v>0.0</v>
      </c>
      <c r="AF240" s="30">
        <v>0.0</v>
      </c>
      <c r="AG240" s="30">
        <v>0.0</v>
      </c>
      <c r="AH240" s="30">
        <v>0.0</v>
      </c>
      <c r="AI240" s="30">
        <v>0.0</v>
      </c>
      <c r="AJ240" s="30">
        <v>0.0</v>
      </c>
      <c r="AL240" s="30">
        <v>0.0</v>
      </c>
    </row>
    <row r="241" ht="14.25" customHeight="1">
      <c r="B241" s="171" t="s">
        <v>428</v>
      </c>
      <c r="J241" s="30">
        <v>0.0</v>
      </c>
      <c r="K241" s="30">
        <v>0.0</v>
      </c>
      <c r="L241" s="30">
        <v>0.0</v>
      </c>
      <c r="M241" s="30">
        <v>0.0</v>
      </c>
      <c r="N241" s="30">
        <v>0.0</v>
      </c>
      <c r="O241" s="30">
        <v>0.0</v>
      </c>
      <c r="P241" s="30">
        <v>0.0</v>
      </c>
      <c r="Q241" s="30">
        <v>0.0</v>
      </c>
      <c r="R241" s="30">
        <v>0.0</v>
      </c>
      <c r="S241" s="30">
        <v>0.0</v>
      </c>
      <c r="T241" s="30">
        <v>0.0</v>
      </c>
      <c r="U241" s="30">
        <v>0.0</v>
      </c>
      <c r="V241" s="30">
        <v>0.0</v>
      </c>
      <c r="W241" s="30">
        <v>0.0</v>
      </c>
      <c r="X241" s="30">
        <v>0.0</v>
      </c>
      <c r="Y241" s="30">
        <v>0.0</v>
      </c>
      <c r="Z241" s="30">
        <v>0.0</v>
      </c>
      <c r="AA241" s="30">
        <v>0.0</v>
      </c>
      <c r="AB241" s="30">
        <v>0.0</v>
      </c>
      <c r="AC241" s="30">
        <v>783.0</v>
      </c>
      <c r="AD241" s="30">
        <v>0.0</v>
      </c>
      <c r="AE241" s="30">
        <v>0.0</v>
      </c>
      <c r="AF241" s="30">
        <v>0.0</v>
      </c>
      <c r="AG241" s="30">
        <v>419.0</v>
      </c>
      <c r="AH241" s="30">
        <v>0.0</v>
      </c>
      <c r="AI241" s="30">
        <v>0.0</v>
      </c>
      <c r="AJ241" s="30">
        <v>0.0</v>
      </c>
      <c r="AL241" s="30">
        <v>0.0</v>
      </c>
    </row>
    <row r="242" ht="14.25" customHeight="1">
      <c r="B242" s="171" t="s">
        <v>429</v>
      </c>
      <c r="J242" s="30">
        <v>0.0</v>
      </c>
      <c r="K242" s="30">
        <v>0.0</v>
      </c>
      <c r="L242" s="30">
        <v>0.0</v>
      </c>
      <c r="M242" s="30">
        <v>0.0</v>
      </c>
      <c r="N242" s="30">
        <v>0.0</v>
      </c>
      <c r="O242" s="30">
        <v>0.0</v>
      </c>
      <c r="P242" s="30">
        <v>0.0</v>
      </c>
      <c r="Q242" s="30">
        <v>0.0</v>
      </c>
      <c r="R242" s="30">
        <v>0.0</v>
      </c>
      <c r="S242" s="30">
        <v>0.0</v>
      </c>
      <c r="T242" s="30">
        <v>0.0</v>
      </c>
      <c r="U242" s="30">
        <v>0.0</v>
      </c>
      <c r="V242" s="30">
        <v>0.0</v>
      </c>
      <c r="W242" s="30">
        <v>0.0</v>
      </c>
      <c r="X242" s="30">
        <v>0.0</v>
      </c>
      <c r="Y242" s="30">
        <v>596.0</v>
      </c>
      <c r="Z242" s="30">
        <v>0.0</v>
      </c>
      <c r="AA242" s="30">
        <v>0.0</v>
      </c>
      <c r="AB242" s="30">
        <v>0.0</v>
      </c>
      <c r="AC242" s="30">
        <v>0.0</v>
      </c>
      <c r="AD242" s="30">
        <v>0.0</v>
      </c>
      <c r="AE242" s="30">
        <v>0.0</v>
      </c>
      <c r="AF242" s="30">
        <v>0.0</v>
      </c>
      <c r="AG242" s="30">
        <v>0.0</v>
      </c>
      <c r="AH242" s="30">
        <v>0.0</v>
      </c>
      <c r="AI242" s="30">
        <v>0.0</v>
      </c>
      <c r="AJ242" s="30">
        <v>0.0</v>
      </c>
      <c r="AL242" s="30">
        <v>0.0</v>
      </c>
    </row>
    <row r="243" ht="14.25" customHeight="1">
      <c r="B243" s="170" t="s">
        <v>430</v>
      </c>
      <c r="J243" s="30">
        <v>95.0</v>
      </c>
      <c r="K243" s="30">
        <v>-7148.0</v>
      </c>
      <c r="L243" s="30">
        <v>-1676.0</v>
      </c>
      <c r="M243" s="30">
        <v>-4010.0</v>
      </c>
      <c r="N243" s="30">
        <v>-3113.0</v>
      </c>
      <c r="O243" s="30">
        <v>-4686.0</v>
      </c>
      <c r="P243" s="30">
        <v>-8372.0</v>
      </c>
      <c r="Q243" s="30">
        <v>-3402.0</v>
      </c>
      <c r="R243" s="30">
        <v>-135867.0</v>
      </c>
      <c r="S243" s="30">
        <v>16853.0</v>
      </c>
      <c r="T243" s="30">
        <v>28618.0</v>
      </c>
      <c r="U243" s="30">
        <v>14882.0</v>
      </c>
      <c r="V243" s="30">
        <v>4620.0</v>
      </c>
      <c r="W243" s="30">
        <v>8476.0</v>
      </c>
      <c r="X243" s="30">
        <v>-10905.0</v>
      </c>
      <c r="Y243" s="30">
        <v>2327.0</v>
      </c>
      <c r="Z243" s="30">
        <v>-17345.0</v>
      </c>
      <c r="AA243" s="30">
        <v>-15531.0</v>
      </c>
      <c r="AB243" s="30">
        <v>-17352.0</v>
      </c>
      <c r="AC243" s="30">
        <v>-31087.0</v>
      </c>
      <c r="AD243" s="30">
        <v>-3921.0</v>
      </c>
      <c r="AE243" s="30">
        <v>-23124.0</v>
      </c>
      <c r="AF243" s="30">
        <v>-34512.0</v>
      </c>
      <c r="AG243" s="30">
        <v>-20433.0</v>
      </c>
      <c r="AH243" s="30">
        <v>-15074.0</v>
      </c>
      <c r="AI243" s="30">
        <v>-23776.0</v>
      </c>
      <c r="AJ243" s="30">
        <v>-31986.0</v>
      </c>
      <c r="AK243" s="30">
        <v>-22763.0</v>
      </c>
      <c r="AL243" s="30">
        <v>32.0</v>
      </c>
    </row>
    <row r="244" ht="14.25" customHeight="1">
      <c r="B244" s="170"/>
      <c r="J244" s="30">
        <v>0.0</v>
      </c>
      <c r="K244" s="30">
        <v>0.0</v>
      </c>
      <c r="L244" s="30">
        <v>0.0</v>
      </c>
      <c r="M244" s="30">
        <v>0.0</v>
      </c>
      <c r="N244" s="30">
        <v>0.0</v>
      </c>
      <c r="O244" s="30">
        <v>0.0</v>
      </c>
      <c r="P244" s="30">
        <v>0.0</v>
      </c>
      <c r="Q244" s="30">
        <v>0.0</v>
      </c>
      <c r="R244" s="30">
        <v>0.0</v>
      </c>
      <c r="S244" s="30">
        <v>0.0</v>
      </c>
      <c r="T244" s="30">
        <v>0.0</v>
      </c>
      <c r="U244" s="30">
        <v>0.0</v>
      </c>
      <c r="V244" s="30">
        <v>0.0</v>
      </c>
      <c r="W244" s="30">
        <v>0.0</v>
      </c>
      <c r="X244" s="30">
        <v>0.0</v>
      </c>
      <c r="Y244" s="30">
        <v>0.0</v>
      </c>
      <c r="Z244" s="30">
        <v>0.0</v>
      </c>
      <c r="AA244" s="30">
        <v>0.0</v>
      </c>
      <c r="AB244" s="30">
        <v>0.0</v>
      </c>
      <c r="AC244" s="30">
        <v>0.0</v>
      </c>
      <c r="AD244" s="30">
        <v>0.0</v>
      </c>
      <c r="AE244" s="30">
        <v>0.0</v>
      </c>
      <c r="AF244" s="30">
        <v>0.0</v>
      </c>
      <c r="AG244" s="30">
        <v>0.0</v>
      </c>
      <c r="AH244" s="30">
        <v>0.0</v>
      </c>
      <c r="AI244" s="30">
        <v>0.0</v>
      </c>
    </row>
    <row r="245" ht="14.25" customHeight="1">
      <c r="B245" s="170" t="s">
        <v>431</v>
      </c>
      <c r="J245" s="30">
        <v>0.0</v>
      </c>
      <c r="K245" s="30">
        <v>0.0</v>
      </c>
      <c r="L245" s="30">
        <v>0.0</v>
      </c>
      <c r="M245" s="30">
        <v>0.0</v>
      </c>
      <c r="N245" s="30">
        <v>0.0</v>
      </c>
      <c r="O245" s="30">
        <v>0.0</v>
      </c>
      <c r="P245" s="30">
        <v>0.0</v>
      </c>
      <c r="Q245" s="30">
        <v>0.0</v>
      </c>
      <c r="R245" s="30">
        <v>0.0</v>
      </c>
      <c r="S245" s="30">
        <v>0.0</v>
      </c>
      <c r="T245" s="30">
        <v>0.0</v>
      </c>
      <c r="U245" s="30">
        <v>0.0</v>
      </c>
      <c r="V245" s="30">
        <v>0.0</v>
      </c>
      <c r="W245" s="30">
        <v>0.0</v>
      </c>
      <c r="X245" s="30">
        <v>0.0</v>
      </c>
      <c r="Y245" s="30">
        <v>0.0</v>
      </c>
      <c r="Z245" s="30">
        <v>0.0</v>
      </c>
      <c r="AA245" s="30">
        <v>0.0</v>
      </c>
      <c r="AB245" s="30">
        <v>0.0</v>
      </c>
      <c r="AC245" s="30">
        <v>0.0</v>
      </c>
      <c r="AD245" s="30">
        <v>0.0</v>
      </c>
      <c r="AE245" s="30">
        <v>0.0</v>
      </c>
      <c r="AF245" s="30">
        <v>0.0</v>
      </c>
      <c r="AG245" s="30">
        <v>0.0</v>
      </c>
      <c r="AH245" s="30">
        <v>0.0</v>
      </c>
      <c r="AI245" s="30">
        <v>0.0</v>
      </c>
    </row>
    <row r="246" ht="14.25" customHeight="1">
      <c r="B246" s="171" t="s">
        <v>432</v>
      </c>
      <c r="J246" s="30">
        <v>0.0</v>
      </c>
      <c r="K246" s="30">
        <v>11500.0</v>
      </c>
      <c r="L246" s="30">
        <v>0.0</v>
      </c>
      <c r="M246" s="30">
        <v>0.0</v>
      </c>
      <c r="N246" s="30">
        <v>0.0</v>
      </c>
      <c r="O246" s="30">
        <v>0.0</v>
      </c>
      <c r="P246" s="30">
        <v>0.0</v>
      </c>
      <c r="Q246" s="30">
        <v>20000.0</v>
      </c>
      <c r="R246" s="30">
        <v>157512.0</v>
      </c>
      <c r="S246" s="30">
        <v>-105.0</v>
      </c>
      <c r="T246" s="30">
        <v>2275.0</v>
      </c>
      <c r="U246" s="30">
        <v>97.0</v>
      </c>
      <c r="V246" s="30">
        <v>0.0</v>
      </c>
      <c r="W246" s="30">
        <v>305.0</v>
      </c>
      <c r="X246" s="30">
        <v>0.0</v>
      </c>
      <c r="Y246" s="30">
        <v>0.0</v>
      </c>
      <c r="Z246" s="30">
        <v>230.0</v>
      </c>
      <c r="AA246" s="30">
        <v>0.0</v>
      </c>
      <c r="AB246" s="30">
        <v>0.0</v>
      </c>
      <c r="AC246" s="30">
        <v>0.0</v>
      </c>
      <c r="AD246" s="30">
        <v>0.0</v>
      </c>
      <c r="AE246" s="30">
        <v>0.0</v>
      </c>
      <c r="AF246" s="30">
        <v>0.0</v>
      </c>
      <c r="AG246" s="30">
        <v>0.0</v>
      </c>
      <c r="AH246" s="30">
        <v>84716.0</v>
      </c>
      <c r="AI246" s="30">
        <v>-19.0</v>
      </c>
      <c r="AJ246" s="30">
        <v>0.0</v>
      </c>
      <c r="AK246" s="30">
        <v>-94.0</v>
      </c>
      <c r="AL246" s="30">
        <v>0.0</v>
      </c>
    </row>
    <row r="247" ht="14.25" customHeight="1">
      <c r="B247" s="171" t="s">
        <v>433</v>
      </c>
      <c r="J247" s="30">
        <v>0.0</v>
      </c>
      <c r="K247" s="30">
        <v>0.0</v>
      </c>
      <c r="L247" s="30">
        <v>0.0</v>
      </c>
      <c r="M247" s="30">
        <v>0.0</v>
      </c>
      <c r="N247" s="30">
        <v>0.0</v>
      </c>
      <c r="O247" s="30">
        <v>0.0</v>
      </c>
      <c r="P247" s="30">
        <v>0.0</v>
      </c>
      <c r="Q247" s="30">
        <v>0.0</v>
      </c>
      <c r="R247" s="30">
        <v>0.0</v>
      </c>
      <c r="S247" s="30">
        <v>0.0</v>
      </c>
      <c r="T247" s="30">
        <v>0.0</v>
      </c>
      <c r="U247" s="30">
        <v>0.0</v>
      </c>
      <c r="V247" s="30">
        <v>0.0</v>
      </c>
      <c r="W247" s="30">
        <v>0.0</v>
      </c>
      <c r="X247" s="30">
        <v>0.0</v>
      </c>
      <c r="Y247" s="30">
        <v>0.0</v>
      </c>
      <c r="Z247" s="30">
        <v>0.0</v>
      </c>
      <c r="AA247" s="30">
        <v>0.0</v>
      </c>
      <c r="AB247" s="30">
        <v>0.0</v>
      </c>
      <c r="AC247" s="30">
        <v>0.0</v>
      </c>
      <c r="AD247" s="30">
        <v>0.0</v>
      </c>
      <c r="AE247" s="30">
        <v>0.0</v>
      </c>
      <c r="AF247" s="30">
        <v>296.0</v>
      </c>
      <c r="AG247" s="30">
        <v>1898.0</v>
      </c>
      <c r="AH247" s="30">
        <v>344.0</v>
      </c>
      <c r="AI247" s="30">
        <v>0.0</v>
      </c>
      <c r="AJ247" s="30">
        <v>-725.0</v>
      </c>
      <c r="AK247" s="30">
        <v>0.0</v>
      </c>
      <c r="AL247" s="30">
        <v>0.0</v>
      </c>
    </row>
    <row r="248" ht="14.25" customHeight="1">
      <c r="B248" s="172" t="s">
        <v>434</v>
      </c>
      <c r="J248" s="30">
        <v>0.0</v>
      </c>
      <c r="K248" s="30">
        <v>0.0</v>
      </c>
      <c r="L248" s="30">
        <v>0.0</v>
      </c>
      <c r="M248" s="30">
        <v>0.0</v>
      </c>
      <c r="N248" s="30">
        <v>0.0</v>
      </c>
      <c r="O248" s="30">
        <v>67500.0</v>
      </c>
      <c r="P248" s="30">
        <v>0.0</v>
      </c>
      <c r="Q248" s="30">
        <v>0.0</v>
      </c>
      <c r="R248" s="30">
        <v>0.0</v>
      </c>
      <c r="S248" s="30">
        <v>0.0</v>
      </c>
      <c r="T248" s="30">
        <v>0.0</v>
      </c>
      <c r="U248" s="30">
        <v>0.0</v>
      </c>
      <c r="V248" s="30">
        <v>0.0</v>
      </c>
      <c r="W248" s="30">
        <v>0.0</v>
      </c>
      <c r="X248" s="30">
        <v>0.0</v>
      </c>
      <c r="Y248" s="30">
        <v>0.0</v>
      </c>
      <c r="Z248" s="30">
        <v>0.0</v>
      </c>
      <c r="AA248" s="30">
        <v>0.0</v>
      </c>
      <c r="AB248" s="30">
        <v>0.0</v>
      </c>
      <c r="AC248" s="30">
        <v>0.0</v>
      </c>
      <c r="AD248" s="30">
        <v>0.0</v>
      </c>
      <c r="AE248" s="30">
        <v>0.0</v>
      </c>
      <c r="AF248" s="30">
        <v>0.0</v>
      </c>
      <c r="AG248" s="30">
        <v>0.0</v>
      </c>
      <c r="AH248" s="30">
        <v>0.0</v>
      </c>
      <c r="AI248" s="30">
        <v>0.0</v>
      </c>
      <c r="AJ248" s="30">
        <v>0.0</v>
      </c>
      <c r="AL248" s="30">
        <v>200000.0</v>
      </c>
    </row>
    <row r="249" ht="14.25" customHeight="1">
      <c r="B249" s="171" t="s">
        <v>268</v>
      </c>
      <c r="J249" s="30">
        <v>0.0</v>
      </c>
      <c r="K249" s="30">
        <v>0.0</v>
      </c>
      <c r="L249" s="30">
        <v>0.0</v>
      </c>
      <c r="M249" s="30">
        <v>0.0</v>
      </c>
      <c r="N249" s="30">
        <v>0.0</v>
      </c>
      <c r="O249" s="30">
        <v>-14637.0</v>
      </c>
      <c r="P249" s="30">
        <v>4837.0</v>
      </c>
      <c r="Q249" s="30">
        <v>3045.0</v>
      </c>
      <c r="R249" s="30">
        <v>5357.0</v>
      </c>
      <c r="S249" s="30">
        <v>268.0</v>
      </c>
      <c r="T249" s="30">
        <v>267.0</v>
      </c>
      <c r="U249" s="30">
        <v>270.0</v>
      </c>
      <c r="V249" s="30">
        <v>593.0</v>
      </c>
      <c r="W249" s="30">
        <v>0.0</v>
      </c>
      <c r="X249" s="30">
        <v>0.0</v>
      </c>
      <c r="Y249" s="30">
        <v>0.0</v>
      </c>
      <c r="Z249" s="30">
        <v>0.0</v>
      </c>
      <c r="AA249" s="30">
        <v>0.0</v>
      </c>
      <c r="AB249" s="30">
        <v>0.0</v>
      </c>
      <c r="AC249" s="30">
        <v>0.0</v>
      </c>
      <c r="AD249" s="30">
        <v>0.0</v>
      </c>
      <c r="AE249" s="30">
        <v>0.0</v>
      </c>
      <c r="AF249" s="30">
        <v>0.0</v>
      </c>
      <c r="AG249" s="30">
        <v>0.0</v>
      </c>
      <c r="AH249" s="30">
        <v>0.0</v>
      </c>
      <c r="AI249" s="30">
        <v>0.0</v>
      </c>
      <c r="AJ249" s="30">
        <v>0.0</v>
      </c>
      <c r="AL249" s="30">
        <v>0.0</v>
      </c>
    </row>
    <row r="250" ht="14.25" customHeight="1">
      <c r="B250" s="171" t="s">
        <v>435</v>
      </c>
      <c r="J250" s="30">
        <v>0.0</v>
      </c>
      <c r="K250" s="30">
        <v>-5285.0</v>
      </c>
      <c r="L250" s="30">
        <v>0.0</v>
      </c>
      <c r="M250" s="30">
        <v>0.0</v>
      </c>
      <c r="N250" s="30">
        <v>0.0</v>
      </c>
      <c r="O250" s="30">
        <v>0.0</v>
      </c>
      <c r="P250" s="30">
        <v>0.0</v>
      </c>
      <c r="Q250" s="30">
        <v>0.0</v>
      </c>
      <c r="R250" s="30">
        <v>0.0</v>
      </c>
      <c r="S250" s="30">
        <v>0.0</v>
      </c>
      <c r="T250" s="30">
        <v>0.0</v>
      </c>
      <c r="U250" s="30">
        <v>0.0</v>
      </c>
      <c r="V250" s="30">
        <v>0.0</v>
      </c>
      <c r="W250" s="30">
        <v>0.0</v>
      </c>
      <c r="X250" s="30">
        <v>0.0</v>
      </c>
      <c r="Y250" s="30">
        <v>0.0</v>
      </c>
      <c r="Z250" s="30">
        <v>0.0</v>
      </c>
      <c r="AA250" s="30">
        <v>0.0</v>
      </c>
      <c r="AB250" s="30">
        <v>0.0</v>
      </c>
      <c r="AC250" s="30">
        <v>0.0</v>
      </c>
      <c r="AD250" s="30">
        <v>0.0</v>
      </c>
      <c r="AE250" s="30">
        <v>0.0</v>
      </c>
      <c r="AF250" s="30">
        <v>0.0</v>
      </c>
      <c r="AG250" s="30">
        <v>0.0</v>
      </c>
      <c r="AH250" s="30">
        <v>0.0</v>
      </c>
      <c r="AI250" s="30">
        <v>0.0</v>
      </c>
      <c r="AJ250" s="30">
        <v>0.0</v>
      </c>
      <c r="AL250" s="30">
        <v>0.0</v>
      </c>
    </row>
    <row r="251" ht="14.25" customHeight="1">
      <c r="B251" s="171" t="s">
        <v>436</v>
      </c>
      <c r="J251" s="30">
        <v>765.0</v>
      </c>
      <c r="K251" s="30">
        <v>0.0</v>
      </c>
      <c r="L251" s="30">
        <v>0.0</v>
      </c>
      <c r="M251" s="30">
        <v>0.0</v>
      </c>
      <c r="N251" s="30">
        <v>0.0</v>
      </c>
      <c r="O251" s="30">
        <v>0.0</v>
      </c>
      <c r="P251" s="30">
        <v>0.0</v>
      </c>
      <c r="Q251" s="30">
        <v>765.0</v>
      </c>
      <c r="R251" s="30">
        <v>0.0</v>
      </c>
      <c r="S251" s="30">
        <v>0.0</v>
      </c>
      <c r="T251" s="30">
        <v>0.0</v>
      </c>
      <c r="U251" s="30">
        <v>0.0</v>
      </c>
      <c r="V251" s="30">
        <v>0.0</v>
      </c>
      <c r="W251" s="30">
        <v>0.0</v>
      </c>
      <c r="X251" s="30">
        <v>0.0</v>
      </c>
      <c r="Y251" s="30">
        <v>0.0</v>
      </c>
      <c r="Z251" s="30">
        <v>0.0</v>
      </c>
      <c r="AA251" s="30">
        <v>0.0</v>
      </c>
      <c r="AB251" s="30">
        <v>0.0</v>
      </c>
      <c r="AC251" s="30">
        <v>0.0</v>
      </c>
      <c r="AD251" s="30">
        <v>0.0</v>
      </c>
      <c r="AE251" s="30">
        <v>0.0</v>
      </c>
      <c r="AF251" s="30">
        <v>0.0</v>
      </c>
      <c r="AG251" s="30">
        <v>0.0</v>
      </c>
      <c r="AH251" s="30">
        <v>0.0</v>
      </c>
      <c r="AI251" s="30">
        <v>0.0</v>
      </c>
      <c r="AJ251" s="30">
        <v>0.0</v>
      </c>
      <c r="AL251" s="30">
        <v>0.0</v>
      </c>
    </row>
    <row r="252" ht="14.25" customHeight="1">
      <c r="B252" s="171" t="s">
        <v>437</v>
      </c>
      <c r="J252" s="30">
        <v>-1996.0</v>
      </c>
      <c r="K252" s="30">
        <v>0.0</v>
      </c>
      <c r="L252" s="30">
        <v>0.0</v>
      </c>
      <c r="M252" s="30">
        <v>0.0</v>
      </c>
      <c r="N252" s="30">
        <v>-304.0</v>
      </c>
      <c r="O252" s="30">
        <v>-303.0</v>
      </c>
      <c r="P252" s="30">
        <v>-303.0</v>
      </c>
      <c r="Q252" s="30">
        <v>0.0</v>
      </c>
      <c r="R252" s="30">
        <v>-1808.0</v>
      </c>
      <c r="S252" s="30">
        <v>0.0</v>
      </c>
      <c r="T252" s="30">
        <v>0.0</v>
      </c>
      <c r="U252" s="30">
        <v>0.0</v>
      </c>
      <c r="V252" s="30">
        <v>0.0</v>
      </c>
      <c r="W252" s="30">
        <v>0.0</v>
      </c>
      <c r="X252" s="30">
        <v>0.0</v>
      </c>
      <c r="Y252" s="30">
        <v>0.0</v>
      </c>
      <c r="Z252" s="30">
        <v>-1936.0</v>
      </c>
      <c r="AA252" s="30">
        <v>-1507.0</v>
      </c>
      <c r="AB252" s="30">
        <v>0.0</v>
      </c>
      <c r="AC252" s="30">
        <v>-8848.0</v>
      </c>
      <c r="AD252" s="30">
        <v>-1142.0</v>
      </c>
      <c r="AE252" s="30">
        <v>-41521.0</v>
      </c>
      <c r="AF252" s="30">
        <v>0.0</v>
      </c>
      <c r="AG252" s="30">
        <v>-479.0</v>
      </c>
      <c r="AH252" s="30">
        <v>0.0</v>
      </c>
      <c r="AI252" s="30">
        <v>-16337.0</v>
      </c>
      <c r="AJ252" s="30">
        <v>-5120.0</v>
      </c>
      <c r="AK252" s="30">
        <v>-1360.0</v>
      </c>
      <c r="AL252" s="30">
        <v>0.0</v>
      </c>
    </row>
    <row r="253" ht="14.25" customHeight="1">
      <c r="B253" s="172" t="s">
        <v>438</v>
      </c>
      <c r="J253" s="30">
        <v>3015.0</v>
      </c>
      <c r="K253" s="30">
        <v>-3015.0</v>
      </c>
      <c r="L253" s="30">
        <v>0.0</v>
      </c>
      <c r="M253" s="30">
        <v>-245.0</v>
      </c>
      <c r="N253" s="30">
        <v>-9.0</v>
      </c>
      <c r="O253" s="30">
        <v>-9.0</v>
      </c>
      <c r="P253" s="30">
        <v>-9.0</v>
      </c>
      <c r="Q253" s="30">
        <v>272.0</v>
      </c>
      <c r="R253" s="30">
        <v>0.0</v>
      </c>
      <c r="S253" s="30">
        <v>0.0</v>
      </c>
      <c r="T253" s="30">
        <v>0.0</v>
      </c>
      <c r="U253" s="30">
        <v>0.0</v>
      </c>
      <c r="V253" s="30">
        <v>0.0</v>
      </c>
      <c r="W253" s="30">
        <v>0.0</v>
      </c>
      <c r="X253" s="30">
        <v>0.0</v>
      </c>
      <c r="Y253" s="30">
        <v>0.0</v>
      </c>
      <c r="Z253" s="30">
        <v>0.0</v>
      </c>
      <c r="AA253" s="30">
        <v>0.0</v>
      </c>
      <c r="AB253" s="30">
        <v>960.0</v>
      </c>
      <c r="AC253" s="30">
        <v>-960.0</v>
      </c>
      <c r="AD253" s="30">
        <v>0.0</v>
      </c>
      <c r="AE253" s="30">
        <v>0.0</v>
      </c>
      <c r="AF253" s="30">
        <v>0.0</v>
      </c>
      <c r="AG253" s="30">
        <v>0.0</v>
      </c>
      <c r="AH253" s="30">
        <v>0.0</v>
      </c>
      <c r="AI253" s="30">
        <v>0.0</v>
      </c>
      <c r="AJ253" s="30">
        <v>0.0</v>
      </c>
      <c r="AL253" s="30">
        <v>0.0</v>
      </c>
    </row>
    <row r="254" ht="14.25" customHeight="1">
      <c r="B254" s="172" t="s">
        <v>439</v>
      </c>
      <c r="J254" s="30">
        <v>0.0</v>
      </c>
      <c r="K254" s="30">
        <v>4953.0</v>
      </c>
      <c r="L254" s="30">
        <v>1826.0</v>
      </c>
      <c r="M254" s="30">
        <v>200.0</v>
      </c>
      <c r="N254" s="30">
        <v>2296.0</v>
      </c>
      <c r="O254" s="30">
        <v>171.0</v>
      </c>
      <c r="P254" s="30">
        <v>61.0</v>
      </c>
      <c r="Q254" s="30">
        <v>106.0</v>
      </c>
      <c r="R254" s="30">
        <v>-9613.0</v>
      </c>
      <c r="S254" s="30">
        <v>0.0</v>
      </c>
      <c r="T254" s="30">
        <v>0.0</v>
      </c>
      <c r="U254" s="30">
        <v>0.0</v>
      </c>
      <c r="V254" s="30">
        <v>0.0</v>
      </c>
      <c r="W254" s="30">
        <v>0.0</v>
      </c>
      <c r="X254" s="30">
        <v>0.0</v>
      </c>
      <c r="Y254" s="30">
        <v>0.0</v>
      </c>
      <c r="Z254" s="30">
        <v>901.0</v>
      </c>
      <c r="AA254" s="30">
        <v>1074.0</v>
      </c>
      <c r="AB254" s="30">
        <v>-1975.0</v>
      </c>
      <c r="AC254" s="30">
        <v>992.0</v>
      </c>
      <c r="AD254" s="30">
        <v>32.0</v>
      </c>
      <c r="AE254" s="30">
        <v>-1024.0</v>
      </c>
      <c r="AF254" s="30">
        <v>0.0</v>
      </c>
      <c r="AG254" s="30">
        <v>0.0</v>
      </c>
      <c r="AH254" s="30">
        <v>0.0</v>
      </c>
      <c r="AI254" s="30">
        <v>983.0</v>
      </c>
      <c r="AJ254" s="30">
        <v>25.0</v>
      </c>
      <c r="AK254" s="30">
        <v>-1008.0</v>
      </c>
      <c r="AL254" s="30">
        <v>0.0</v>
      </c>
    </row>
    <row r="255" ht="14.25" customHeight="1">
      <c r="B255" s="171" t="s">
        <v>440</v>
      </c>
      <c r="J255" s="30">
        <v>-300.0</v>
      </c>
      <c r="K255" s="30">
        <v>-450.0</v>
      </c>
      <c r="L255" s="30">
        <v>-357.0</v>
      </c>
      <c r="M255" s="30">
        <v>-171.0</v>
      </c>
      <c r="N255" s="30">
        <v>-228.0</v>
      </c>
      <c r="O255" s="30">
        <v>-115.0</v>
      </c>
      <c r="P255" s="30">
        <v>-171.0</v>
      </c>
      <c r="Q255" s="30">
        <v>-228.0</v>
      </c>
      <c r="R255" s="30">
        <v>-3921.0</v>
      </c>
      <c r="S255" s="30">
        <v>-172.0</v>
      </c>
      <c r="T255" s="30">
        <v>-574.0</v>
      </c>
      <c r="U255" s="30">
        <v>0.0</v>
      </c>
      <c r="V255" s="30">
        <v>0.0</v>
      </c>
      <c r="W255" s="30">
        <v>0.0</v>
      </c>
      <c r="X255" s="30">
        <v>0.0</v>
      </c>
      <c r="Y255" s="30">
        <v>-970.0</v>
      </c>
      <c r="Z255" s="30">
        <v>0.0</v>
      </c>
      <c r="AA255" s="30">
        <v>0.0</v>
      </c>
      <c r="AB255" s="30">
        <v>-4869.0</v>
      </c>
      <c r="AC255" s="30">
        <v>-970.0</v>
      </c>
      <c r="AD255" s="30">
        <v>-7198.0</v>
      </c>
      <c r="AE255" s="30">
        <v>-5197.0</v>
      </c>
      <c r="AF255" s="30">
        <v>0.0</v>
      </c>
      <c r="AG255" s="30">
        <v>-1191.0</v>
      </c>
      <c r="AH255" s="30">
        <v>-9515.0</v>
      </c>
      <c r="AI255" s="30">
        <v>-5997.0</v>
      </c>
      <c r="AJ255" s="30">
        <v>-898.0</v>
      </c>
      <c r="AK255" s="30">
        <v>-945.0</v>
      </c>
      <c r="AL255" s="30">
        <v>-11549.0</v>
      </c>
    </row>
    <row r="256" ht="14.25" customHeight="1">
      <c r="B256" s="172" t="s">
        <v>441</v>
      </c>
      <c r="J256" s="30">
        <v>-12523.0</v>
      </c>
      <c r="K256" s="30">
        <v>-19170.0</v>
      </c>
      <c r="L256" s="30">
        <v>-11951.0</v>
      </c>
      <c r="M256" s="30">
        <v>-12938.0</v>
      </c>
      <c r="N256" s="30">
        <v>-11561.0</v>
      </c>
      <c r="O256" s="30">
        <v>-50824.0</v>
      </c>
      <c r="P256" s="30">
        <v>-4973.0</v>
      </c>
      <c r="Q256" s="30">
        <v>-4129.0</v>
      </c>
      <c r="R256" s="30">
        <v>-5616.0</v>
      </c>
      <c r="S256" s="30">
        <v>-2731.0</v>
      </c>
      <c r="T256" s="30">
        <v>-6034.0</v>
      </c>
      <c r="U256" s="30">
        <v>-7897.0</v>
      </c>
      <c r="V256" s="30">
        <v>-6664.0</v>
      </c>
      <c r="W256" s="30">
        <v>-6393.0</v>
      </c>
      <c r="X256" s="30">
        <v>-6393.0</v>
      </c>
      <c r="Y256" s="30">
        <v>-6392.0</v>
      </c>
      <c r="Z256" s="30">
        <v>-7491.0</v>
      </c>
      <c r="AA256" s="30">
        <v>-13418.0</v>
      </c>
      <c r="AB256" s="30">
        <v>-12745.0</v>
      </c>
      <c r="AC256" s="30">
        <v>-12055.0</v>
      </c>
      <c r="AD256" s="30">
        <v>-11863.0</v>
      </c>
      <c r="AE256" s="30">
        <v>-9439.0</v>
      </c>
      <c r="AF256" s="30">
        <v>-6911.0</v>
      </c>
      <c r="AG256" s="30">
        <v>-37117.0</v>
      </c>
      <c r="AH256" s="30">
        <v>-11486.0</v>
      </c>
      <c r="AI256" s="30">
        <v>-20155.0</v>
      </c>
      <c r="AJ256" s="30">
        <v>-39327.0</v>
      </c>
      <c r="AK256" s="30">
        <v>-25219.0</v>
      </c>
      <c r="AL256" s="30">
        <v>-21789.0</v>
      </c>
    </row>
    <row r="257" ht="14.25" customHeight="1">
      <c r="B257" s="172" t="s">
        <v>442</v>
      </c>
      <c r="J257" s="30">
        <v>0.0</v>
      </c>
      <c r="K257" s="30">
        <v>0.0</v>
      </c>
      <c r="L257" s="30">
        <v>0.0</v>
      </c>
      <c r="M257" s="30">
        <v>0.0</v>
      </c>
      <c r="N257" s="30">
        <v>0.0</v>
      </c>
      <c r="O257" s="30">
        <v>0.0</v>
      </c>
      <c r="P257" s="30">
        <v>0.0</v>
      </c>
      <c r="Q257" s="30">
        <v>0.0</v>
      </c>
      <c r="R257" s="30">
        <v>0.0</v>
      </c>
      <c r="S257" s="30">
        <v>0.0</v>
      </c>
      <c r="T257" s="30">
        <v>0.0</v>
      </c>
      <c r="U257" s="30">
        <v>0.0</v>
      </c>
      <c r="V257" s="30">
        <v>0.0</v>
      </c>
      <c r="W257" s="30">
        <v>0.0</v>
      </c>
      <c r="X257" s="30">
        <v>0.0</v>
      </c>
      <c r="Y257" s="30">
        <v>0.0</v>
      </c>
      <c r="Z257" s="30">
        <v>0.0</v>
      </c>
      <c r="AA257" s="30">
        <v>0.0</v>
      </c>
      <c r="AB257" s="30">
        <v>0.0</v>
      </c>
      <c r="AC257" s="30">
        <v>0.0</v>
      </c>
      <c r="AD257" s="30">
        <v>0.0</v>
      </c>
      <c r="AE257" s="30">
        <v>0.0</v>
      </c>
      <c r="AF257" s="30">
        <v>0.0</v>
      </c>
      <c r="AG257" s="30">
        <v>0.0</v>
      </c>
      <c r="AH257" s="30">
        <v>0.0</v>
      </c>
      <c r="AI257" s="30">
        <v>0.0</v>
      </c>
      <c r="AL257" s="30">
        <v>0.0</v>
      </c>
    </row>
    <row r="258" ht="14.25" customHeight="1">
      <c r="B258" s="172" t="s">
        <v>443</v>
      </c>
      <c r="J258" s="30">
        <v>11621.0</v>
      </c>
      <c r="K258" s="30">
        <v>12006.0</v>
      </c>
      <c r="L258" s="30">
        <v>10000.0</v>
      </c>
      <c r="M258" s="30">
        <v>17313.0</v>
      </c>
      <c r="N258" s="30">
        <v>10904.0</v>
      </c>
      <c r="O258" s="30">
        <v>5519.0</v>
      </c>
      <c r="P258" s="30">
        <v>287.0</v>
      </c>
      <c r="Q258" s="30">
        <v>3313.0</v>
      </c>
      <c r="R258" s="30">
        <v>0.0</v>
      </c>
      <c r="S258" s="30">
        <v>0.0</v>
      </c>
      <c r="T258" s="30">
        <v>0.0</v>
      </c>
      <c r="U258" s="30">
        <v>0.0</v>
      </c>
      <c r="V258" s="30">
        <v>0.0</v>
      </c>
      <c r="W258" s="30">
        <v>3693.0</v>
      </c>
      <c r="X258" s="30">
        <v>0.0</v>
      </c>
      <c r="Y258" s="30">
        <v>25449.0</v>
      </c>
      <c r="Z258" s="30">
        <v>0.0</v>
      </c>
      <c r="AA258" s="30">
        <v>7200.0</v>
      </c>
      <c r="AB258" s="30">
        <v>63486.0</v>
      </c>
      <c r="AC258" s="30">
        <v>30000.0</v>
      </c>
      <c r="AD258" s="30">
        <v>107941.0</v>
      </c>
      <c r="AE258" s="30">
        <v>22593.0</v>
      </c>
      <c r="AF258" s="30">
        <v>0.0</v>
      </c>
      <c r="AG258" s="30">
        <v>131875.0</v>
      </c>
      <c r="AH258" s="30">
        <v>0.0</v>
      </c>
      <c r="AI258" s="30">
        <v>58000.0</v>
      </c>
      <c r="AJ258" s="30">
        <v>84200.0</v>
      </c>
      <c r="AK258" s="30">
        <v>50000.0</v>
      </c>
      <c r="AL258" s="30">
        <v>0.0</v>
      </c>
    </row>
    <row r="259" ht="14.25" customHeight="1">
      <c r="B259" s="171" t="s">
        <v>444</v>
      </c>
      <c r="J259" s="30">
        <v>-1480.0</v>
      </c>
      <c r="K259" s="30">
        <v>-1307.0</v>
      </c>
      <c r="L259" s="30">
        <v>-1317.0</v>
      </c>
      <c r="M259" s="30">
        <v>-1815.0</v>
      </c>
      <c r="N259" s="30">
        <v>-1321.0</v>
      </c>
      <c r="O259" s="30">
        <v>-2301.0</v>
      </c>
      <c r="P259" s="30">
        <v>-2255.0</v>
      </c>
      <c r="Q259" s="30">
        <v>-1910.0</v>
      </c>
      <c r="R259" s="30">
        <v>-2949.0</v>
      </c>
      <c r="S259" s="30">
        <v>-1413.0</v>
      </c>
      <c r="T259" s="30">
        <v>-1177.0</v>
      </c>
      <c r="U259" s="30">
        <v>-1046.0</v>
      </c>
      <c r="V259" s="30">
        <v>-905.0</v>
      </c>
      <c r="W259" s="30">
        <v>-939.0</v>
      </c>
      <c r="X259" s="30">
        <v>-1078.0</v>
      </c>
      <c r="Y259" s="30">
        <v>-1182.0</v>
      </c>
      <c r="Z259" s="30">
        <v>-1362.0</v>
      </c>
      <c r="AA259" s="30">
        <v>-1174.0</v>
      </c>
      <c r="AB259" s="30">
        <v>-1633.0</v>
      </c>
      <c r="AC259" s="30">
        <v>-1300.0</v>
      </c>
      <c r="AD259" s="30">
        <v>-2873.0</v>
      </c>
      <c r="AE259" s="30">
        <v>-4025.0</v>
      </c>
      <c r="AF259" s="30">
        <v>-3748.0</v>
      </c>
      <c r="AG259" s="30">
        <v>-3322.0</v>
      </c>
      <c r="AH259" s="30">
        <v>-8199.0</v>
      </c>
      <c r="AI259" s="30">
        <v>-6621.0</v>
      </c>
      <c r="AJ259" s="30">
        <v>-7936.0</v>
      </c>
      <c r="AK259" s="30">
        <v>-9329.0</v>
      </c>
      <c r="AL259" s="30">
        <v>-8992.0</v>
      </c>
    </row>
    <row r="260" ht="14.25" customHeight="1">
      <c r="B260" s="173" t="s">
        <v>445</v>
      </c>
      <c r="J260" s="30">
        <v>0.0</v>
      </c>
      <c r="K260" s="30">
        <v>0.0</v>
      </c>
      <c r="L260" s="30">
        <v>0.0</v>
      </c>
      <c r="M260" s="30">
        <v>0.0</v>
      </c>
      <c r="N260" s="30">
        <v>0.0</v>
      </c>
      <c r="O260" s="30">
        <v>0.0</v>
      </c>
      <c r="P260" s="30">
        <v>0.0</v>
      </c>
      <c r="Q260" s="30">
        <v>0.0</v>
      </c>
      <c r="R260" s="30">
        <v>0.0</v>
      </c>
      <c r="S260" s="30">
        <v>0.0</v>
      </c>
      <c r="T260" s="30">
        <v>0.0</v>
      </c>
      <c r="U260" s="30">
        <v>0.0</v>
      </c>
      <c r="V260" s="30">
        <v>0.0</v>
      </c>
      <c r="W260" s="30">
        <v>0.0</v>
      </c>
      <c r="X260" s="30">
        <v>0.0</v>
      </c>
      <c r="Y260" s="30">
        <v>0.0</v>
      </c>
      <c r="Z260" s="30">
        <v>0.0</v>
      </c>
      <c r="AA260" s="30">
        <v>0.0</v>
      </c>
      <c r="AB260" s="30">
        <v>0.0</v>
      </c>
      <c r="AC260" s="30">
        <v>0.0</v>
      </c>
      <c r="AD260" s="30">
        <v>0.0</v>
      </c>
      <c r="AE260" s="30">
        <v>0.0</v>
      </c>
      <c r="AF260" s="30">
        <v>0.0</v>
      </c>
      <c r="AG260" s="30">
        <v>0.0</v>
      </c>
      <c r="AH260" s="30">
        <v>19.0</v>
      </c>
      <c r="AI260" s="30">
        <v>-19.0</v>
      </c>
      <c r="AL260" s="30">
        <v>0.0</v>
      </c>
    </row>
    <row r="261" ht="14.25" customHeight="1">
      <c r="B261" s="171" t="s">
        <v>446</v>
      </c>
      <c r="J261" s="30">
        <v>2787.0</v>
      </c>
      <c r="K261" s="30">
        <v>-2096.0</v>
      </c>
      <c r="L261" s="30">
        <v>2051.0</v>
      </c>
      <c r="M261" s="30">
        <v>1182.0</v>
      </c>
      <c r="N261" s="30">
        <v>583.0</v>
      </c>
      <c r="O261" s="30">
        <v>-4507.0</v>
      </c>
      <c r="P261" s="30">
        <v>0.0</v>
      </c>
      <c r="Q261" s="30">
        <v>5.0</v>
      </c>
      <c r="R261" s="30">
        <v>-4.0</v>
      </c>
      <c r="S261" s="30">
        <v>0.0</v>
      </c>
      <c r="T261" s="30">
        <v>0.0</v>
      </c>
      <c r="U261" s="30">
        <v>0.0</v>
      </c>
      <c r="V261" s="30">
        <v>0.0</v>
      </c>
      <c r="W261" s="30">
        <v>0.0</v>
      </c>
      <c r="X261" s="30">
        <v>0.0</v>
      </c>
      <c r="Y261" s="30">
        <v>0.0</v>
      </c>
      <c r="Z261" s="30">
        <v>0.0</v>
      </c>
      <c r="AA261" s="30">
        <v>0.0</v>
      </c>
      <c r="AB261" s="30">
        <v>0.0</v>
      </c>
      <c r="AC261" s="30">
        <v>7691.0</v>
      </c>
      <c r="AD261" s="30">
        <v>-5591.0</v>
      </c>
      <c r="AE261" s="30">
        <v>-2080.0</v>
      </c>
      <c r="AF261" s="30">
        <v>-20.0</v>
      </c>
      <c r="AG261" s="30">
        <v>0.0</v>
      </c>
      <c r="AH261" s="30">
        <v>0.0</v>
      </c>
      <c r="AI261" s="30">
        <v>0.0</v>
      </c>
      <c r="AL261" s="30">
        <v>0.0</v>
      </c>
    </row>
    <row r="262" ht="14.25" customHeight="1">
      <c r="B262" s="171" t="s">
        <v>291</v>
      </c>
      <c r="J262" s="30">
        <v>0.0</v>
      </c>
      <c r="K262" s="30">
        <v>0.0</v>
      </c>
      <c r="L262" s="30">
        <v>0.0</v>
      </c>
      <c r="M262" s="30">
        <v>0.0</v>
      </c>
      <c r="N262" s="30">
        <v>0.0</v>
      </c>
      <c r="O262" s="30">
        <v>0.0</v>
      </c>
      <c r="P262" s="30">
        <v>0.0</v>
      </c>
      <c r="Q262" s="30">
        <v>0.0</v>
      </c>
      <c r="R262" s="30">
        <v>0.0</v>
      </c>
      <c r="S262" s="30">
        <v>0.0</v>
      </c>
      <c r="T262" s="30">
        <v>0.0</v>
      </c>
      <c r="U262" s="30">
        <v>0.0</v>
      </c>
      <c r="V262" s="30">
        <v>0.0</v>
      </c>
      <c r="W262" s="30">
        <v>0.0</v>
      </c>
      <c r="X262" s="30">
        <v>0.0</v>
      </c>
      <c r="Y262" s="30">
        <v>0.0</v>
      </c>
      <c r="Z262" s="30">
        <v>0.0</v>
      </c>
      <c r="AA262" s="30">
        <v>0.0</v>
      </c>
      <c r="AB262" s="30">
        <v>0.0</v>
      </c>
      <c r="AC262" s="30">
        <v>0.0</v>
      </c>
      <c r="AD262" s="30">
        <v>0.0</v>
      </c>
      <c r="AE262" s="30">
        <v>-8787.0</v>
      </c>
      <c r="AF262" s="30">
        <v>-11003.0</v>
      </c>
      <c r="AG262" s="30">
        <v>0.0</v>
      </c>
      <c r="AH262" s="30">
        <v>0.0</v>
      </c>
      <c r="AI262" s="30">
        <v>0.0</v>
      </c>
      <c r="AL262" s="30">
        <v>0.0</v>
      </c>
    </row>
    <row r="263" ht="14.25" customHeight="1">
      <c r="B263" s="171" t="s">
        <v>447</v>
      </c>
      <c r="J263" s="30">
        <v>0.0</v>
      </c>
      <c r="K263" s="30">
        <v>0.0</v>
      </c>
      <c r="L263" s="30">
        <v>0.0</v>
      </c>
      <c r="M263" s="30">
        <v>0.0</v>
      </c>
      <c r="N263" s="30">
        <v>-232.0</v>
      </c>
      <c r="O263" s="30">
        <v>-415.0</v>
      </c>
      <c r="P263" s="30">
        <v>-761.0</v>
      </c>
      <c r="Q263" s="30">
        <v>-520.0</v>
      </c>
      <c r="R263" s="30">
        <v>-525.0</v>
      </c>
      <c r="S263" s="30">
        <v>-472.0</v>
      </c>
      <c r="T263" s="30">
        <v>-611.0</v>
      </c>
      <c r="U263" s="30">
        <v>-690.0</v>
      </c>
      <c r="V263" s="30">
        <v>-613.0</v>
      </c>
      <c r="W263" s="30">
        <v>-602.0</v>
      </c>
      <c r="X263" s="30">
        <v>-673.0</v>
      </c>
      <c r="Y263" s="30">
        <v>-725.0</v>
      </c>
      <c r="Z263" s="30">
        <v>-725.0</v>
      </c>
      <c r="AA263" s="30">
        <v>-963.0</v>
      </c>
      <c r="AB263" s="30">
        <v>-1379.0</v>
      </c>
      <c r="AC263" s="30">
        <v>-1716.0</v>
      </c>
      <c r="AD263" s="30">
        <v>-1575.0</v>
      </c>
      <c r="AE263" s="30">
        <v>-1620.0</v>
      </c>
      <c r="AF263" s="30">
        <v>-1659.0</v>
      </c>
      <c r="AG263" s="30">
        <v>-1729.0</v>
      </c>
      <c r="AH263" s="30">
        <v>-1876.0</v>
      </c>
      <c r="AI263" s="30">
        <v>-1785.0</v>
      </c>
      <c r="AJ263" s="30">
        <v>-2036.0</v>
      </c>
      <c r="AK263" s="30">
        <v>-2082.0</v>
      </c>
      <c r="AL263" s="30">
        <v>-1961.0</v>
      </c>
    </row>
    <row r="264" ht="14.25" customHeight="1">
      <c r="B264" s="171" t="s">
        <v>448</v>
      </c>
      <c r="J264" s="30">
        <v>-127.0</v>
      </c>
      <c r="K264" s="30">
        <v>-13.0</v>
      </c>
      <c r="L264" s="30">
        <v>-1.0</v>
      </c>
      <c r="M264" s="30">
        <v>-1.0</v>
      </c>
      <c r="N264" s="30">
        <v>-47.0</v>
      </c>
      <c r="O264" s="30">
        <v>1335.0</v>
      </c>
      <c r="P264" s="30">
        <v>3.0</v>
      </c>
      <c r="Q264" s="30">
        <v>-5.0</v>
      </c>
      <c r="R264" s="30">
        <v>-60.0</v>
      </c>
      <c r="S264" s="30">
        <v>-25.0</v>
      </c>
      <c r="T264" s="30">
        <v>3.0</v>
      </c>
      <c r="U264" s="30">
        <v>-7.0</v>
      </c>
      <c r="V264" s="30">
        <v>0.0</v>
      </c>
      <c r="W264" s="30">
        <v>0.0</v>
      </c>
      <c r="X264" s="30">
        <v>0.0</v>
      </c>
      <c r="Y264" s="30">
        <v>0.0</v>
      </c>
      <c r="Z264" s="30">
        <v>0.0</v>
      </c>
      <c r="AA264" s="30">
        <v>-805.0</v>
      </c>
      <c r="AB264" s="30">
        <v>-691.0</v>
      </c>
      <c r="AC264" s="30">
        <v>-1603.0</v>
      </c>
      <c r="AD264" s="30">
        <v>-1884.0</v>
      </c>
      <c r="AE264" s="30">
        <v>-2425.0</v>
      </c>
      <c r="AF264" s="30">
        <v>-2325.0</v>
      </c>
      <c r="AG264" s="30">
        <v>-5687.0</v>
      </c>
      <c r="AH264" s="30">
        <v>-3236.0</v>
      </c>
      <c r="AI264" s="30">
        <v>-2793.0</v>
      </c>
      <c r="AJ264" s="30">
        <v>-5941.0</v>
      </c>
      <c r="AK264" s="30">
        <v>4265.0</v>
      </c>
      <c r="AL264" s="30">
        <v>-469.0</v>
      </c>
    </row>
    <row r="265" ht="14.25" customHeight="1">
      <c r="B265" s="171" t="s">
        <v>449</v>
      </c>
      <c r="J265" s="30">
        <v>0.0</v>
      </c>
      <c r="K265" s="30">
        <v>0.0</v>
      </c>
      <c r="L265" s="30">
        <v>0.0</v>
      </c>
      <c r="M265" s="30">
        <v>0.0</v>
      </c>
      <c r="N265" s="30">
        <v>0.0</v>
      </c>
      <c r="O265" s="30">
        <v>0.0</v>
      </c>
      <c r="P265" s="30">
        <v>0.0</v>
      </c>
      <c r="Q265" s="30">
        <v>0.0</v>
      </c>
      <c r="R265" s="30">
        <v>0.0</v>
      </c>
      <c r="S265" s="30">
        <v>0.0</v>
      </c>
      <c r="T265" s="30">
        <v>0.0</v>
      </c>
      <c r="U265" s="30">
        <v>0.0</v>
      </c>
      <c r="V265" s="30">
        <v>0.0</v>
      </c>
      <c r="W265" s="30">
        <v>-2586.0</v>
      </c>
      <c r="X265" s="30">
        <v>-1790.0</v>
      </c>
      <c r="Y265" s="30">
        <v>-2205.0</v>
      </c>
      <c r="Z265" s="30">
        <v>0.0</v>
      </c>
      <c r="AA265" s="30">
        <v>-2722.0</v>
      </c>
      <c r="AB265" s="30">
        <v>-2675.0</v>
      </c>
      <c r="AC265" s="30">
        <v>0.0</v>
      </c>
      <c r="AD265" s="30">
        <v>0.0</v>
      </c>
      <c r="AE265" s="30">
        <v>0.0</v>
      </c>
      <c r="AF265" s="30">
        <v>0.0</v>
      </c>
      <c r="AG265" s="30">
        <v>0.0</v>
      </c>
      <c r="AH265" s="30">
        <v>0.0</v>
      </c>
      <c r="AI265" s="30">
        <v>0.0</v>
      </c>
      <c r="AL265" s="30">
        <v>0.0</v>
      </c>
    </row>
    <row r="266" ht="14.25" customHeight="1">
      <c r="B266" s="171" t="s">
        <v>450</v>
      </c>
      <c r="J266" s="30">
        <v>0.0</v>
      </c>
      <c r="K266" s="30">
        <v>0.0</v>
      </c>
      <c r="L266" s="30">
        <v>0.0</v>
      </c>
      <c r="M266" s="30">
        <v>0.0</v>
      </c>
      <c r="N266" s="30">
        <v>0.0</v>
      </c>
      <c r="O266" s="30">
        <v>0.0</v>
      </c>
      <c r="P266" s="30">
        <v>0.0</v>
      </c>
      <c r="Q266" s="30">
        <v>0.0</v>
      </c>
      <c r="R266" s="30">
        <v>0.0</v>
      </c>
      <c r="S266" s="30">
        <v>0.0</v>
      </c>
      <c r="T266" s="30">
        <v>0.0</v>
      </c>
      <c r="U266" s="30">
        <v>0.0</v>
      </c>
      <c r="V266" s="30">
        <v>0.0</v>
      </c>
      <c r="W266" s="30">
        <v>0.0</v>
      </c>
      <c r="X266" s="30">
        <v>0.0</v>
      </c>
      <c r="Y266" s="30">
        <v>0.0</v>
      </c>
      <c r="Z266" s="30">
        <v>0.0</v>
      </c>
      <c r="AA266" s="30">
        <v>99.0</v>
      </c>
      <c r="AB266" s="30">
        <v>-198.0</v>
      </c>
      <c r="AC266" s="30">
        <v>99.0</v>
      </c>
      <c r="AD266" s="30">
        <v>-967.0</v>
      </c>
      <c r="AE266" s="30">
        <v>967.0</v>
      </c>
      <c r="AF266" s="30">
        <v>0.0</v>
      </c>
      <c r="AG266" s="30">
        <v>0.0</v>
      </c>
      <c r="AH266" s="30">
        <v>0.0</v>
      </c>
      <c r="AI266" s="30">
        <v>-720.0</v>
      </c>
      <c r="AK266" s="30">
        <v>720.0</v>
      </c>
      <c r="AL266" s="30">
        <v>0.0</v>
      </c>
    </row>
    <row r="267" ht="14.25" customHeight="1">
      <c r="B267" s="171" t="s">
        <v>451</v>
      </c>
      <c r="J267" s="30">
        <v>0.0</v>
      </c>
      <c r="K267" s="30">
        <v>0.0</v>
      </c>
      <c r="L267" s="30">
        <v>0.0</v>
      </c>
      <c r="M267" s="30">
        <v>0.0</v>
      </c>
      <c r="N267" s="30">
        <v>0.0</v>
      </c>
      <c r="O267" s="30">
        <v>0.0</v>
      </c>
      <c r="P267" s="30">
        <v>0.0</v>
      </c>
      <c r="Q267" s="30">
        <v>0.0</v>
      </c>
      <c r="R267" s="30">
        <v>0.0</v>
      </c>
      <c r="S267" s="30">
        <v>0.0</v>
      </c>
      <c r="T267" s="30">
        <v>0.0</v>
      </c>
      <c r="U267" s="30">
        <v>0.0</v>
      </c>
      <c r="V267" s="30">
        <v>0.0</v>
      </c>
      <c r="W267" s="30">
        <v>0.0</v>
      </c>
      <c r="X267" s="30">
        <v>0.0</v>
      </c>
      <c r="Y267" s="30">
        <v>0.0</v>
      </c>
      <c r="Z267" s="30">
        <v>0.0</v>
      </c>
      <c r="AA267" s="30">
        <v>-81.0</v>
      </c>
      <c r="AB267" s="30">
        <v>-80.0</v>
      </c>
      <c r="AC267" s="30">
        <v>161.0</v>
      </c>
      <c r="AD267" s="30">
        <v>0.0</v>
      </c>
      <c r="AE267" s="30">
        <v>0.0</v>
      </c>
      <c r="AF267" s="30">
        <v>0.0</v>
      </c>
      <c r="AG267" s="30">
        <v>0.0</v>
      </c>
      <c r="AH267" s="30">
        <v>0.0</v>
      </c>
      <c r="AI267" s="30">
        <v>0.0</v>
      </c>
      <c r="AL267" s="30">
        <v>0.0</v>
      </c>
    </row>
    <row r="268" ht="14.25" customHeight="1">
      <c r="B268" s="170" t="s">
        <v>452</v>
      </c>
      <c r="J268" s="30">
        <v>1762.0</v>
      </c>
      <c r="K268" s="30">
        <v>-2877.0</v>
      </c>
      <c r="L268" s="30">
        <v>251.0</v>
      </c>
      <c r="M268" s="30">
        <v>3525.0</v>
      </c>
      <c r="N268" s="30">
        <v>81.0</v>
      </c>
      <c r="O268" s="30">
        <v>1414.0</v>
      </c>
      <c r="P268" s="30">
        <v>-3284.0</v>
      </c>
      <c r="Q268" s="30">
        <v>20714.0</v>
      </c>
      <c r="R268" s="30">
        <v>138373.0</v>
      </c>
      <c r="S268" s="30">
        <v>-4650.0</v>
      </c>
      <c r="T268" s="30">
        <v>-5851.0</v>
      </c>
      <c r="U268" s="30">
        <v>-9273.0</v>
      </c>
      <c r="V268" s="30">
        <v>-7589.0</v>
      </c>
      <c r="W268" s="30">
        <v>-6522.0</v>
      </c>
      <c r="X268" s="30">
        <v>-9934.0</v>
      </c>
      <c r="Y268" s="30">
        <v>13975.0</v>
      </c>
      <c r="Z268" s="30">
        <v>-10383.0</v>
      </c>
      <c r="AA268" s="30">
        <v>-12297.0</v>
      </c>
      <c r="AB268" s="30">
        <v>38201.0</v>
      </c>
      <c r="AC268" s="30">
        <v>11491.0</v>
      </c>
      <c r="AD268" s="30">
        <v>74880.0</v>
      </c>
      <c r="AE268" s="30">
        <v>-52558.0</v>
      </c>
      <c r="AF268" s="30">
        <v>-25370.0</v>
      </c>
      <c r="AG268" s="30">
        <v>84248.0</v>
      </c>
      <c r="AH268" s="30">
        <v>50767.0</v>
      </c>
      <c r="AI268" s="30">
        <v>4537.0</v>
      </c>
      <c r="AJ268" s="30">
        <v>22242.0</v>
      </c>
      <c r="AK268" s="30">
        <v>14948.0</v>
      </c>
      <c r="AL268" s="30">
        <v>155240.0</v>
      </c>
    </row>
    <row r="269" ht="14.25" customHeight="1">
      <c r="B269" s="170"/>
      <c r="J269" s="30">
        <v>0.0</v>
      </c>
      <c r="K269" s="30">
        <v>0.0</v>
      </c>
      <c r="L269" s="30">
        <v>0.0</v>
      </c>
      <c r="M269" s="30">
        <v>0.0</v>
      </c>
      <c r="N269" s="30">
        <v>0.0</v>
      </c>
      <c r="O269" s="30">
        <v>0.0</v>
      </c>
      <c r="P269" s="30">
        <v>0.0</v>
      </c>
      <c r="Q269" s="30">
        <v>0.0</v>
      </c>
      <c r="R269" s="30">
        <v>0.0</v>
      </c>
      <c r="S269" s="30">
        <v>0.0</v>
      </c>
      <c r="T269" s="30">
        <v>0.0</v>
      </c>
      <c r="U269" s="30">
        <v>0.0</v>
      </c>
      <c r="V269" s="30">
        <v>0.0</v>
      </c>
      <c r="W269" s="30">
        <v>0.0</v>
      </c>
      <c r="X269" s="30">
        <v>0.0</v>
      </c>
      <c r="Y269" s="30">
        <v>0.0</v>
      </c>
      <c r="Z269" s="30">
        <v>0.0</v>
      </c>
      <c r="AA269" s="30">
        <v>0.0</v>
      </c>
      <c r="AB269" s="30">
        <v>0.0</v>
      </c>
      <c r="AC269" s="30">
        <v>0.0</v>
      </c>
      <c r="AD269" s="30">
        <v>0.0</v>
      </c>
      <c r="AE269" s="30">
        <v>0.0</v>
      </c>
      <c r="AF269" s="30">
        <v>0.0</v>
      </c>
      <c r="AG269" s="30">
        <v>0.0</v>
      </c>
      <c r="AH269" s="30">
        <v>0.0</v>
      </c>
      <c r="AI269" s="30">
        <v>0.0</v>
      </c>
    </row>
    <row r="270" ht="14.25" customHeight="1">
      <c r="B270" s="170" t="s">
        <v>453</v>
      </c>
      <c r="J270" s="30">
        <v>1723.0</v>
      </c>
      <c r="K270" s="30">
        <v>2387.0</v>
      </c>
      <c r="L270" s="30">
        <v>346.661689999999</v>
      </c>
      <c r="M270" s="30">
        <v>-1700.661689999999</v>
      </c>
      <c r="N270" s="30">
        <v>1241.2901700000002</v>
      </c>
      <c r="O270" s="30">
        <v>7619.0</v>
      </c>
      <c r="P270" s="30">
        <v>1036.4485859999986</v>
      </c>
      <c r="Q270" s="30">
        <v>20861.261244</v>
      </c>
      <c r="R270" s="30">
        <v>-26427.0</v>
      </c>
      <c r="S270" s="30">
        <v>19916.0</v>
      </c>
      <c r="T270" s="30">
        <v>19799.0</v>
      </c>
      <c r="U270" s="30">
        <v>4590.0</v>
      </c>
      <c r="V270" s="30">
        <v>-8668.0</v>
      </c>
      <c r="W270" s="30">
        <v>6767.101999999999</v>
      </c>
      <c r="X270" s="30">
        <v>493.5572199999988</v>
      </c>
      <c r="Y270" s="30">
        <v>15409.59833</v>
      </c>
      <c r="Z270" s="30">
        <v>-12314.64527</v>
      </c>
      <c r="AA270" s="30">
        <v>-9067.0</v>
      </c>
      <c r="AB270" s="30">
        <v>46882.0</v>
      </c>
      <c r="AC270" s="30">
        <v>13500.526989999998</v>
      </c>
      <c r="AD270" s="30">
        <v>75340.83692999999</v>
      </c>
      <c r="AE270" s="30">
        <v>-112554.0</v>
      </c>
      <c r="AF270" s="30">
        <v>14325.0</v>
      </c>
      <c r="AG270" s="30">
        <v>43740.16307</v>
      </c>
      <c r="AH270" s="30">
        <v>48990.0</v>
      </c>
      <c r="AI270" s="30">
        <v>4891.0</v>
      </c>
      <c r="AJ270" s="30">
        <v>2366.0</v>
      </c>
      <c r="AK270" s="30">
        <v>50399.0</v>
      </c>
      <c r="AL270" s="30">
        <v>116744.0</v>
      </c>
    </row>
    <row r="271" ht="14.25" customHeight="1">
      <c r="B271" s="171" t="s">
        <v>454</v>
      </c>
      <c r="J271" s="30">
        <v>644.0</v>
      </c>
      <c r="K271" s="30">
        <v>2367.0</v>
      </c>
      <c r="L271" s="30">
        <v>4754.0</v>
      </c>
      <c r="M271" s="30">
        <v>5101.0</v>
      </c>
      <c r="N271" s="30">
        <v>3400.0</v>
      </c>
      <c r="O271" s="30">
        <v>4641.0</v>
      </c>
      <c r="P271" s="30">
        <v>12260.0</v>
      </c>
      <c r="Q271" s="30">
        <v>13296.0</v>
      </c>
      <c r="R271" s="30">
        <v>34157.0</v>
      </c>
      <c r="S271" s="30">
        <v>7730.0</v>
      </c>
      <c r="T271" s="30">
        <v>27646.0</v>
      </c>
      <c r="U271" s="30">
        <v>47445.0</v>
      </c>
      <c r="V271" s="30">
        <v>52035.0</v>
      </c>
      <c r="W271" s="30">
        <v>43367.0</v>
      </c>
      <c r="X271" s="30">
        <v>50134.0</v>
      </c>
      <c r="Y271" s="30">
        <v>50628.0</v>
      </c>
      <c r="Z271" s="30">
        <v>66038.0</v>
      </c>
      <c r="AA271" s="30">
        <v>53723.0</v>
      </c>
      <c r="AB271" s="30">
        <v>44656.0</v>
      </c>
      <c r="AC271" s="30">
        <v>91538.0</v>
      </c>
      <c r="AD271" s="30">
        <v>105039.0</v>
      </c>
      <c r="AE271" s="30">
        <v>180380.0</v>
      </c>
      <c r="AF271" s="30">
        <v>67826.0</v>
      </c>
      <c r="AG271" s="30">
        <v>82151.0</v>
      </c>
      <c r="AH271" s="30">
        <v>125891.0</v>
      </c>
      <c r="AI271" s="30">
        <v>174881.0</v>
      </c>
      <c r="AJ271" s="30">
        <v>179772.0</v>
      </c>
      <c r="AK271" s="30">
        <v>182138.0</v>
      </c>
      <c r="AL271" s="30">
        <v>232537.0</v>
      </c>
    </row>
    <row r="272" ht="14.25" customHeight="1">
      <c r="B272" s="171" t="s">
        <v>455</v>
      </c>
      <c r="J272" s="30">
        <v>2367.0</v>
      </c>
      <c r="K272" s="30">
        <v>4754.0</v>
      </c>
      <c r="L272" s="30">
        <v>5101.0</v>
      </c>
      <c r="M272" s="30">
        <v>3400.0</v>
      </c>
      <c r="N272" s="30">
        <v>4641.0</v>
      </c>
      <c r="O272" s="30">
        <v>12260.0</v>
      </c>
      <c r="P272" s="30">
        <v>13296.0</v>
      </c>
      <c r="Q272" s="30">
        <v>34157.0</v>
      </c>
      <c r="R272" s="30">
        <v>7730.0</v>
      </c>
      <c r="S272" s="30">
        <v>27646.0</v>
      </c>
      <c r="T272" s="30">
        <v>47445.0</v>
      </c>
      <c r="U272" s="30">
        <v>52035.0</v>
      </c>
      <c r="V272" s="30">
        <v>43367.0</v>
      </c>
      <c r="W272" s="30">
        <v>50134.0</v>
      </c>
      <c r="X272" s="30">
        <v>50628.0</v>
      </c>
      <c r="Y272" s="30">
        <v>66038.0</v>
      </c>
      <c r="Z272" s="30">
        <v>53723.0</v>
      </c>
      <c r="AA272" s="30">
        <v>44656.0</v>
      </c>
      <c r="AB272" s="30">
        <v>91538.0</v>
      </c>
      <c r="AC272" s="30">
        <v>105039.0</v>
      </c>
      <c r="AD272" s="30">
        <v>180380.0</v>
      </c>
      <c r="AE272" s="30">
        <v>67826.0</v>
      </c>
      <c r="AF272" s="30">
        <v>82151.0</v>
      </c>
      <c r="AG272" s="30">
        <v>125891.0</v>
      </c>
      <c r="AH272" s="30">
        <v>174881.0</v>
      </c>
      <c r="AI272" s="30">
        <v>179772.0</v>
      </c>
      <c r="AJ272" s="30">
        <v>182138.0</v>
      </c>
      <c r="AK272" s="30">
        <v>232537.0</v>
      </c>
      <c r="AL272" s="30">
        <v>349281.0</v>
      </c>
    </row>
    <row r="273" ht="14.25" customHeight="1">
      <c r="B273" s="174"/>
    </row>
    <row r="274" ht="14.25" customHeight="1">
      <c r="B274" s="175" t="s">
        <v>351</v>
      </c>
      <c r="J274" s="30">
        <v>0.0</v>
      </c>
      <c r="K274" s="30">
        <v>0.0</v>
      </c>
      <c r="L274" s="30">
        <v>-0.33831000000100175</v>
      </c>
      <c r="M274" s="30">
        <v>0.33831000000100175</v>
      </c>
      <c r="N274" s="30">
        <v>0.29017000000021653</v>
      </c>
      <c r="O274" s="30">
        <v>0.0</v>
      </c>
      <c r="P274" s="30">
        <v>0.44858599999861326</v>
      </c>
      <c r="Q274" s="30">
        <v>0.2612440000011702</v>
      </c>
      <c r="R274" s="30">
        <v>0.0</v>
      </c>
      <c r="S274" s="30">
        <v>0.0</v>
      </c>
      <c r="T274" s="30">
        <v>0.0</v>
      </c>
      <c r="U274" s="30">
        <v>0.0</v>
      </c>
      <c r="V274" s="30">
        <v>0.0</v>
      </c>
      <c r="W274" s="30">
        <v>0.10199999999895226</v>
      </c>
      <c r="X274" s="30">
        <v>-0.4427800000012212</v>
      </c>
      <c r="Y274" s="30">
        <v>-0.4016699999992852</v>
      </c>
      <c r="Z274" s="30">
        <v>0.35472999999910826</v>
      </c>
      <c r="AA274" s="30">
        <v>0.0</v>
      </c>
      <c r="AB274" s="30">
        <v>0.0</v>
      </c>
      <c r="AC274" s="30">
        <v>-0.4730100000015227</v>
      </c>
      <c r="AD274" s="30">
        <v>-0.16307000000961125</v>
      </c>
      <c r="AE274" s="30">
        <v>0.0</v>
      </c>
      <c r="AF274" s="30">
        <v>0.0</v>
      </c>
      <c r="AG274" s="30">
        <v>0.1630700000023353</v>
      </c>
      <c r="AH274" s="30">
        <v>0.0</v>
      </c>
      <c r="AI274" s="30">
        <v>0.0</v>
      </c>
      <c r="AJ274" s="30">
        <v>0.0</v>
      </c>
    </row>
    <row r="275" ht="14.25" customHeight="1">
      <c r="J275" s="30">
        <v>0.0</v>
      </c>
      <c r="K275" s="30">
        <v>0.0</v>
      </c>
      <c r="L275" s="30">
        <v>0.0</v>
      </c>
      <c r="M275" s="30">
        <v>0.0</v>
      </c>
      <c r="N275" s="30">
        <v>0.0</v>
      </c>
      <c r="O275" s="30">
        <v>0.0</v>
      </c>
      <c r="P275" s="30">
        <v>0.0</v>
      </c>
      <c r="Q275" s="30">
        <v>0.0</v>
      </c>
      <c r="R275" s="30">
        <v>0.0</v>
      </c>
      <c r="S275" s="30">
        <v>0.0</v>
      </c>
      <c r="T275" s="30">
        <v>0.0</v>
      </c>
      <c r="U275" s="30">
        <v>0.0</v>
      </c>
      <c r="V275" s="30">
        <v>0.0</v>
      </c>
      <c r="W275" s="30">
        <v>0.0</v>
      </c>
      <c r="X275" s="30">
        <v>0.0</v>
      </c>
      <c r="Y275" s="30">
        <v>0.0</v>
      </c>
      <c r="Z275" s="30">
        <v>0.0</v>
      </c>
      <c r="AA275" s="30">
        <v>0.0</v>
      </c>
      <c r="AB275" s="30">
        <v>0.0</v>
      </c>
      <c r="AC275" s="30">
        <v>0.0</v>
      </c>
      <c r="AD275" s="30">
        <v>0.0</v>
      </c>
      <c r="AE275" s="30">
        <v>0.0</v>
      </c>
      <c r="AF275" s="30">
        <v>0.0</v>
      </c>
      <c r="AG275" s="30">
        <v>0.0</v>
      </c>
      <c r="AH275" s="30">
        <v>0.0</v>
      </c>
      <c r="AI275" s="30">
        <v>0.0</v>
      </c>
    </row>
    <row r="276" ht="14.25" customHeight="1">
      <c r="B276" s="165" t="s">
        <v>456</v>
      </c>
      <c r="J276" s="30">
        <v>0.0</v>
      </c>
      <c r="K276" s="30">
        <v>0.0</v>
      </c>
      <c r="L276" s="30">
        <v>0.0</v>
      </c>
      <c r="M276" s="30">
        <v>0.0</v>
      </c>
      <c r="N276" s="30">
        <v>0.0</v>
      </c>
      <c r="O276" s="30">
        <v>0.0</v>
      </c>
      <c r="P276" s="30">
        <v>0.0</v>
      </c>
      <c r="Q276" s="30">
        <v>0.0</v>
      </c>
      <c r="R276" s="30">
        <v>0.0</v>
      </c>
      <c r="S276" s="30">
        <v>0.0</v>
      </c>
      <c r="T276" s="30">
        <v>0.0</v>
      </c>
      <c r="U276" s="30">
        <v>0.0</v>
      </c>
      <c r="V276" s="30">
        <v>0.0</v>
      </c>
      <c r="W276" s="30">
        <v>0.0</v>
      </c>
      <c r="X276" s="30">
        <v>0.0</v>
      </c>
      <c r="Y276" s="30">
        <v>0.0</v>
      </c>
      <c r="Z276" s="30">
        <v>0.0</v>
      </c>
      <c r="AA276" s="30">
        <v>0.0</v>
      </c>
      <c r="AB276" s="30">
        <v>0.0</v>
      </c>
      <c r="AC276" s="30">
        <v>0.0</v>
      </c>
      <c r="AD276" s="30">
        <v>0.0</v>
      </c>
      <c r="AE276" s="30">
        <v>0.0</v>
      </c>
      <c r="AF276" s="30">
        <v>0.0</v>
      </c>
      <c r="AG276" s="30">
        <v>0.0</v>
      </c>
      <c r="AH276" s="30">
        <v>0.0</v>
      </c>
      <c r="AI276" s="30">
        <v>0.0</v>
      </c>
    </row>
    <row r="277" ht="14.25" customHeight="1"/>
    <row r="278" ht="14.25" customHeight="1">
      <c r="B278" s="173" t="s">
        <v>457</v>
      </c>
      <c r="F278" s="176">
        <v>2023.0</v>
      </c>
      <c r="G278" s="176">
        <v>2046.0</v>
      </c>
      <c r="H278" s="176">
        <v>2758.0</v>
      </c>
      <c r="I278" s="176">
        <v>2598.0</v>
      </c>
      <c r="J278" s="176">
        <v>3202.0</v>
      </c>
      <c r="K278" s="176">
        <v>3316.0</v>
      </c>
      <c r="L278" s="176">
        <v>3177.0</v>
      </c>
      <c r="M278" s="176">
        <v>3111.0</v>
      </c>
      <c r="N278" s="176">
        <v>3408.0</v>
      </c>
      <c r="O278" s="176">
        <v>2975.0</v>
      </c>
      <c r="P278" s="176">
        <v>2907.0</v>
      </c>
      <c r="Q278" s="176">
        <v>2676.0</v>
      </c>
      <c r="R278" s="176">
        <v>2645.0</v>
      </c>
      <c r="S278" s="176">
        <v>1676.0</v>
      </c>
      <c r="T278" s="176">
        <v>1931.0</v>
      </c>
      <c r="U278" s="176">
        <v>2199.0</v>
      </c>
      <c r="V278" s="176">
        <v>2508.0</v>
      </c>
      <c r="W278" s="176">
        <v>3069.0</v>
      </c>
      <c r="X278" s="176">
        <v>3275.0</v>
      </c>
      <c r="Y278" s="176">
        <v>3200.0</v>
      </c>
      <c r="Z278" s="176">
        <v>3958.0</v>
      </c>
      <c r="AA278" s="176">
        <v>4415.0</v>
      </c>
      <c r="AB278" s="176">
        <v>5063.0</v>
      </c>
      <c r="AC278" s="176">
        <v>5256.0</v>
      </c>
      <c r="AD278" s="176">
        <v>5938.0</v>
      </c>
      <c r="AE278" s="176">
        <v>5791.0</v>
      </c>
      <c r="AF278" s="176">
        <v>5759.0</v>
      </c>
      <c r="AG278" s="176">
        <v>5350.0</v>
      </c>
      <c r="AH278" s="176">
        <v>4414.0</v>
      </c>
      <c r="AI278" s="176">
        <v>4796.0</v>
      </c>
      <c r="AJ278" s="176">
        <v>7672.0</v>
      </c>
      <c r="AK278" s="176">
        <v>6994.0</v>
      </c>
      <c r="AL278" s="30">
        <v>6967.0</v>
      </c>
    </row>
    <row r="279" ht="14.25" customHeight="1">
      <c r="B279" s="173" t="s">
        <v>458</v>
      </c>
      <c r="F279" s="176">
        <v>2023.0</v>
      </c>
      <c r="G279" s="176">
        <v>2034.5</v>
      </c>
      <c r="H279" s="176">
        <v>2402.0</v>
      </c>
      <c r="I279" s="176">
        <v>2678.0</v>
      </c>
      <c r="J279" s="176">
        <v>2900.0</v>
      </c>
      <c r="K279" s="176">
        <v>3259.0</v>
      </c>
      <c r="L279" s="176">
        <v>3246.5</v>
      </c>
      <c r="M279" s="176">
        <v>3144.0</v>
      </c>
      <c r="N279" s="176">
        <v>3259.5</v>
      </c>
      <c r="O279" s="176">
        <v>3191.5</v>
      </c>
      <c r="P279" s="176">
        <v>2941.0</v>
      </c>
      <c r="Q279" s="176">
        <v>2791.5</v>
      </c>
      <c r="R279" s="176">
        <v>2607.6666666666665</v>
      </c>
      <c r="S279" s="176">
        <v>1710.0</v>
      </c>
      <c r="T279" s="176">
        <v>1723.6666666666667</v>
      </c>
      <c r="U279" s="176">
        <v>2135.0</v>
      </c>
      <c r="V279" s="176">
        <v>2490.0</v>
      </c>
      <c r="W279" s="176">
        <v>2968.6666666666665</v>
      </c>
      <c r="X279" s="176">
        <v>3186.0</v>
      </c>
      <c r="Y279" s="176">
        <v>3204.0</v>
      </c>
      <c r="Z279" s="176">
        <v>3558.3333333333335</v>
      </c>
      <c r="AA279" s="176">
        <v>4103.333333333333</v>
      </c>
      <c r="AB279" s="176">
        <v>4900.666666666667</v>
      </c>
      <c r="AC279" s="176">
        <v>5222.0</v>
      </c>
      <c r="AD279" s="176">
        <v>5745.666666666667</v>
      </c>
      <c r="AE279" s="176">
        <v>5776.666666666667</v>
      </c>
      <c r="AF279" s="176">
        <v>5832.333333333333</v>
      </c>
      <c r="AG279" s="176">
        <v>5567.333333333333</v>
      </c>
      <c r="AH279" s="176">
        <v>4281.333333333333</v>
      </c>
      <c r="AI279" s="176">
        <v>4632.666666666667</v>
      </c>
      <c r="AJ279" s="176">
        <v>7276.0</v>
      </c>
      <c r="AK279" s="176">
        <v>7302.0</v>
      </c>
      <c r="AL279" s="30">
        <v>6927.0</v>
      </c>
    </row>
    <row r="280" ht="14.25" customHeight="1">
      <c r="B280" s="173" t="s">
        <v>459</v>
      </c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6">
        <v>3995.5</v>
      </c>
      <c r="AB280" s="176">
        <v>4345.5</v>
      </c>
      <c r="AC280" s="176">
        <v>4907.0</v>
      </c>
      <c r="AD280" s="177"/>
      <c r="AE280" s="177"/>
      <c r="AF280" s="177"/>
      <c r="AG280" s="177"/>
      <c r="AH280" s="177"/>
      <c r="AI280" s="177"/>
      <c r="AJ280" s="177"/>
      <c r="AK280" s="177"/>
    </row>
    <row r="281" ht="14.25" customHeight="1">
      <c r="B281" s="173" t="s">
        <v>460</v>
      </c>
      <c r="F281" s="176">
        <v>8616.246498599441</v>
      </c>
      <c r="G281" s="176">
        <v>8851.6425002048</v>
      </c>
      <c r="H281" s="176">
        <v>8520.538440188731</v>
      </c>
      <c r="I281" s="176">
        <v>8561.737615135673</v>
      </c>
      <c r="J281" s="176">
        <v>8746.666666666666</v>
      </c>
      <c r="K281" s="176">
        <v>8624.936074460467</v>
      </c>
      <c r="L281" s="176">
        <v>8202.063760973357</v>
      </c>
      <c r="M281" s="176">
        <v>9216.603053435116</v>
      </c>
      <c r="N281" s="176">
        <v>8475.737587564556</v>
      </c>
      <c r="O281" s="176">
        <v>9656.483367277666</v>
      </c>
      <c r="P281" s="176">
        <v>9677.887339907062</v>
      </c>
      <c r="Q281" s="176">
        <v>10494.716102453878</v>
      </c>
      <c r="R281" s="176">
        <v>9091.397162213985</v>
      </c>
      <c r="S281" s="176">
        <v>9392.982456140351</v>
      </c>
      <c r="T281" s="176">
        <v>10602.784761168052</v>
      </c>
      <c r="U281" s="176">
        <v>10628.883684621389</v>
      </c>
      <c r="V281" s="176">
        <v>10500.803212851406</v>
      </c>
      <c r="W281" s="176">
        <v>12522.34448686279</v>
      </c>
      <c r="X281" s="176">
        <v>12929.797028667084</v>
      </c>
      <c r="Y281" s="176">
        <v>12442.051602163963</v>
      </c>
      <c r="Z281" s="176">
        <v>12111.288056206087</v>
      </c>
      <c r="AA281" s="176">
        <v>14942.485783915517</v>
      </c>
      <c r="AB281" s="176">
        <v>17306.42089511631</v>
      </c>
      <c r="AC281" s="176">
        <v>15691.625175539384</v>
      </c>
      <c r="AD281" s="176">
        <v>13996.751174798397</v>
      </c>
      <c r="AE281" s="176">
        <v>14652.914021927292</v>
      </c>
      <c r="AF281" s="176">
        <v>15371.606561124765</v>
      </c>
      <c r="AG281" s="176">
        <v>16899.59286313016</v>
      </c>
      <c r="AH281" s="176">
        <v>16850.747430706946</v>
      </c>
      <c r="AI281" s="176">
        <v>14769.031515325943</v>
      </c>
      <c r="AJ281" s="176">
        <v>17989.554700384826</v>
      </c>
      <c r="AK281" s="176">
        <v>19158.814936547064</v>
      </c>
      <c r="AL281" s="30">
        <v>17749.145854386217</v>
      </c>
    </row>
    <row r="282" ht="14.25" customHeight="1">
      <c r="B282" s="173" t="s">
        <v>461</v>
      </c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6">
        <v>14227.36025695574</v>
      </c>
      <c r="AB282" s="176">
        <v>14672.510472903003</v>
      </c>
      <c r="AC282" s="176">
        <v>14922.966221677276</v>
      </c>
      <c r="AD282" s="177"/>
      <c r="AE282" s="177"/>
      <c r="AF282" s="177"/>
      <c r="AG282" s="177"/>
      <c r="AH282" s="177"/>
      <c r="AI282" s="177"/>
      <c r="AJ282" s="177"/>
      <c r="AK282" s="177"/>
    </row>
    <row r="283" ht="14.25" customHeight="1">
      <c r="B283" s="173" t="s">
        <v>462</v>
      </c>
      <c r="F283" s="176">
        <v>-6506.178942165102</v>
      </c>
      <c r="G283" s="176">
        <v>-7297.943802736135</v>
      </c>
      <c r="H283" s="176">
        <v>-7943.796835970024</v>
      </c>
      <c r="I283" s="176">
        <v>-7695.668409260643</v>
      </c>
      <c r="J283" s="176">
        <v>-7531.149425287355</v>
      </c>
      <c r="K283" s="176">
        <v>-7908.254065664314</v>
      </c>
      <c r="L283" s="176">
        <v>-7284.562862569946</v>
      </c>
      <c r="M283" s="176">
        <v>-7254.6649703138255</v>
      </c>
      <c r="N283" s="176">
        <v>-7398.885309607813</v>
      </c>
      <c r="O283" s="176">
        <v>-8331.401117551832</v>
      </c>
      <c r="P283" s="176">
        <v>-8460.387623257395</v>
      </c>
      <c r="Q283" s="176">
        <v>-8695.444504149502</v>
      </c>
      <c r="R283" s="176">
        <v>-7887.894669564105</v>
      </c>
      <c r="S283" s="176">
        <v>-10221.247563352828</v>
      </c>
      <c r="T283" s="176">
        <v>-8775.86540321021</v>
      </c>
      <c r="U283" s="176">
        <v>-8671.662763466042</v>
      </c>
      <c r="V283" s="176">
        <v>-8973.22623828648</v>
      </c>
      <c r="W283" s="176">
        <v>-10111.610150460365</v>
      </c>
      <c r="X283" s="176">
        <v>-10715.73550952082</v>
      </c>
      <c r="Y283" s="176">
        <v>-10734.70661672909</v>
      </c>
      <c r="Z283" s="176">
        <v>-9720.37470725995</v>
      </c>
      <c r="AA283" s="176">
        <v>-11741.348497156783</v>
      </c>
      <c r="AB283" s="176">
        <v>-11996.190994422526</v>
      </c>
      <c r="AC283" s="176">
        <v>-12143.686965402783</v>
      </c>
      <c r="AD283" s="176">
        <v>-11119.7424145733</v>
      </c>
      <c r="AE283" s="176">
        <v>-11487.651471436815</v>
      </c>
      <c r="AF283" s="176">
        <v>-12427.55901011602</v>
      </c>
      <c r="AG283" s="176">
        <v>-13330.31972218896</v>
      </c>
      <c r="AH283" s="176">
        <v>-13462.78417938337</v>
      </c>
      <c r="AI283" s="176">
        <v>-11963.663836523241</v>
      </c>
      <c r="AJ283" s="176">
        <v>-13919.048927982407</v>
      </c>
      <c r="AK283" s="176">
        <v>-14491.600474755776</v>
      </c>
      <c r="AL283" s="30">
        <v>-14195.900101053847</v>
      </c>
    </row>
    <row r="284" ht="14.25" customHeight="1">
      <c r="B284" s="173" t="s">
        <v>463</v>
      </c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6">
        <v>-11435.57722658304</v>
      </c>
      <c r="AB284" s="176">
        <v>-11158.762811578947</v>
      </c>
      <c r="AC284" s="176">
        <v>-11644.167495485535</v>
      </c>
      <c r="AD284" s="177"/>
      <c r="AE284" s="177"/>
      <c r="AF284" s="177"/>
      <c r="AG284" s="177"/>
      <c r="AH284" s="177"/>
      <c r="AI284" s="177"/>
      <c r="AJ284" s="177"/>
      <c r="AK284" s="177"/>
    </row>
    <row r="285" ht="14.25" customHeight="1">
      <c r="B285" s="173" t="s">
        <v>464</v>
      </c>
      <c r="F285" s="176">
        <v>2110.0675564343387</v>
      </c>
      <c r="G285" s="176">
        <v>1553.6986974686656</v>
      </c>
      <c r="H285" s="176">
        <v>576.7416042187066</v>
      </c>
      <c r="I285" s="176">
        <v>866.0692058750312</v>
      </c>
      <c r="J285" s="176">
        <v>1215.5172413793102</v>
      </c>
      <c r="K285" s="176">
        <v>716.6820087961542</v>
      </c>
      <c r="L285" s="176">
        <v>917.5008984034088</v>
      </c>
      <c r="M285" s="176">
        <v>1961.938083121289</v>
      </c>
      <c r="N285" s="176">
        <v>1076.8522779567418</v>
      </c>
      <c r="O285" s="176">
        <v>1325.0822497258343</v>
      </c>
      <c r="P285" s="176">
        <v>1217.4997166496655</v>
      </c>
      <c r="Q285" s="176">
        <v>1799.2715983043765</v>
      </c>
      <c r="R285" s="176">
        <v>1203.5024926498788</v>
      </c>
      <c r="S285" s="176">
        <v>-828.2651072124758</v>
      </c>
      <c r="T285" s="176">
        <v>1826.9193579578416</v>
      </c>
      <c r="U285" s="176">
        <v>1957.2209211553472</v>
      </c>
      <c r="V285" s="176">
        <v>1527.5769745649263</v>
      </c>
      <c r="W285" s="176">
        <v>2410.734336402425</v>
      </c>
      <c r="X285" s="176">
        <v>2214.0615191462653</v>
      </c>
      <c r="Y285" s="176">
        <v>1707.344985434873</v>
      </c>
      <c r="Z285" s="176">
        <v>2390.913348946136</v>
      </c>
      <c r="AA285" s="176">
        <v>3201.137286758733</v>
      </c>
      <c r="AB285" s="176">
        <v>5310.229900693783</v>
      </c>
      <c r="AC285" s="176">
        <v>3547.938210136602</v>
      </c>
      <c r="AD285" s="176">
        <v>2877.008760225097</v>
      </c>
      <c r="AE285" s="176">
        <v>3165.2625504904786</v>
      </c>
      <c r="AF285" s="176">
        <v>2944.0475510087444</v>
      </c>
      <c r="AG285" s="176">
        <v>3569.273140941205</v>
      </c>
      <c r="AH285" s="176">
        <v>3387.9632513235756</v>
      </c>
      <c r="AI285" s="176">
        <v>2805.367678802705</v>
      </c>
      <c r="AJ285" s="176">
        <v>4070.505772402419</v>
      </c>
      <c r="AK285" s="176">
        <v>4667.21446179129</v>
      </c>
      <c r="AL285" s="30">
        <v>3553.2457533323714</v>
      </c>
    </row>
    <row r="286" ht="14.25" customHeight="1">
      <c r="B286" s="173" t="s">
        <v>465</v>
      </c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6">
        <v>2791.783030372703</v>
      </c>
      <c r="AB286" s="176">
        <v>3513.747661324054</v>
      </c>
      <c r="AC286" s="176">
        <v>3278.79872619174</v>
      </c>
      <c r="AD286" s="177"/>
      <c r="AE286" s="177"/>
      <c r="AF286" s="177"/>
      <c r="AG286" s="177"/>
      <c r="AH286" s="177"/>
      <c r="AI286" s="177"/>
      <c r="AJ286" s="177"/>
      <c r="AK286" s="177"/>
    </row>
    <row r="287" ht="14.25" customHeight="1">
      <c r="B287" s="173" t="s">
        <v>466</v>
      </c>
      <c r="F287" s="176">
        <v>653.5252750134209</v>
      </c>
      <c r="G287" s="176">
        <v>-148.73834249229054</v>
      </c>
      <c r="H287" s="176">
        <v>-552.4468930892543</v>
      </c>
      <c r="I287" s="176">
        <v>-821.9938815315855</v>
      </c>
      <c r="J287" s="176">
        <v>325.6481573789429</v>
      </c>
      <c r="K287" s="176">
        <v>339.7855266627906</v>
      </c>
      <c r="L287" s="176">
        <v>329.3918437496987</v>
      </c>
      <c r="M287" s="176">
        <v>607.8469963928476</v>
      </c>
      <c r="N287" s="176">
        <v>94.8128088314466</v>
      </c>
      <c r="O287" s="176">
        <v>216.73583184813182</v>
      </c>
      <c r="P287" s="176">
        <v>-83.63076026063098</v>
      </c>
      <c r="Q287" s="176">
        <v>656.2984590693248</v>
      </c>
      <c r="R287" s="176">
        <v>1377.4766713537006</v>
      </c>
      <c r="S287" s="176">
        <v>-2933.138401559454</v>
      </c>
      <c r="T287" s="176">
        <v>-582.8659833687875</v>
      </c>
      <c r="U287" s="176">
        <v>414.2076502732241</v>
      </c>
      <c r="V287" s="176">
        <v>54.08299866131191</v>
      </c>
      <c r="W287" s="176">
        <v>987.5364922524143</v>
      </c>
      <c r="X287" s="176">
        <v>744.4025946850807</v>
      </c>
      <c r="Y287" s="176">
        <v>434.6650020807324</v>
      </c>
      <c r="Z287" s="176">
        <v>988.4777517564403</v>
      </c>
      <c r="AA287" s="176">
        <v>1578.6352558895207</v>
      </c>
      <c r="AB287" s="176">
        <v>3434.498707658822</v>
      </c>
      <c r="AC287" s="176">
        <v>1530.639601685178</v>
      </c>
      <c r="AD287" s="176">
        <v>1395.544468294947</v>
      </c>
      <c r="AE287" s="176">
        <v>1401.6156953260243</v>
      </c>
      <c r="AF287" s="176">
        <v>1178.2591301365949</v>
      </c>
      <c r="AG287" s="176">
        <v>1103.9396479463537</v>
      </c>
      <c r="AH287" s="176">
        <v>1088.9909685456246</v>
      </c>
      <c r="AI287" s="176">
        <v>474.02503957403934</v>
      </c>
      <c r="AJ287" s="176">
        <v>2064.1836173721827</v>
      </c>
      <c r="AK287" s="176">
        <v>2093.0338719985393</v>
      </c>
      <c r="AL287" s="30">
        <v>1041.5764400173234</v>
      </c>
    </row>
    <row r="288" ht="14.25" customHeight="1">
      <c r="B288" s="173" t="s">
        <v>467</v>
      </c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6">
        <v>1106.9586180882065</v>
      </c>
      <c r="AB288" s="176">
        <v>1482.7996891146286</v>
      </c>
      <c r="AC288" s="176">
        <v>1219.0625345716</v>
      </c>
      <c r="AD288" s="177"/>
      <c r="AE288" s="177"/>
      <c r="AF288" s="177"/>
      <c r="AG288" s="177"/>
      <c r="AH288" s="177"/>
      <c r="AI288" s="177"/>
      <c r="AJ288" s="177"/>
      <c r="AK288" s="177"/>
    </row>
    <row r="289" ht="14.25" customHeight="1">
      <c r="B289" s="173" t="s">
        <v>468</v>
      </c>
      <c r="F289" s="177"/>
      <c r="G289" s="177"/>
      <c r="H289" s="177"/>
      <c r="I289" s="176">
        <v>80.45679538015276</v>
      </c>
      <c r="J289" s="176">
        <v>82.75084810549954</v>
      </c>
      <c r="K289" s="176">
        <v>68.49870848509084</v>
      </c>
      <c r="L289" s="176">
        <v>68.33498750812826</v>
      </c>
      <c r="M289" s="176">
        <v>65.05917435467337</v>
      </c>
      <c r="N289" s="176">
        <v>70.66742776850795</v>
      </c>
      <c r="O289" s="176">
        <v>56.88849649742372</v>
      </c>
      <c r="P289" s="176">
        <v>56.63488024896439</v>
      </c>
      <c r="Q289" s="176">
        <v>48.162657036773304</v>
      </c>
      <c r="R289" s="176">
        <v>80.87256740156462</v>
      </c>
      <c r="S289" s="176">
        <v>83.59409859661748</v>
      </c>
      <c r="T289" s="176">
        <v>79.93865030674847</v>
      </c>
      <c r="U289" s="176">
        <v>76.43347604814606</v>
      </c>
      <c r="V289" s="176">
        <v>83.45272407732864</v>
      </c>
      <c r="W289" s="176">
        <v>76.72724121710282</v>
      </c>
      <c r="X289" s="176">
        <v>70.336609100776</v>
      </c>
      <c r="Y289" s="176">
        <v>74.85648879672749</v>
      </c>
      <c r="Z289" s="176">
        <v>77.7889447236181</v>
      </c>
      <c r="AA289" s="176">
        <v>71.31696528639101</v>
      </c>
      <c r="AB289" s="176">
        <v>66.79078803138668</v>
      </c>
      <c r="AC289" s="176">
        <v>69.2886450238531</v>
      </c>
      <c r="AD289" s="176">
        <v>78.086491254071</v>
      </c>
      <c r="AE289" s="176">
        <v>89.0791991065318</v>
      </c>
      <c r="AF289" s="176">
        <v>71.38090142255668</v>
      </c>
      <c r="AG289" s="176">
        <v>80.33000923696797</v>
      </c>
      <c r="AH289" s="176">
        <v>90.36714035102445</v>
      </c>
      <c r="AI289" s="176">
        <v>89.0</v>
      </c>
      <c r="AJ289" s="176">
        <v>74.0805305542397</v>
      </c>
      <c r="AK289" s="176">
        <v>62.783458866862965</v>
      </c>
      <c r="AL289" s="30">
        <v>84.87448957446269</v>
      </c>
    </row>
    <row r="290" ht="14.25" customHeight="1">
      <c r="B290" s="173" t="s">
        <v>469</v>
      </c>
      <c r="F290" s="177"/>
      <c r="G290" s="177"/>
      <c r="H290" s="177"/>
      <c r="I290" s="176">
        <v>37.29382334938926</v>
      </c>
      <c r="J290" s="176">
        <v>40.980338286587994</v>
      </c>
      <c r="K290" s="176">
        <v>44.964496849568235</v>
      </c>
      <c r="L290" s="176">
        <v>45.99952085971457</v>
      </c>
      <c r="M290" s="176">
        <v>38.7950796757059</v>
      </c>
      <c r="N290" s="176">
        <v>46.17864670237991</v>
      </c>
      <c r="O290" s="176">
        <v>43.937069414693454</v>
      </c>
      <c r="P290" s="176">
        <v>45.153289736526695</v>
      </c>
      <c r="Q290" s="176">
        <v>31.925944763745484</v>
      </c>
      <c r="R290" s="176">
        <v>35.31570440292235</v>
      </c>
      <c r="S290" s="176">
        <v>46.04120187117668</v>
      </c>
      <c r="T290" s="176">
        <v>42.256792287467135</v>
      </c>
      <c r="U290" s="176">
        <v>35.45035947976412</v>
      </c>
      <c r="V290" s="176">
        <v>37.22425307557118</v>
      </c>
      <c r="W290" s="176">
        <v>33.98776955262311</v>
      </c>
      <c r="X290" s="176">
        <v>36.45811029319472</v>
      </c>
      <c r="Y290" s="176">
        <v>34.55708655592923</v>
      </c>
      <c r="Z290" s="176">
        <v>37.59947626088188</v>
      </c>
      <c r="AA290" s="176">
        <v>36.76713636635335</v>
      </c>
      <c r="AB290" s="176">
        <v>32.84108053092543</v>
      </c>
      <c r="AC290" s="176">
        <v>37.19396023508055</v>
      </c>
      <c r="AD290" s="176">
        <v>39.01193147193322</v>
      </c>
      <c r="AE290" s="176">
        <v>38.21790808739515</v>
      </c>
      <c r="AF290" s="176">
        <v>38.811091534390826</v>
      </c>
      <c r="AG290" s="176">
        <v>33.99993011870541</v>
      </c>
      <c r="AH290" s="176">
        <v>36.362003407841385</v>
      </c>
      <c r="AI290" s="176">
        <v>39.0</v>
      </c>
      <c r="AJ290" s="176">
        <v>37.28130235352567</v>
      </c>
      <c r="AK290" s="176">
        <v>28.589164860922544</v>
      </c>
      <c r="AL290" s="30">
        <v>33.319888903688046</v>
      </c>
    </row>
    <row r="291" ht="14.25" customHeight="1">
      <c r="B291" s="173" t="s">
        <v>470</v>
      </c>
      <c r="F291" s="177"/>
      <c r="G291" s="177"/>
      <c r="H291" s="177"/>
      <c r="I291" s="176">
        <v>43.1629720307635</v>
      </c>
      <c r="J291" s="176">
        <v>41.77050981891155</v>
      </c>
      <c r="K291" s="176">
        <v>23.53421163552261</v>
      </c>
      <c r="L291" s="176">
        <v>22.335466648413693</v>
      </c>
      <c r="M291" s="176">
        <v>26.264094678967474</v>
      </c>
      <c r="N291" s="176">
        <v>24.48878106612804</v>
      </c>
      <c r="O291" s="176">
        <v>12.95142708273027</v>
      </c>
      <c r="P291" s="176">
        <v>11.481590512437698</v>
      </c>
      <c r="Q291" s="176">
        <v>16.23671227302782</v>
      </c>
      <c r="R291" s="176">
        <v>45.55686299864227</v>
      </c>
      <c r="S291" s="176">
        <v>37.5528967254408</v>
      </c>
      <c r="T291" s="176">
        <v>37.681858019281336</v>
      </c>
      <c r="U291" s="176">
        <v>40.983116568381945</v>
      </c>
      <c r="V291" s="176">
        <v>46.22847100175746</v>
      </c>
      <c r="W291" s="176">
        <v>42.73947166447971</v>
      </c>
      <c r="X291" s="176">
        <v>33.87849880758128</v>
      </c>
      <c r="Y291" s="176">
        <v>40.29940224079826</v>
      </c>
      <c r="Z291" s="176">
        <v>40.18946846273622</v>
      </c>
      <c r="AA291" s="176">
        <v>34.54982892003766</v>
      </c>
      <c r="AB291" s="176">
        <v>33.94970750046125</v>
      </c>
      <c r="AC291" s="176">
        <v>32.094684788772554</v>
      </c>
      <c r="AD291" s="176">
        <v>39.07455978213779</v>
      </c>
      <c r="AE291" s="176">
        <v>50.86129101913665</v>
      </c>
      <c r="AF291" s="176">
        <v>32.56980988816585</v>
      </c>
      <c r="AG291" s="176">
        <v>46.33007911826256</v>
      </c>
      <c r="AH291" s="176">
        <v>54.00513694318306</v>
      </c>
      <c r="AI291" s="176">
        <v>49.0</v>
      </c>
      <c r="AJ291" s="176">
        <v>36.79922820071403</v>
      </c>
      <c r="AK291" s="176">
        <v>34.19429400594042</v>
      </c>
      <c r="AL291" s="30">
        <v>51.55460067077464</v>
      </c>
    </row>
    <row r="292" ht="14.25" customHeight="1"/>
    <row r="293" ht="14.25" customHeight="1">
      <c r="B293" s="173" t="s">
        <v>471</v>
      </c>
    </row>
    <row r="294" ht="14.25" customHeight="1"/>
    <row r="295" ht="14.25" customHeight="1">
      <c r="B295" s="178" t="s">
        <v>472</v>
      </c>
    </row>
    <row r="296" ht="14.25" customHeight="1">
      <c r="B296" s="173" t="s">
        <v>473</v>
      </c>
      <c r="AA296" s="176">
        <v>186081.53062</v>
      </c>
      <c r="AB296" s="176">
        <v>207281.44968000002</v>
      </c>
      <c r="AC296" s="176">
        <v>238012.44088</v>
      </c>
      <c r="AD296" s="176">
        <v>261543.0617</v>
      </c>
      <c r="AE296" s="176">
        <v>274604.512</v>
      </c>
      <c r="AF296" s="176">
        <v>293420.503</v>
      </c>
      <c r="AG296" s="176">
        <v>310040.049</v>
      </c>
      <c r="AH296" s="176">
        <v>238274.0</v>
      </c>
      <c r="AI296" s="176">
        <v>227092.0</v>
      </c>
      <c r="AJ296" s="176">
        <v>432755.0</v>
      </c>
      <c r="AK296" s="176">
        <v>458050.1061749948</v>
      </c>
      <c r="AL296" s="176">
        <v>403202.4247989906</v>
      </c>
    </row>
    <row r="297" ht="14.25" customHeight="1">
      <c r="B297" s="173" t="s">
        <v>474</v>
      </c>
      <c r="AA297" s="176">
        <v>170536.25371999998</v>
      </c>
      <c r="AB297" s="176">
        <v>191278.18278</v>
      </c>
      <c r="AC297" s="176">
        <v>219680.9857493112</v>
      </c>
      <c r="AD297" s="176">
        <v>241262.0</v>
      </c>
      <c r="AE297" s="176">
        <v>253934.0</v>
      </c>
      <c r="AF297" s="176">
        <v>268957.0</v>
      </c>
      <c r="AG297" s="176">
        <v>282257.0</v>
      </c>
      <c r="AH297" s="176">
        <v>216431.0</v>
      </c>
      <c r="AI297" s="176">
        <v>205260.0</v>
      </c>
      <c r="AJ297" s="176">
        <v>392676.0</v>
      </c>
      <c r="AK297" s="176">
        <v>419693.0</v>
      </c>
      <c r="AL297" s="176">
        <v>368845.0</v>
      </c>
    </row>
    <row r="298" ht="14.25" customHeight="1">
      <c r="B298" s="173" t="s">
        <v>475</v>
      </c>
      <c r="AA298" s="176">
        <v>-137072.54642643762</v>
      </c>
      <c r="AB298" s="176">
        <v>-145471.21139314896</v>
      </c>
      <c r="AC298" s="176">
        <v>-171413.78970104255</v>
      </c>
      <c r="AD298" s="176">
        <v>-191671.0</v>
      </c>
      <c r="AE298" s="176">
        <v>-199081.0</v>
      </c>
      <c r="AF298" s="176">
        <v>-217445.0</v>
      </c>
      <c r="AG298" s="176">
        <v>-222643.0</v>
      </c>
      <c r="AH298" s="176">
        <v>-172916.0</v>
      </c>
      <c r="AI298" s="176">
        <v>-166271.0</v>
      </c>
      <c r="AJ298" s="176">
        <v>-303825.0</v>
      </c>
      <c r="AK298" s="176">
        <v>-317453.0</v>
      </c>
      <c r="AL298" s="176">
        <v>-295005.0</v>
      </c>
    </row>
    <row r="299" ht="14.25" customHeight="1">
      <c r="B299" s="173" t="s">
        <v>476</v>
      </c>
      <c r="AA299" s="176">
        <v>33463.7072935624</v>
      </c>
      <c r="AB299" s="176">
        <v>45806.97138685103</v>
      </c>
      <c r="AC299" s="176">
        <v>48267.19604826861</v>
      </c>
      <c r="AD299" s="176">
        <v>49591.0</v>
      </c>
      <c r="AE299" s="176">
        <v>54853.0</v>
      </c>
      <c r="AF299" s="176">
        <v>51512.0</v>
      </c>
      <c r="AG299" s="176">
        <v>59614.0</v>
      </c>
      <c r="AH299" s="176">
        <v>43515.0</v>
      </c>
      <c r="AI299" s="176">
        <v>38989.0</v>
      </c>
      <c r="AJ299" s="176">
        <v>88851.0</v>
      </c>
      <c r="AK299" s="176">
        <v>102240.0</v>
      </c>
      <c r="AL299" s="176">
        <v>73840.0</v>
      </c>
    </row>
    <row r="300" ht="14.25" customHeight="1">
      <c r="B300" s="173" t="s">
        <v>477</v>
      </c>
      <c r="AA300" s="179">
        <v>0.1962263540074346</v>
      </c>
      <c r="AB300" s="179">
        <v>0.2394782861333237</v>
      </c>
      <c r="AC300" s="179">
        <v>0.2197149465787116</v>
      </c>
      <c r="AD300" s="179">
        <v>0.20554832505740647</v>
      </c>
      <c r="AE300" s="179">
        <v>0.2160128222293982</v>
      </c>
      <c r="AF300" s="179">
        <v>0.19152503931855278</v>
      </c>
      <c r="AG300" s="179">
        <v>0.2112046822576588</v>
      </c>
      <c r="AH300" s="179">
        <v>0.20105714985376402</v>
      </c>
      <c r="AI300" s="179">
        <v>0.18994933255383417</v>
      </c>
      <c r="AJ300" s="179">
        <v>0.22627051309476515</v>
      </c>
      <c r="AK300" s="179">
        <v>0.24360663627937565</v>
      </c>
      <c r="AL300" s="179">
        <v>0.20019249278152068</v>
      </c>
    </row>
    <row r="301" ht="14.25" customHeight="1">
      <c r="B301" s="173" t="s">
        <v>478</v>
      </c>
      <c r="AA301" s="176">
        <v>13268.559475714288</v>
      </c>
      <c r="AB301" s="176">
        <v>19330.518147142855</v>
      </c>
      <c r="AC301" s="176">
        <v>17945.81957142857</v>
      </c>
      <c r="AD301" s="176">
        <v>24055.0</v>
      </c>
      <c r="AE301" s="176">
        <v>24289.0</v>
      </c>
      <c r="AF301" s="176">
        <v>20616.0</v>
      </c>
      <c r="AG301" s="176">
        <v>18438.0</v>
      </c>
      <c r="AH301" s="176">
        <v>13987.0</v>
      </c>
      <c r="AI301" s="176">
        <v>6588.0</v>
      </c>
      <c r="AJ301" s="176">
        <v>45057.0</v>
      </c>
      <c r="AK301" s="176">
        <v>45850.0</v>
      </c>
      <c r="AL301" s="176">
        <v>21645.0</v>
      </c>
    </row>
    <row r="302" ht="14.25" customHeight="1">
      <c r="B302" s="173" t="s">
        <v>479</v>
      </c>
      <c r="AA302" s="176">
        <v>5354.245759756461</v>
      </c>
      <c r="AB302" s="176">
        <v>7666.068008447629</v>
      </c>
      <c r="AC302" s="176">
        <v>6941.085400381225</v>
      </c>
      <c r="AD302" s="176">
        <v>8865.0</v>
      </c>
      <c r="AE302" s="176">
        <v>8950.0</v>
      </c>
      <c r="AF302" s="176">
        <v>2339.0</v>
      </c>
      <c r="AG302" s="176">
        <v>4926.0</v>
      </c>
      <c r="AH302" s="176">
        <v>2835.0</v>
      </c>
      <c r="AI302" s="176">
        <v>-2696.0</v>
      </c>
      <c r="AJ302" s="176">
        <v>20767.0</v>
      </c>
      <c r="AK302" s="176">
        <v>21349.0</v>
      </c>
      <c r="AL302" s="176">
        <v>4017.0</v>
      </c>
    </row>
    <row r="303" ht="14.25" customHeight="1">
      <c r="B303" s="173" t="s">
        <v>480</v>
      </c>
      <c r="AA303" s="179">
        <v>0.0313965250377054</v>
      </c>
      <c r="AB303" s="179">
        <v>0.040078109782467</v>
      </c>
      <c r="AC303" s="179">
        <v>0.03159620472707656</v>
      </c>
      <c r="AD303" s="179">
        <v>0.03674428629456773</v>
      </c>
      <c r="AE303" s="179">
        <v>0.03524537872045492</v>
      </c>
      <c r="AF303" s="179">
        <v>0.008696557442267723</v>
      </c>
      <c r="AG303" s="179">
        <v>0.017452180105364968</v>
      </c>
      <c r="AH303" s="179">
        <v>0.013098862917049776</v>
      </c>
      <c r="AI303" s="179">
        <v>-0.01313456104452889</v>
      </c>
      <c r="AJ303" s="179">
        <v>0.05288583972537155</v>
      </c>
      <c r="AK303" s="179">
        <v>0.05086813456502729</v>
      </c>
      <c r="AL303" s="179">
        <v>0.010890753568572165</v>
      </c>
    </row>
    <row r="304" ht="14.25" customHeight="1">
      <c r="B304" s="173" t="s">
        <v>481</v>
      </c>
      <c r="AA304" s="176">
        <v>19710.390285714286</v>
      </c>
      <c r="AB304" s="176">
        <v>26273.891857142855</v>
      </c>
      <c r="AC304" s="176">
        <v>24912.10957142857</v>
      </c>
      <c r="AD304" s="176">
        <v>32780.83693</v>
      </c>
      <c r="AE304" s="176">
        <v>33643.09883000001</v>
      </c>
      <c r="AF304" s="176">
        <v>29615.0</v>
      </c>
      <c r="AG304" s="176">
        <v>30420.0</v>
      </c>
      <c r="AH304" s="176">
        <v>24805.0</v>
      </c>
      <c r="AI304" s="176">
        <v>17692.0</v>
      </c>
      <c r="AJ304" s="176">
        <v>58135.0</v>
      </c>
      <c r="AK304" s="176">
        <v>59986.332511764704</v>
      </c>
      <c r="AL304" s="176">
        <v>40109.0</v>
      </c>
    </row>
    <row r="305" ht="14.25" customHeight="1">
      <c r="B305" s="173" t="s">
        <v>482</v>
      </c>
      <c r="AA305" s="179">
        <v>0.11557888634094411</v>
      </c>
      <c r="AB305" s="179">
        <v>0.13735958526625047</v>
      </c>
      <c r="AC305" s="179">
        <v>0.11340130092031273</v>
      </c>
      <c r="AD305" s="179">
        <v>0.13587235839046347</v>
      </c>
      <c r="AE305" s="179">
        <v>0.13248757090425076</v>
      </c>
      <c r="AF305" s="179">
        <v>0.11011053811575829</v>
      </c>
      <c r="AG305" s="179">
        <v>0.10777412074811253</v>
      </c>
      <c r="AH305" s="179">
        <v>0.11460927501143552</v>
      </c>
      <c r="AI305" s="179">
        <v>0.08619312091980902</v>
      </c>
      <c r="AJ305" s="179">
        <v>0.1480482637085027</v>
      </c>
      <c r="AK305" s="179">
        <v>0.1429290755665801</v>
      </c>
      <c r="AL305" s="179">
        <v>0.10874215456357006</v>
      </c>
    </row>
    <row r="306" ht="14.25" customHeight="1">
      <c r="B306" s="173" t="s">
        <v>483</v>
      </c>
      <c r="AA306" s="179">
        <v>0.113</v>
      </c>
      <c r="AB306" s="179">
        <v>0.131</v>
      </c>
      <c r="AC306" s="179">
        <v>0.155</v>
      </c>
      <c r="AD306" s="179">
        <v>0.166</v>
      </c>
      <c r="AE306" s="179">
        <v>0.163</v>
      </c>
      <c r="AF306" s="179">
        <v>0.154</v>
      </c>
      <c r="AG306" s="179">
        <v>0.137</v>
      </c>
      <c r="AH306" s="179">
        <v>0.10876912016300994</v>
      </c>
      <c r="AI306" s="179">
        <v>0.092</v>
      </c>
      <c r="AJ306" s="179">
        <v>0.1536747018593815</v>
      </c>
      <c r="AK306" s="179">
        <v>0.14277223408068407</v>
      </c>
      <c r="AL306" s="179">
        <v>0.11570921135429528</v>
      </c>
    </row>
    <row r="307" ht="14.25" customHeight="1">
      <c r="B307" s="173" t="s">
        <v>484</v>
      </c>
      <c r="AA307" s="179">
        <v>0.137869871298359</v>
      </c>
      <c r="AB307" s="179">
        <v>0.14753357426412306</v>
      </c>
      <c r="AC307" s="179">
        <v>0.16566324639113175</v>
      </c>
      <c r="AD307" s="179">
        <v>0.17584875606494835</v>
      </c>
      <c r="AE307" s="179">
        <v>0.1776738332116793</v>
      </c>
      <c r="AF307" s="179">
        <v>0.1729038182153217</v>
      </c>
      <c r="AG307" s="179">
        <v>0.16666845229152916</v>
      </c>
      <c r="AH307" s="179">
        <v>0.14560547377917005</v>
      </c>
      <c r="AI307" s="179">
        <v>0.13419899795960877</v>
      </c>
      <c r="AJ307" s="179">
        <v>0.1938146818398234</v>
      </c>
      <c r="AK307" s="179">
        <v>0.1708424811800984</v>
      </c>
      <c r="AL307" s="179">
        <v>0.13934069394312165</v>
      </c>
    </row>
    <row r="308" ht="14.25" customHeight="1">
      <c r="B308" s="173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</row>
    <row r="309" ht="14.25" customHeight="1">
      <c r="B309" s="180" t="s">
        <v>485</v>
      </c>
      <c r="Z309" s="181">
        <f t="shared" ref="Z309:AK309" si="9">SUM(Z310:Z313)</f>
        <v>141289.9856</v>
      </c>
      <c r="AA309" s="181">
        <f t="shared" si="9"/>
        <v>200756.9294</v>
      </c>
      <c r="AB309" s="181">
        <f t="shared" si="9"/>
        <v>276423.4388</v>
      </c>
      <c r="AC309" s="181">
        <f t="shared" si="9"/>
        <v>266632.1378</v>
      </c>
      <c r="AD309" s="181">
        <f t="shared" si="9"/>
        <v>261543.0617</v>
      </c>
      <c r="AE309" s="181">
        <f t="shared" si="9"/>
        <v>274604.5119</v>
      </c>
      <c r="AF309" s="181">
        <f t="shared" si="9"/>
        <v>293420.5026</v>
      </c>
      <c r="AG309" s="181">
        <f t="shared" si="9"/>
        <v>310040.0492</v>
      </c>
      <c r="AH309" s="181">
        <f t="shared" si="9"/>
        <v>238274.0967</v>
      </c>
      <c r="AI309" s="181">
        <f t="shared" si="9"/>
        <v>227092.6206</v>
      </c>
      <c r="AJ309" s="181">
        <f t="shared" si="9"/>
        <v>432755.079</v>
      </c>
      <c r="AK309" s="181">
        <f t="shared" si="9"/>
        <v>458050.1062</v>
      </c>
      <c r="AL309" s="181">
        <v>403202.4247989921</v>
      </c>
    </row>
    <row r="310" ht="14.25" customHeight="1">
      <c r="B310" s="173" t="s">
        <v>486</v>
      </c>
      <c r="Z310" s="176">
        <v>134395.22059999968</v>
      </c>
      <c r="AA310" s="176">
        <v>167678.22395999986</v>
      </c>
      <c r="AB310" s="176">
        <v>183482.63318999822</v>
      </c>
      <c r="AC310" s="176">
        <v>191226.8523400005</v>
      </c>
      <c r="AD310" s="176">
        <v>205873.01164999782</v>
      </c>
      <c r="AE310" s="176">
        <v>214478.69806999963</v>
      </c>
      <c r="AF310" s="176">
        <v>233951.25186999774</v>
      </c>
      <c r="AG310" s="176">
        <v>232381.3506899984</v>
      </c>
      <c r="AH310" s="176">
        <v>178369.9481699996</v>
      </c>
      <c r="AI310" s="176">
        <v>157780.50432999985</v>
      </c>
      <c r="AJ310" s="176">
        <v>196595.28547999985</v>
      </c>
      <c r="AK310" s="176">
        <v>220387.4258800025</v>
      </c>
      <c r="AL310" s="176">
        <v>213906.46124000187</v>
      </c>
    </row>
    <row r="311" ht="14.25" customHeight="1">
      <c r="B311" s="173" t="s">
        <v>487</v>
      </c>
      <c r="Z311" s="176">
        <v>105.82331999999998</v>
      </c>
      <c r="AA311" s="176">
        <v>20404.817560000003</v>
      </c>
      <c r="AB311" s="176">
        <v>79613.36244375</v>
      </c>
      <c r="AC311" s="176">
        <v>53289.12974000002</v>
      </c>
      <c r="AD311" s="176">
        <v>36203.56709999995</v>
      </c>
      <c r="AE311" s="176">
        <v>39221.42257999996</v>
      </c>
      <c r="AF311" s="176">
        <v>37339.13784999992</v>
      </c>
      <c r="AG311" s="176">
        <v>47950.83362000004</v>
      </c>
      <c r="AH311" s="176">
        <v>33175.29459999998</v>
      </c>
      <c r="AI311" s="176">
        <v>35871.08935999998</v>
      </c>
      <c r="AJ311" s="176">
        <v>45878.730599999886</v>
      </c>
      <c r="AK311" s="176">
        <v>60186.29288999994</v>
      </c>
      <c r="AL311" s="176">
        <v>33022.23103999999</v>
      </c>
    </row>
    <row r="312" ht="14.25" customHeight="1">
      <c r="B312" s="173" t="s">
        <v>488</v>
      </c>
      <c r="Z312" s="176">
        <v>6788.941630000004</v>
      </c>
      <c r="AA312" s="176">
        <v>12673.887894654548</v>
      </c>
      <c r="AB312" s="176">
        <v>13327.44319999994</v>
      </c>
      <c r="AC312" s="176">
        <v>22116.155750000038</v>
      </c>
      <c r="AD312" s="176">
        <v>19466.482949999958</v>
      </c>
      <c r="AE312" s="176">
        <v>20904.391209999947</v>
      </c>
      <c r="AF312" s="176">
        <v>22130.112921000054</v>
      </c>
      <c r="AG312" s="176">
        <v>29707.864928200095</v>
      </c>
      <c r="AH312" s="176">
        <v>26728.853906800046</v>
      </c>
      <c r="AI312" s="176">
        <v>33441.02689999991</v>
      </c>
      <c r="AJ312" s="176">
        <v>46525.01971999994</v>
      </c>
      <c r="AK312" s="176">
        <v>42870.78268999992</v>
      </c>
      <c r="AL312" s="176">
        <v>50118.391400000226</v>
      </c>
    </row>
    <row r="313" ht="14.25" customHeight="1">
      <c r="B313" s="173" t="s">
        <v>489</v>
      </c>
      <c r="Z313" s="176"/>
      <c r="AA313" s="176"/>
      <c r="AB313" s="176"/>
      <c r="AC313" s="176"/>
      <c r="AD313" s="176"/>
      <c r="AE313" s="176"/>
      <c r="AF313" s="176"/>
      <c r="AG313" s="176"/>
      <c r="AH313" s="176"/>
      <c r="AI313" s="176"/>
      <c r="AJ313" s="176">
        <v>143756.04323000007</v>
      </c>
      <c r="AK313" s="176">
        <v>134605.6047150001</v>
      </c>
      <c r="AL313" s="176">
        <v>106155.34111899002</v>
      </c>
    </row>
    <row r="314" ht="14.25" customHeight="1">
      <c r="B314" s="180" t="s">
        <v>490</v>
      </c>
      <c r="Z314" s="181">
        <f t="shared" ref="Z314:AI314" si="10">SUM(Z315:Z318)</f>
        <v>129287.818</v>
      </c>
      <c r="AA314" s="181">
        <f t="shared" si="10"/>
        <v>183942.295</v>
      </c>
      <c r="AB314" s="181">
        <f t="shared" si="10"/>
        <v>254439</v>
      </c>
      <c r="AC314" s="181">
        <f t="shared" si="10"/>
        <v>245824.998</v>
      </c>
      <c r="AD314" s="181">
        <f t="shared" si="10"/>
        <v>241262</v>
      </c>
      <c r="AE314" s="181">
        <f t="shared" si="10"/>
        <v>253934.295</v>
      </c>
      <c r="AF314" s="181">
        <f t="shared" si="10"/>
        <v>268957.03</v>
      </c>
      <c r="AG314" s="181">
        <f t="shared" si="10"/>
        <v>282257.1034</v>
      </c>
      <c r="AH314" s="181">
        <f t="shared" si="10"/>
        <v>216430.6322</v>
      </c>
      <c r="AI314" s="181">
        <f t="shared" si="10"/>
        <v>205260.4335</v>
      </c>
      <c r="AJ314" s="181">
        <v>392676.20472999814</v>
      </c>
      <c r="AK314" s="181">
        <v>419692.51382499584</v>
      </c>
      <c r="AL314" s="181">
        <v>368844.88991898793</v>
      </c>
    </row>
    <row r="315" ht="14.25" customHeight="1">
      <c r="B315" s="173" t="s">
        <v>486</v>
      </c>
      <c r="Z315" s="176">
        <v>122989.37700000001</v>
      </c>
      <c r="AA315" s="176">
        <v>153373.00900000002</v>
      </c>
      <c r="AB315" s="176">
        <v>168143.0</v>
      </c>
      <c r="AC315" s="176">
        <v>175152.827</v>
      </c>
      <c r="AD315" s="176">
        <v>190062.0</v>
      </c>
      <c r="AE315" s="176">
        <v>198197.598</v>
      </c>
      <c r="AF315" s="176">
        <v>214613.024</v>
      </c>
      <c r="AG315" s="176">
        <v>212852.52653000332</v>
      </c>
      <c r="AH315" s="176">
        <v>162483.1003399974</v>
      </c>
      <c r="AI315" s="176">
        <v>142835.9060700002</v>
      </c>
      <c r="AJ315" s="176">
        <v>179091.78260999804</v>
      </c>
      <c r="AK315" s="176">
        <v>202030.21576999544</v>
      </c>
      <c r="AL315" s="176">
        <v>197119.55011999846</v>
      </c>
    </row>
    <row r="316" ht="14.25" customHeight="1">
      <c r="B316" s="173" t="s">
        <v>487</v>
      </c>
      <c r="Z316" s="176">
        <v>95.427</v>
      </c>
      <c r="AA316" s="176">
        <v>18902.717</v>
      </c>
      <c r="AB316" s="176">
        <v>73998.0</v>
      </c>
      <c r="AC316" s="176">
        <v>50129.099</v>
      </c>
      <c r="AD316" s="176">
        <v>33594.0</v>
      </c>
      <c r="AE316" s="176">
        <v>36303.978</v>
      </c>
      <c r="AF316" s="176">
        <v>34569.031</v>
      </c>
      <c r="AG316" s="176">
        <v>43604.20307999997</v>
      </c>
      <c r="AH316" s="176">
        <v>30439.053550000055</v>
      </c>
      <c r="AI316" s="176">
        <v>33083.19452000002</v>
      </c>
      <c r="AJ316" s="176">
        <v>38654.548359999986</v>
      </c>
      <c r="AK316" s="176">
        <v>55627.09221999987</v>
      </c>
      <c r="AL316" s="176">
        <v>30477.154559999926</v>
      </c>
    </row>
    <row r="317" ht="14.25" customHeight="1">
      <c r="B317" s="173" t="s">
        <v>488</v>
      </c>
      <c r="Z317" s="176">
        <v>6203.014</v>
      </c>
      <c r="AA317" s="176">
        <v>11666.569</v>
      </c>
      <c r="AB317" s="176">
        <v>12298.0</v>
      </c>
      <c r="AC317" s="176">
        <f>20543.072</f>
        <v>20543.072</v>
      </c>
      <c r="AD317" s="176">
        <v>17606.0</v>
      </c>
      <c r="AE317" s="176">
        <v>19432.719</v>
      </c>
      <c r="AF317" s="176">
        <v>19774.975</v>
      </c>
      <c r="AG317" s="176">
        <v>25800.373828200027</v>
      </c>
      <c r="AH317" s="176">
        <v>23508.478276799702</v>
      </c>
      <c r="AI317" s="176">
        <v>29341.33287999996</v>
      </c>
      <c r="AJ317" s="176">
        <v>41452.65370000006</v>
      </c>
      <c r="AK317" s="176">
        <v>36844.26707000041</v>
      </c>
      <c r="AL317" s="176">
        <v>43321.18921999953</v>
      </c>
    </row>
    <row r="318" ht="14.25" customHeight="1">
      <c r="B318" s="173" t="s">
        <v>489</v>
      </c>
      <c r="Z318" s="176"/>
      <c r="AA318" s="176"/>
      <c r="AB318" s="176"/>
      <c r="AC318" s="176"/>
      <c r="AD318" s="176"/>
      <c r="AE318" s="176"/>
      <c r="AF318" s="176"/>
      <c r="AG318" s="176"/>
      <c r="AH318" s="176"/>
      <c r="AI318" s="176"/>
      <c r="AJ318" s="176">
        <v>133477.22006000002</v>
      </c>
      <c r="AK318" s="176">
        <v>125190.93876500006</v>
      </c>
      <c r="AL318" s="176">
        <v>97926.99601899</v>
      </c>
    </row>
    <row r="319" ht="14.25" customHeight="1">
      <c r="B319" s="180" t="s">
        <v>491</v>
      </c>
      <c r="Z319" s="181">
        <f t="shared" ref="Z319:AI319" si="11">SUM(Z320:Z323)</f>
        <v>-103765.563</v>
      </c>
      <c r="AA319" s="181">
        <f t="shared" si="11"/>
        <v>-144536.643</v>
      </c>
      <c r="AB319" s="181">
        <f t="shared" si="11"/>
        <v>-176368</v>
      </c>
      <c r="AC319" s="181">
        <f t="shared" si="11"/>
        <v>-190242.298</v>
      </c>
      <c r="AD319" s="181">
        <f t="shared" si="11"/>
        <v>-191671</v>
      </c>
      <c r="AE319" s="181">
        <f t="shared" si="11"/>
        <v>-199081.6065</v>
      </c>
      <c r="AF319" s="181">
        <f t="shared" si="11"/>
        <v>-217445.2124</v>
      </c>
      <c r="AG319" s="181">
        <f t="shared" si="11"/>
        <v>-222641.3885</v>
      </c>
      <c r="AH319" s="181">
        <f t="shared" si="11"/>
        <v>-172916.107</v>
      </c>
      <c r="AI319" s="181">
        <f t="shared" si="11"/>
        <v>-166271.931</v>
      </c>
      <c r="AJ319" s="181">
        <v>-303824.64605705556</v>
      </c>
      <c r="AK319" s="181">
        <v>-317452.44784882426</v>
      </c>
      <c r="AL319" s="181">
        <v>-295005.0753249023</v>
      </c>
    </row>
    <row r="320" ht="14.25" customHeight="1">
      <c r="B320" s="173" t="s">
        <v>486</v>
      </c>
      <c r="Z320" s="176">
        <v>-98305.986</v>
      </c>
      <c r="AA320" s="176">
        <v>-125961.734</v>
      </c>
      <c r="AB320" s="176">
        <v>-131703.0</v>
      </c>
      <c r="AC320" s="176">
        <v>-143039.961</v>
      </c>
      <c r="AD320" s="176">
        <v>-152657.0</v>
      </c>
      <c r="AE320" s="176">
        <v>-160610.930969999</v>
      </c>
      <c r="AF320" s="176">
        <v>-179048.38723000156</v>
      </c>
      <c r="AG320" s="176">
        <v>-175078.68662091537</v>
      </c>
      <c r="AH320" s="176">
        <v>-130825.295</v>
      </c>
      <c r="AI320" s="176">
        <v>-115054.331</v>
      </c>
      <c r="AJ320" s="176">
        <v>-144302.86975705603</v>
      </c>
      <c r="AK320" s="176">
        <v>-165288.5617688249</v>
      </c>
      <c r="AL320" s="176">
        <v>-156719.0104349023</v>
      </c>
    </row>
    <row r="321" ht="14.25" customHeight="1">
      <c r="B321" s="173" t="s">
        <v>487</v>
      </c>
      <c r="Z321" s="176">
        <v>-500.588</v>
      </c>
      <c r="AA321" s="176">
        <f>-10710.703</f>
        <v>-10710.703</v>
      </c>
      <c r="AB321" s="176">
        <v>-36028.0</v>
      </c>
      <c r="AC321" s="176">
        <v>-33140.624</v>
      </c>
      <c r="AD321" s="176">
        <v>-26731.0</v>
      </c>
      <c r="AE321" s="176">
        <v>-24322.591659999893</v>
      </c>
      <c r="AF321" s="176">
        <v>-23844.528629999804</v>
      </c>
      <c r="AG321" s="176">
        <v>-28544.506400000144</v>
      </c>
      <c r="AH321" s="176">
        <v>-24753.958</v>
      </c>
      <c r="AI321" s="176">
        <v>-27911.404</v>
      </c>
      <c r="AJ321" s="176">
        <v>-25343.93643000001</v>
      </c>
      <c r="AK321" s="176">
        <v>-24895.1665399996</v>
      </c>
      <c r="AL321" s="176">
        <v>-22162.87821000007</v>
      </c>
    </row>
    <row r="322" ht="14.25" customHeight="1">
      <c r="B322" s="173" t="s">
        <v>488</v>
      </c>
      <c r="Z322" s="176">
        <f>-4958.989</f>
        <v>-4958.989</v>
      </c>
      <c r="AA322" s="176">
        <f>-7864.206</f>
        <v>-7864.206</v>
      </c>
      <c r="AB322" s="176">
        <v>-8637.0</v>
      </c>
      <c r="AC322" s="176">
        <v>-14061.713</v>
      </c>
      <c r="AD322" s="176">
        <v>-12283.0</v>
      </c>
      <c r="AE322" s="176">
        <v>-14148.083839999998</v>
      </c>
      <c r="AF322" s="176">
        <v>-14552.296569999959</v>
      </c>
      <c r="AG322" s="176">
        <v>-19018.195509999983</v>
      </c>
      <c r="AH322" s="176">
        <v>-17336.854</v>
      </c>
      <c r="AI322" s="176">
        <v>-23306.196</v>
      </c>
      <c r="AJ322" s="176">
        <v>-27796.678499999663</v>
      </c>
      <c r="AK322" s="176">
        <v>-31044.024059999687</v>
      </c>
      <c r="AL322" s="176">
        <v>-33715.22973999998</v>
      </c>
    </row>
    <row r="323" ht="14.25" customHeight="1">
      <c r="B323" s="173" t="s">
        <v>489</v>
      </c>
      <c r="Z323" s="176"/>
      <c r="AA323" s="176"/>
      <c r="AB323" s="176"/>
      <c r="AC323" s="176"/>
      <c r="AD323" s="176"/>
      <c r="AE323" s="176"/>
      <c r="AF323" s="176"/>
      <c r="AG323" s="176"/>
      <c r="AH323" s="176"/>
      <c r="AI323" s="176"/>
      <c r="AJ323" s="176">
        <v>-106381.1613699999</v>
      </c>
      <c r="AK323" s="176">
        <v>-96224.69548000007</v>
      </c>
      <c r="AL323" s="176">
        <v>-82407.95693999997</v>
      </c>
    </row>
    <row r="324" ht="14.25" customHeight="1">
      <c r="B324" s="180" t="s">
        <v>492</v>
      </c>
      <c r="Z324" s="181">
        <f t="shared" ref="Z324:AI324" si="12">SUM(Z325:Z328)</f>
        <v>25522.255</v>
      </c>
      <c r="AA324" s="181">
        <f t="shared" si="12"/>
        <v>39405.652</v>
      </c>
      <c r="AB324" s="181">
        <f t="shared" si="12"/>
        <v>78071</v>
      </c>
      <c r="AC324" s="181">
        <f t="shared" si="12"/>
        <v>55582.7</v>
      </c>
      <c r="AD324" s="181">
        <f t="shared" si="12"/>
        <v>49591</v>
      </c>
      <c r="AE324" s="181">
        <f t="shared" si="12"/>
        <v>54852.68853</v>
      </c>
      <c r="AF324" s="181">
        <f t="shared" si="12"/>
        <v>51511.81757</v>
      </c>
      <c r="AG324" s="181">
        <f t="shared" si="12"/>
        <v>59615.71491</v>
      </c>
      <c r="AH324" s="181">
        <f t="shared" si="12"/>
        <v>43514.52606</v>
      </c>
      <c r="AI324" s="181">
        <f t="shared" si="12"/>
        <v>38988.50246</v>
      </c>
      <c r="AJ324" s="181">
        <v>88851.55867294248</v>
      </c>
      <c r="AK324" s="181">
        <v>102240.06597617155</v>
      </c>
      <c r="AL324" s="181">
        <v>73839.81459408616</v>
      </c>
    </row>
    <row r="325" ht="14.25" customHeight="1">
      <c r="B325" s="173" t="s">
        <v>486</v>
      </c>
      <c r="Z325" s="176">
        <f t="shared" ref="Z325:AF325" si="13">Z315+Z320</f>
        <v>24683.391</v>
      </c>
      <c r="AA325" s="176">
        <f t="shared" si="13"/>
        <v>27411.275</v>
      </c>
      <c r="AB325" s="176">
        <f t="shared" si="13"/>
        <v>36440</v>
      </c>
      <c r="AC325" s="176">
        <f t="shared" si="13"/>
        <v>32112.866</v>
      </c>
      <c r="AD325" s="176">
        <f t="shared" si="13"/>
        <v>37405</v>
      </c>
      <c r="AE325" s="176">
        <f t="shared" si="13"/>
        <v>37586.66703</v>
      </c>
      <c r="AF325" s="176">
        <f t="shared" si="13"/>
        <v>35564.63677</v>
      </c>
      <c r="AG325" s="176">
        <v>37773.839909087954</v>
      </c>
      <c r="AH325" s="176">
        <v>31657.805569605127</v>
      </c>
      <c r="AI325" s="176">
        <v>27781.574611765205</v>
      </c>
      <c r="AJ325" s="176">
        <v>34788.91285294199</v>
      </c>
      <c r="AK325" s="176">
        <v>36741.65400117057</v>
      </c>
      <c r="AL325" s="176">
        <v>40400.53968509663</v>
      </c>
    </row>
    <row r="326" ht="14.25" customHeight="1">
      <c r="B326" s="173" t="s">
        <v>487</v>
      </c>
      <c r="Z326" s="176">
        <f t="shared" ref="Z326:AF326" si="14">Z316+Z321</f>
        <v>-405.161</v>
      </c>
      <c r="AA326" s="176">
        <f t="shared" si="14"/>
        <v>8192.014</v>
      </c>
      <c r="AB326" s="176">
        <f t="shared" si="14"/>
        <v>37970</v>
      </c>
      <c r="AC326" s="176">
        <f t="shared" si="14"/>
        <v>16988.475</v>
      </c>
      <c r="AD326" s="176">
        <f t="shared" si="14"/>
        <v>6863</v>
      </c>
      <c r="AE326" s="176">
        <f t="shared" si="14"/>
        <v>11981.38634</v>
      </c>
      <c r="AF326" s="176">
        <f t="shared" si="14"/>
        <v>10724.50237</v>
      </c>
      <c r="AG326" s="176">
        <v>15059.696679999824</v>
      </c>
      <c r="AH326" s="176">
        <v>5685.096010000076</v>
      </c>
      <c r="AI326" s="176">
        <v>5171.790929999955</v>
      </c>
      <c r="AJ326" s="176">
        <v>13310.61192999997</v>
      </c>
      <c r="AK326" s="176">
        <v>30731.925680000273</v>
      </c>
      <c r="AL326" s="176">
        <v>8314.276349999875</v>
      </c>
    </row>
    <row r="327" ht="14.25" customHeight="1">
      <c r="B327" s="173" t="s">
        <v>488</v>
      </c>
      <c r="Z327" s="176">
        <f t="shared" ref="Z327:AF327" si="15">Z317+Z322</f>
        <v>1244.025</v>
      </c>
      <c r="AA327" s="176">
        <f t="shared" si="15"/>
        <v>3802.363</v>
      </c>
      <c r="AB327" s="176">
        <f t="shared" si="15"/>
        <v>3661</v>
      </c>
      <c r="AC327" s="176">
        <f t="shared" si="15"/>
        <v>6481.359</v>
      </c>
      <c r="AD327" s="176">
        <f t="shared" si="15"/>
        <v>5323</v>
      </c>
      <c r="AE327" s="176">
        <f t="shared" si="15"/>
        <v>5284.63516</v>
      </c>
      <c r="AF327" s="176">
        <f t="shared" si="15"/>
        <v>5222.67843</v>
      </c>
      <c r="AG327" s="176">
        <v>6782.1783182000445</v>
      </c>
      <c r="AH327" s="176">
        <v>6171.624476799734</v>
      </c>
      <c r="AI327" s="176">
        <v>6035.136919999927</v>
      </c>
      <c r="AJ327" s="176">
        <v>13655.975200000397</v>
      </c>
      <c r="AK327" s="176">
        <v>5800.24301000071</v>
      </c>
      <c r="AL327" s="176">
        <v>9605.959479999654</v>
      </c>
    </row>
    <row r="328" ht="14.25" customHeight="1">
      <c r="B328" s="173" t="s">
        <v>489</v>
      </c>
      <c r="Z328" s="176"/>
      <c r="AA328" s="176"/>
      <c r="AB328" s="176"/>
      <c r="AC328" s="176"/>
      <c r="AD328" s="176"/>
      <c r="AE328" s="176"/>
      <c r="AF328" s="176"/>
      <c r="AG328" s="176"/>
      <c r="AH328" s="176"/>
      <c r="AI328" s="176"/>
      <c r="AJ328" s="176">
        <v>27096.058690000118</v>
      </c>
      <c r="AK328" s="176">
        <v>28966.243284999997</v>
      </c>
      <c r="AL328" s="176">
        <v>15519.039078989998</v>
      </c>
    </row>
    <row r="329" ht="14.25" customHeight="1">
      <c r="B329" s="180" t="s">
        <v>493</v>
      </c>
      <c r="Z329" s="182">
        <f t="shared" ref="Z329:AI329" si="16">Z324/Z314</f>
        <v>0.197406495</v>
      </c>
      <c r="AA329" s="182">
        <f t="shared" si="16"/>
        <v>0.2142283372</v>
      </c>
      <c r="AB329" s="182">
        <f t="shared" si="16"/>
        <v>0.3068358231</v>
      </c>
      <c r="AC329" s="182">
        <f t="shared" si="16"/>
        <v>0.2261067851</v>
      </c>
      <c r="AD329" s="182">
        <f t="shared" si="16"/>
        <v>0.2055483251</v>
      </c>
      <c r="AE329" s="182">
        <f t="shared" si="16"/>
        <v>0.2160113447</v>
      </c>
      <c r="AF329" s="182">
        <f t="shared" si="16"/>
        <v>0.1915243397</v>
      </c>
      <c r="AG329" s="182">
        <f t="shared" si="16"/>
        <v>0.2112106806</v>
      </c>
      <c r="AH329" s="182">
        <f t="shared" si="16"/>
        <v>0.2010553017</v>
      </c>
      <c r="AI329" s="182">
        <f t="shared" si="16"/>
        <v>0.1899465075</v>
      </c>
      <c r="AJ329" s="182">
        <v>0.22627181785572237</v>
      </c>
      <c r="AK329" s="182">
        <v>0.24360707567636958</v>
      </c>
      <c r="AL329" s="182">
        <v>0.2001920498622175</v>
      </c>
    </row>
    <row r="330" ht="14.25" customHeight="1">
      <c r="B330" s="173" t="s">
        <v>486</v>
      </c>
      <c r="Z330" s="179">
        <f t="shared" ref="Z330:AI330" si="17">Z325/Z315</f>
        <v>0.2006953088</v>
      </c>
      <c r="AA330" s="179">
        <f t="shared" si="17"/>
        <v>0.1787229394</v>
      </c>
      <c r="AB330" s="179">
        <f t="shared" si="17"/>
        <v>0.2167202917</v>
      </c>
      <c r="AC330" s="179">
        <f t="shared" si="17"/>
        <v>0.1833419794</v>
      </c>
      <c r="AD330" s="179">
        <f t="shared" si="17"/>
        <v>0.1968042007</v>
      </c>
      <c r="AE330" s="179">
        <f t="shared" si="17"/>
        <v>0.1896423943</v>
      </c>
      <c r="AF330" s="179">
        <f t="shared" si="17"/>
        <v>0.165715184</v>
      </c>
      <c r="AG330" s="179">
        <f t="shared" si="17"/>
        <v>0.1774648416</v>
      </c>
      <c r="AH330" s="179">
        <f t="shared" si="17"/>
        <v>0.1948375277</v>
      </c>
      <c r="AI330" s="179">
        <f t="shared" si="17"/>
        <v>0.1944999362</v>
      </c>
      <c r="AJ330" s="179">
        <v>0.19425186541752504</v>
      </c>
      <c r="AK330" s="179">
        <v>0.18186217275043504</v>
      </c>
      <c r="AL330" s="179">
        <v>0.20495450431224302</v>
      </c>
    </row>
    <row r="331" ht="14.25" customHeight="1">
      <c r="B331" s="173" t="s">
        <v>487</v>
      </c>
      <c r="Z331" s="179">
        <f t="shared" ref="Z331:AI331" si="18">Z326/Z316</f>
        <v>-4.245769017</v>
      </c>
      <c r="AA331" s="179">
        <f t="shared" si="18"/>
        <v>0.4333775933</v>
      </c>
      <c r="AB331" s="179">
        <f t="shared" si="18"/>
        <v>0.5131219763</v>
      </c>
      <c r="AC331" s="179">
        <f t="shared" si="18"/>
        <v>0.3388944812</v>
      </c>
      <c r="AD331" s="179">
        <f t="shared" si="18"/>
        <v>0.2042924332</v>
      </c>
      <c r="AE331" s="179">
        <f t="shared" si="18"/>
        <v>0.3300295725</v>
      </c>
      <c r="AF331" s="179">
        <f t="shared" si="18"/>
        <v>0.3102343936</v>
      </c>
      <c r="AG331" s="179">
        <f t="shared" si="18"/>
        <v>0.3453725929</v>
      </c>
      <c r="AH331" s="179">
        <f t="shared" si="18"/>
        <v>0.1867698022</v>
      </c>
      <c r="AI331" s="179">
        <f t="shared" si="18"/>
        <v>0.1563268301</v>
      </c>
      <c r="AJ331" s="179">
        <v>0.3443478838773315</v>
      </c>
      <c r="AK331" s="179">
        <v>0.55246327739833</v>
      </c>
      <c r="AL331" s="179">
        <v>0.27280356286646384</v>
      </c>
    </row>
    <row r="332" ht="14.25" customHeight="1">
      <c r="B332" s="173" t="s">
        <v>488</v>
      </c>
      <c r="Z332" s="179">
        <f t="shared" ref="Z332:AI332" si="19">Z327/Z317</f>
        <v>0.2005516995</v>
      </c>
      <c r="AA332" s="179">
        <f t="shared" si="19"/>
        <v>0.325919557</v>
      </c>
      <c r="AB332" s="179">
        <f t="shared" si="19"/>
        <v>0.2976906814</v>
      </c>
      <c r="AC332" s="179">
        <f t="shared" si="19"/>
        <v>0.315500963</v>
      </c>
      <c r="AD332" s="179">
        <f t="shared" si="19"/>
        <v>0.3023401113</v>
      </c>
      <c r="AE332" s="179">
        <f t="shared" si="19"/>
        <v>0.271945226</v>
      </c>
      <c r="AF332" s="179">
        <f t="shared" si="19"/>
        <v>0.2641054378</v>
      </c>
      <c r="AG332" s="179">
        <f t="shared" si="19"/>
        <v>0.2628713197</v>
      </c>
      <c r="AH332" s="179">
        <f t="shared" si="19"/>
        <v>0.262527604</v>
      </c>
      <c r="AI332" s="179">
        <f t="shared" si="19"/>
        <v>0.2056872108</v>
      </c>
      <c r="AJ332" s="179">
        <v>0.32943548798663225</v>
      </c>
      <c r="AK332" s="179">
        <v>0.15742593003630198</v>
      </c>
      <c r="AL332" s="179">
        <v>0.22173812983797306</v>
      </c>
    </row>
    <row r="333" ht="14.25" customHeight="1">
      <c r="B333" s="173" t="s">
        <v>489</v>
      </c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>
        <v>0.20300137115396943</v>
      </c>
      <c r="AK333" s="179">
        <v>0.2313765163098063</v>
      </c>
      <c r="AL333" s="179">
        <v>0.15847559620822582</v>
      </c>
    </row>
    <row r="334" ht="14.25" customHeight="1"/>
    <row r="335" ht="14.25" customHeight="1">
      <c r="B335" s="183" t="s">
        <v>494</v>
      </c>
      <c r="V335" s="184">
        <v>78440.72904166492</v>
      </c>
      <c r="W335" s="184">
        <v>111523.79361437388</v>
      </c>
      <c r="X335" s="184">
        <v>123582.66301611991</v>
      </c>
      <c r="Y335" s="184">
        <v>119594.04951999975</v>
      </c>
      <c r="Z335" s="184">
        <v>129287.8169199995</v>
      </c>
      <c r="AA335" s="184">
        <v>183942.29488465568</v>
      </c>
      <c r="AB335" s="184">
        <v>254438.98815374996</v>
      </c>
      <c r="AC335" s="184">
        <v>245824.99790999954</v>
      </c>
      <c r="AD335" s="184">
        <v>241262.4989900007</v>
      </c>
      <c r="AE335" s="184">
        <v>253934.2956599971</v>
      </c>
      <c r="AF335" s="184">
        <v>268957.03106099827</v>
      </c>
      <c r="AG335" s="184">
        <v>282257.1034381992</v>
      </c>
      <c r="AH335" s="184">
        <v>216430.63216680102</v>
      </c>
      <c r="AI335" s="184">
        <v>205260.4334700002</v>
      </c>
      <c r="AJ335" s="184">
        <f>SUM(AJ336:AJ342)</f>
        <v>392676.2047</v>
      </c>
      <c r="AK335" s="184">
        <v>419692.5138249991</v>
      </c>
      <c r="AL335" s="184">
        <v>368844.889918988</v>
      </c>
      <c r="AR335" s="184">
        <f t="shared" ref="AR335:AR342" si="20">SUM(V335:Y335)/1000</f>
        <v>433.1412352</v>
      </c>
      <c r="AS335" s="184">
        <f t="shared" ref="AS335:AS342" si="21">SUM(Z335:AC335)/1000</f>
        <v>813.4940979</v>
      </c>
      <c r="AT335" s="184">
        <f t="shared" ref="AT335:AT342" si="22">SUM(AD335:AG335)/1000</f>
        <v>1046.410929</v>
      </c>
      <c r="AU335" s="184">
        <f t="shared" ref="AU335:AU342" si="23">SUM(AF335:AI335)/1000</f>
        <v>972.9052001</v>
      </c>
    </row>
    <row r="336" ht="14.25" customHeight="1">
      <c r="B336" s="173" t="s">
        <v>495</v>
      </c>
      <c r="V336" s="98">
        <v>32384.09893999995</v>
      </c>
      <c r="W336" s="98">
        <v>46764.67960614382</v>
      </c>
      <c r="X336" s="98">
        <v>51841.90023399997</v>
      </c>
      <c r="Y336" s="98">
        <v>45763.11878999977</v>
      </c>
      <c r="Z336" s="98">
        <v>53415.688089999465</v>
      </c>
      <c r="AA336" s="98">
        <v>70316.34804000106</v>
      </c>
      <c r="AB336" s="98">
        <v>84367.59978999982</v>
      </c>
      <c r="AC336" s="98">
        <v>89609.70688999975</v>
      </c>
      <c r="AD336" s="98">
        <v>104702.20878000086</v>
      </c>
      <c r="AE336" s="98">
        <v>102460.13966999721</v>
      </c>
      <c r="AF336" s="98">
        <v>107658.68565999821</v>
      </c>
      <c r="AG336" s="98">
        <v>100550.903669999</v>
      </c>
      <c r="AH336" s="98">
        <v>84705.78228000116</v>
      </c>
      <c r="AI336" s="98">
        <v>79285.82690000028</v>
      </c>
      <c r="AJ336" s="98">
        <v>92956.75724999723</v>
      </c>
      <c r="AK336" s="98">
        <v>119857.02968999928</v>
      </c>
      <c r="AL336" s="98">
        <v>117945.02075999828</v>
      </c>
      <c r="AR336" s="98">
        <f t="shared" si="20"/>
        <v>176.7537976</v>
      </c>
      <c r="AS336" s="98">
        <f t="shared" si="21"/>
        <v>297.7093428</v>
      </c>
      <c r="AT336" s="98">
        <f t="shared" si="22"/>
        <v>415.3719378</v>
      </c>
      <c r="AU336" s="98">
        <f t="shared" si="23"/>
        <v>372.2011985</v>
      </c>
    </row>
    <row r="337" ht="14.25" customHeight="1">
      <c r="B337" s="173" t="s">
        <v>496</v>
      </c>
      <c r="V337" s="98">
        <v>1220.2462100000016</v>
      </c>
      <c r="W337" s="98">
        <v>1505.5778800000012</v>
      </c>
      <c r="X337" s="98">
        <v>901.0985700000002</v>
      </c>
      <c r="Y337" s="98">
        <v>1152.8296299999995</v>
      </c>
      <c r="Z337" s="98">
        <v>619.2123199999993</v>
      </c>
      <c r="AA337" s="98">
        <v>576.0898699999999</v>
      </c>
      <c r="AB337" s="98">
        <v>902.5238499999996</v>
      </c>
      <c r="AC337" s="98">
        <v>12101.802760000017</v>
      </c>
      <c r="AD337" s="98">
        <v>28291.940240000033</v>
      </c>
      <c r="AE337" s="98">
        <v>23547.89306000001</v>
      </c>
      <c r="AF337" s="98">
        <v>32639.569960000037</v>
      </c>
      <c r="AG337" s="98">
        <v>29285.063429999886</v>
      </c>
      <c r="AH337" s="98">
        <v>18167.95596999997</v>
      </c>
      <c r="AI337" s="98">
        <v>16391.72389999999</v>
      </c>
      <c r="AJ337" s="98">
        <v>20739.36084999993</v>
      </c>
      <c r="AK337" s="98">
        <v>20097.93269999993</v>
      </c>
      <c r="AL337" s="98">
        <v>20958.996059999965</v>
      </c>
      <c r="AR337" s="98">
        <f t="shared" si="20"/>
        <v>4.77975229</v>
      </c>
      <c r="AS337" s="98">
        <f t="shared" si="21"/>
        <v>14.1996288</v>
      </c>
      <c r="AT337" s="98">
        <f t="shared" si="22"/>
        <v>113.7644667</v>
      </c>
      <c r="AU337" s="98">
        <f t="shared" si="23"/>
        <v>96.48431326</v>
      </c>
    </row>
    <row r="338" ht="14.25" customHeight="1">
      <c r="B338" s="173" t="s">
        <v>497</v>
      </c>
      <c r="V338" s="98">
        <v>2804.3760199999992</v>
      </c>
      <c r="W338" s="98">
        <v>5141.410439999994</v>
      </c>
      <c r="X338" s="98">
        <v>1462.6700999999987</v>
      </c>
      <c r="Y338" s="98">
        <v>13329.112029999986</v>
      </c>
      <c r="Z338" s="98">
        <v>24292.84097999997</v>
      </c>
      <c r="AA338" s="98">
        <v>44125.938251199994</v>
      </c>
      <c r="AB338" s="98">
        <v>39313.532380000026</v>
      </c>
      <c r="AC338" s="98">
        <v>44241.51243000004</v>
      </c>
      <c r="AD338" s="98">
        <v>29177.68032999991</v>
      </c>
      <c r="AE338" s="98">
        <v>36471.084099999876</v>
      </c>
      <c r="AF338" s="98">
        <v>36071.07137000008</v>
      </c>
      <c r="AG338" s="98">
        <v>57206.5969100001</v>
      </c>
      <c r="AH338" s="98">
        <v>27157.62450999996</v>
      </c>
      <c r="AI338" s="98">
        <v>15877.311469999999</v>
      </c>
      <c r="AJ338" s="98">
        <v>29300.270439999986</v>
      </c>
      <c r="AK338" s="98">
        <v>29474.295829999865</v>
      </c>
      <c r="AL338" s="98">
        <v>15505.803890000076</v>
      </c>
      <c r="AR338" s="98">
        <f t="shared" si="20"/>
        <v>22.73756859</v>
      </c>
      <c r="AS338" s="98">
        <f t="shared" si="21"/>
        <v>151.973824</v>
      </c>
      <c r="AT338" s="98">
        <f t="shared" si="22"/>
        <v>158.9264327</v>
      </c>
      <c r="AU338" s="98">
        <f t="shared" si="23"/>
        <v>136.3126043</v>
      </c>
    </row>
    <row r="339" ht="14.25" customHeight="1">
      <c r="B339" s="173" t="s">
        <v>498</v>
      </c>
      <c r="V339" s="98">
        <v>14996.525589999994</v>
      </c>
      <c r="W339" s="98">
        <v>20422.08093000003</v>
      </c>
      <c r="X339" s="98">
        <v>24963.05431999994</v>
      </c>
      <c r="Y339" s="98">
        <v>24357.977139999988</v>
      </c>
      <c r="Z339" s="98">
        <v>19649.937760000015</v>
      </c>
      <c r="AA339" s="98">
        <v>19157.45194345461</v>
      </c>
      <c r="AB339" s="98">
        <v>22013.75113999996</v>
      </c>
      <c r="AC339" s="98">
        <v>25970.783099999808</v>
      </c>
      <c r="AD339" s="98">
        <v>22045.477209999903</v>
      </c>
      <c r="AE339" s="98">
        <v>26403.16057999996</v>
      </c>
      <c r="AF339" s="98">
        <v>35752.228519999924</v>
      </c>
      <c r="AG339" s="98">
        <v>25531.83359000005</v>
      </c>
      <c r="AH339" s="98">
        <v>20746.741409999824</v>
      </c>
      <c r="AI339" s="98">
        <v>21412.89648999998</v>
      </c>
      <c r="AJ339" s="98">
        <v>24675.5047300001</v>
      </c>
      <c r="AK339" s="98">
        <v>24207.710579999773</v>
      </c>
      <c r="AL339" s="98">
        <v>22499.41877999986</v>
      </c>
      <c r="AR339" s="98">
        <f t="shared" si="20"/>
        <v>84.73963798</v>
      </c>
      <c r="AS339" s="98">
        <f t="shared" si="21"/>
        <v>86.79192394</v>
      </c>
      <c r="AT339" s="98">
        <f t="shared" si="22"/>
        <v>109.7326999</v>
      </c>
      <c r="AU339" s="98">
        <f t="shared" si="23"/>
        <v>103.4437</v>
      </c>
    </row>
    <row r="340" ht="14.25" customHeight="1">
      <c r="B340" s="173" t="s">
        <v>499</v>
      </c>
      <c r="V340" s="98">
        <v>10363.408099999979</v>
      </c>
      <c r="W340" s="98">
        <v>16814.34669</v>
      </c>
      <c r="X340" s="98">
        <v>22982.105849999996</v>
      </c>
      <c r="Y340" s="98">
        <v>17148.959300000057</v>
      </c>
      <c r="Z340" s="98">
        <v>14052.276840000062</v>
      </c>
      <c r="AA340" s="98">
        <v>16211.37813000001</v>
      </c>
      <c r="AB340" s="98">
        <v>11946.45936000003</v>
      </c>
      <c r="AC340" s="98">
        <v>8427.990790000018</v>
      </c>
      <c r="AD340" s="98">
        <v>6276.581919999992</v>
      </c>
      <c r="AE340" s="98">
        <v>11218.196900000003</v>
      </c>
      <c r="AF340" s="98">
        <v>7289.773650000006</v>
      </c>
      <c r="AG340" s="98">
        <v>4820.015970000001</v>
      </c>
      <c r="AH340" s="98">
        <v>7648.914300000001</v>
      </c>
      <c r="AI340" s="98">
        <v>12703.400259999991</v>
      </c>
      <c r="AJ340" s="98">
        <v>21664.65354000002</v>
      </c>
      <c r="AK340" s="98">
        <v>24987.30459999988</v>
      </c>
      <c r="AL340" s="98">
        <v>17278.98245999995</v>
      </c>
      <c r="AR340" s="98">
        <f t="shared" si="20"/>
        <v>67.30881994</v>
      </c>
      <c r="AS340" s="98">
        <f t="shared" si="21"/>
        <v>50.63810512</v>
      </c>
      <c r="AT340" s="98">
        <f t="shared" si="22"/>
        <v>29.60456844</v>
      </c>
      <c r="AU340" s="98">
        <f t="shared" si="23"/>
        <v>32.46210418</v>
      </c>
    </row>
    <row r="341" ht="14.25" customHeight="1">
      <c r="B341" s="173" t="s">
        <v>500</v>
      </c>
      <c r="V341" s="98">
        <v>6543.857550000003</v>
      </c>
      <c r="W341" s="98">
        <v>7451.616270000001</v>
      </c>
      <c r="X341" s="98">
        <v>8977.467109999989</v>
      </c>
      <c r="Y341" s="98">
        <v>4092.0139399999885</v>
      </c>
      <c r="Z341" s="98">
        <v>2501.2200699999994</v>
      </c>
      <c r="AA341" s="98">
        <v>22380.272250000042</v>
      </c>
      <c r="AB341" s="98">
        <v>71793.31385000011</v>
      </c>
      <c r="AC341" s="98">
        <v>37666.32485999991</v>
      </c>
      <c r="AD341" s="98">
        <v>19466.07440999992</v>
      </c>
      <c r="AE341" s="98">
        <v>24693.849730000078</v>
      </c>
      <c r="AF341" s="98">
        <v>26253.819390000033</v>
      </c>
      <c r="AG341" s="98">
        <v>36064.17863000016</v>
      </c>
      <c r="AH341" s="98">
        <v>19512.84909000001</v>
      </c>
      <c r="AI341" s="98">
        <v>20803.232629999984</v>
      </c>
      <c r="AJ341" s="98">
        <v>158896.39821999986</v>
      </c>
      <c r="AK341" s="98">
        <v>159673.12307499992</v>
      </c>
      <c r="AL341" s="98">
        <v>124707.32484899009</v>
      </c>
      <c r="AR341" s="98">
        <f t="shared" si="20"/>
        <v>27.06495487</v>
      </c>
      <c r="AS341" s="98">
        <f t="shared" si="21"/>
        <v>134.341131</v>
      </c>
      <c r="AT341" s="98">
        <f t="shared" si="22"/>
        <v>106.4779222</v>
      </c>
      <c r="AU341" s="98">
        <f t="shared" si="23"/>
        <v>102.6340797</v>
      </c>
    </row>
    <row r="342" ht="14.25" customHeight="1">
      <c r="B342" s="173" t="s">
        <v>501</v>
      </c>
      <c r="V342" s="98">
        <v>10128.216631664995</v>
      </c>
      <c r="W342" s="98">
        <v>13424.081798230021</v>
      </c>
      <c r="X342" s="98">
        <v>12454.366832120018</v>
      </c>
      <c r="Y342" s="98">
        <v>13750.038689999963</v>
      </c>
      <c r="Z342" s="98">
        <v>14756.640860000005</v>
      </c>
      <c r="AA342" s="98">
        <v>11174.816399999983</v>
      </c>
      <c r="AB342" s="98">
        <v>24101.80778375001</v>
      </c>
      <c r="AC342" s="98">
        <v>27806.877080000006</v>
      </c>
      <c r="AD342" s="98">
        <v>31302.53610000008</v>
      </c>
      <c r="AE342" s="98">
        <v>29139.971619999927</v>
      </c>
      <c r="AF342" s="98">
        <v>23291.88251099998</v>
      </c>
      <c r="AG342" s="98">
        <v>28798.51123820001</v>
      </c>
      <c r="AH342" s="98">
        <v>38490.76460680012</v>
      </c>
      <c r="AI342" s="98">
        <v>38786.04181999998</v>
      </c>
      <c r="AJ342" s="98">
        <v>44443.25970000031</v>
      </c>
      <c r="AK342" s="98">
        <v>41395.11735000041</v>
      </c>
      <c r="AL342" s="98">
        <v>49949.34311999978</v>
      </c>
      <c r="AR342" s="98">
        <f t="shared" si="20"/>
        <v>49.75670395</v>
      </c>
      <c r="AS342" s="98">
        <f t="shared" si="21"/>
        <v>77.84014212</v>
      </c>
      <c r="AT342" s="98">
        <f t="shared" si="22"/>
        <v>112.5329015</v>
      </c>
      <c r="AU342" s="98">
        <f t="shared" si="23"/>
        <v>129.3672002</v>
      </c>
    </row>
    <row r="343" ht="14.25" customHeight="1"/>
    <row r="344" ht="14.25" customHeight="1">
      <c r="B344" s="69" t="s">
        <v>502</v>
      </c>
      <c r="C344" s="69"/>
      <c r="D344" s="164">
        <v>1.0</v>
      </c>
      <c r="E344" s="184">
        <f t="shared" ref="E344:E348" si="24">SUM(F344:I344)</f>
        <v>260732</v>
      </c>
      <c r="F344" s="184">
        <v>58518.0</v>
      </c>
      <c r="G344" s="184">
        <v>59783.0</v>
      </c>
      <c r="H344" s="184">
        <v>67278.0</v>
      </c>
      <c r="I344" s="184">
        <v>75153.0</v>
      </c>
      <c r="J344" s="184">
        <v>83716.0</v>
      </c>
      <c r="K344" s="184">
        <v>92528.0</v>
      </c>
      <c r="L344" s="184">
        <v>87657.0</v>
      </c>
      <c r="M344" s="184">
        <v>96578.0</v>
      </c>
      <c r="N344" s="184">
        <v>91096.0</v>
      </c>
      <c r="O344" s="184">
        <v>103638.0</v>
      </c>
      <c r="P344" s="184">
        <v>95114.0</v>
      </c>
      <c r="Q344" s="184">
        <v>98305.0</v>
      </c>
      <c r="R344" s="184">
        <v>77335.0</v>
      </c>
      <c r="S344" s="184">
        <v>55580.0</v>
      </c>
      <c r="T344" s="184">
        <v>61614.0</v>
      </c>
      <c r="U344" s="184">
        <v>74274.0</v>
      </c>
      <c r="V344" s="184">
        <v>85350.0</v>
      </c>
      <c r="W344" s="184">
        <v>121173.0</v>
      </c>
      <c r="X344" s="184">
        <v>135439.0</v>
      </c>
      <c r="Y344" s="184">
        <v>130823.0</v>
      </c>
      <c r="Z344" s="184">
        <v>141289.98555</v>
      </c>
      <c r="AA344" s="184">
        <v>200756.92941</v>
      </c>
      <c r="AB344" s="184">
        <v>276423.43883</v>
      </c>
      <c r="AC344" s="184">
        <v>266632.13951999997</v>
      </c>
      <c r="AD344" s="184">
        <v>261543.06256000002</v>
      </c>
      <c r="AE344" s="184">
        <v>274604.51185999974</v>
      </c>
      <c r="AF344" s="184">
        <v>293420.50264100014</v>
      </c>
      <c r="AG344" s="184">
        <v>310040.04923819914</v>
      </c>
      <c r="AH344" s="184">
        <v>238274.0966768</v>
      </c>
      <c r="AI344" s="184">
        <v>227092.62058999995</v>
      </c>
      <c r="AJ344" s="184">
        <v>432755.07903000014</v>
      </c>
      <c r="AK344" s="184">
        <v>458050.1061749996</v>
      </c>
      <c r="AL344" s="184">
        <v>403202.4247989895</v>
      </c>
      <c r="AN344" s="185">
        <f t="shared" ref="AN344:AN348" si="25">SUM(F344:I344)/1000</f>
        <v>260.732</v>
      </c>
      <c r="AO344" s="185">
        <f t="shared" ref="AO344:AO348" si="26">SUM(J344:M344)/1000</f>
        <v>360.479</v>
      </c>
      <c r="AP344" s="185">
        <f t="shared" ref="AP344:AP348" si="27">SUM(N344:Q344)/1000</f>
        <v>388.153</v>
      </c>
      <c r="AQ344" s="185">
        <f t="shared" ref="AQ344:AQ348" si="28">SUM(R344:U344)/1000</f>
        <v>268.803</v>
      </c>
      <c r="AR344" s="184">
        <f t="shared" ref="AR344:AR348" si="29">SUM(V344:Y344)/1000</f>
        <v>472.785</v>
      </c>
      <c r="AS344" s="184">
        <f t="shared" ref="AS344:AS348" si="30">SUM(Z344:AC344)/1000</f>
        <v>885.1024933</v>
      </c>
      <c r="AT344" s="184">
        <f t="shared" ref="AT344:AT348" si="31">SUM(AD344:AG344)/1000</f>
        <v>1139.608126</v>
      </c>
      <c r="AU344" s="184">
        <f t="shared" ref="AU344:AU348" si="32">SUM(AF344:AI344)/1000</f>
        <v>1068.827269</v>
      </c>
    </row>
    <row r="345" ht="14.25" customHeight="1">
      <c r="B345" s="30" t="s">
        <v>503</v>
      </c>
      <c r="D345" s="13">
        <f t="shared" ref="D345:D348" si="33">E345/$E$344</f>
        <v>0.7533731072</v>
      </c>
      <c r="E345" s="98">
        <f t="shared" si="24"/>
        <v>196428.477</v>
      </c>
      <c r="F345" s="98">
        <v>51294.17473000001</v>
      </c>
      <c r="G345" s="98">
        <v>49830.19537</v>
      </c>
      <c r="H345" s="98">
        <v>47949.00625</v>
      </c>
      <c r="I345" s="98">
        <v>47355.100640000004</v>
      </c>
      <c r="J345" s="98">
        <v>50000.65810949999</v>
      </c>
      <c r="K345" s="98">
        <v>52733.69887519999</v>
      </c>
      <c r="L345" s="98">
        <v>53497.402998472986</v>
      </c>
      <c r="M345" s="98">
        <v>62383.51538271601</v>
      </c>
      <c r="N345" s="98">
        <v>55599.98031729998</v>
      </c>
      <c r="O345" s="98">
        <v>60867.568409999985</v>
      </c>
      <c r="P345" s="98">
        <v>61901.7510296168</v>
      </c>
      <c r="Q345" s="98">
        <v>62309.86041000001</v>
      </c>
      <c r="R345" s="98">
        <v>37356.79595</v>
      </c>
      <c r="S345" s="98">
        <v>24451.998</v>
      </c>
      <c r="T345" s="98">
        <v>28190.85125</v>
      </c>
      <c r="U345" s="98">
        <v>29181.03197</v>
      </c>
      <c r="V345" s="98">
        <v>33800.25363</v>
      </c>
      <c r="W345" s="98">
        <v>34911.15454</v>
      </c>
      <c r="X345" s="98">
        <v>41593.19554</v>
      </c>
      <c r="Y345" s="98">
        <v>47406.90238</v>
      </c>
      <c r="Z345" s="98">
        <v>47472.53457</v>
      </c>
      <c r="AA345" s="98">
        <v>51654.07332</v>
      </c>
      <c r="AB345" s="98">
        <v>58039.87123</v>
      </c>
      <c r="AC345" s="98">
        <v>71795.70102000001</v>
      </c>
      <c r="AD345" s="98">
        <v>71999.21740000001</v>
      </c>
      <c r="AE345" s="98">
        <v>86459.67711999975</v>
      </c>
      <c r="AF345" s="98">
        <v>96427.6253200003</v>
      </c>
      <c r="AG345" s="98">
        <v>94330.17013999885</v>
      </c>
      <c r="AH345" s="98">
        <v>69647.84168000001</v>
      </c>
      <c r="AI345" s="98">
        <v>67846.20199000019</v>
      </c>
      <c r="AJ345" s="98">
        <v>84307.0010000002</v>
      </c>
      <c r="AK345" s="98">
        <v>84198.86476999977</v>
      </c>
      <c r="AL345" s="98">
        <v>88738.46663999947</v>
      </c>
      <c r="AN345" s="45">
        <f t="shared" si="25"/>
        <v>196.428477</v>
      </c>
      <c r="AO345" s="45">
        <f t="shared" si="26"/>
        <v>218.6152754</v>
      </c>
      <c r="AP345" s="45">
        <f t="shared" si="27"/>
        <v>240.6791602</v>
      </c>
      <c r="AQ345" s="45">
        <f t="shared" si="28"/>
        <v>119.1806772</v>
      </c>
      <c r="AR345" s="98">
        <f t="shared" si="29"/>
        <v>157.7115061</v>
      </c>
      <c r="AS345" s="98">
        <f t="shared" si="30"/>
        <v>228.9621801</v>
      </c>
      <c r="AT345" s="98">
        <f t="shared" si="31"/>
        <v>349.21669</v>
      </c>
      <c r="AU345" s="98">
        <f t="shared" si="32"/>
        <v>328.2518391</v>
      </c>
    </row>
    <row r="346" ht="14.25" customHeight="1">
      <c r="B346" s="30" t="s">
        <v>504</v>
      </c>
      <c r="D346" s="13">
        <f t="shared" si="33"/>
        <v>0.1282424522</v>
      </c>
      <c r="E346" s="98">
        <f t="shared" si="24"/>
        <v>33436.91105</v>
      </c>
      <c r="F346" s="98">
        <v>0.0</v>
      </c>
      <c r="G346" s="98">
        <v>0.0</v>
      </c>
      <c r="H346" s="98">
        <v>14108.214390000001</v>
      </c>
      <c r="I346" s="98">
        <v>19328.69666</v>
      </c>
      <c r="J346" s="98">
        <v>24372.44238</v>
      </c>
      <c r="K346" s="98">
        <v>29815.098790000004</v>
      </c>
      <c r="L346" s="98">
        <v>24434.453120000002</v>
      </c>
      <c r="M346" s="98">
        <v>18759.53344</v>
      </c>
      <c r="N346" s="98">
        <v>21754.614</v>
      </c>
      <c r="O346" s="98">
        <v>24819.464</v>
      </c>
      <c r="P346" s="98">
        <v>15738.835</v>
      </c>
      <c r="Q346" s="98">
        <v>13546.454</v>
      </c>
      <c r="R346" s="98">
        <v>20234.31933</v>
      </c>
      <c r="S346" s="98">
        <v>11801.33803</v>
      </c>
      <c r="T346" s="98">
        <v>13791.52657</v>
      </c>
      <c r="U346" s="98">
        <v>19081.12646</v>
      </c>
      <c r="V346" s="98">
        <v>24355.47427</v>
      </c>
      <c r="W346" s="98">
        <v>39707.63162</v>
      </c>
      <c r="X346" s="98">
        <v>43012.13984</v>
      </c>
      <c r="Y346" s="98">
        <v>41369.65906</v>
      </c>
      <c r="Z346" s="98">
        <v>46465.82455</v>
      </c>
      <c r="AA346" s="98">
        <v>51883.76021</v>
      </c>
      <c r="AB346" s="98">
        <v>76183.31404</v>
      </c>
      <c r="AC346" s="98">
        <v>84168.71645</v>
      </c>
      <c r="AD346" s="98">
        <v>88708.46372</v>
      </c>
      <c r="AE346" s="98">
        <v>84758.65489999992</v>
      </c>
      <c r="AF346" s="98">
        <v>92537.7306399998</v>
      </c>
      <c r="AG346" s="98">
        <v>98899.08473000005</v>
      </c>
      <c r="AH346" s="98">
        <v>75188.2660099999</v>
      </c>
      <c r="AI346" s="98">
        <v>57418.632559999875</v>
      </c>
      <c r="AJ346" s="98">
        <v>69553.93532999992</v>
      </c>
      <c r="AK346" s="98">
        <v>91999.27616999992</v>
      </c>
      <c r="AL346" s="98">
        <v>78213.3185900001</v>
      </c>
      <c r="AN346" s="45">
        <f t="shared" si="25"/>
        <v>33.43691105</v>
      </c>
      <c r="AO346" s="45">
        <f t="shared" si="26"/>
        <v>97.38152773</v>
      </c>
      <c r="AP346" s="45">
        <f t="shared" si="27"/>
        <v>75.859367</v>
      </c>
      <c r="AQ346" s="45">
        <f t="shared" si="28"/>
        <v>64.90831039</v>
      </c>
      <c r="AR346" s="98">
        <f t="shared" si="29"/>
        <v>148.4449048</v>
      </c>
      <c r="AS346" s="98">
        <f t="shared" si="30"/>
        <v>258.7016153</v>
      </c>
      <c r="AT346" s="98">
        <f t="shared" si="31"/>
        <v>364.903934</v>
      </c>
      <c r="AU346" s="98">
        <f t="shared" si="32"/>
        <v>324.0437139</v>
      </c>
    </row>
    <row r="347" ht="14.25" customHeight="1">
      <c r="B347" s="30" t="s">
        <v>505</v>
      </c>
      <c r="D347" s="13">
        <f t="shared" si="33"/>
        <v>0.08834715996</v>
      </c>
      <c r="E347" s="98">
        <f t="shared" si="24"/>
        <v>23034.93171</v>
      </c>
      <c r="F347" s="98">
        <v>4801.6978</v>
      </c>
      <c r="G347" s="98">
        <v>7502.213559999999</v>
      </c>
      <c r="H347" s="98">
        <v>3924.9529700000003</v>
      </c>
      <c r="I347" s="98">
        <v>6806.0673799999995</v>
      </c>
      <c r="J347" s="98">
        <v>7988.219603349</v>
      </c>
      <c r="K347" s="98">
        <v>7942.9040535475015</v>
      </c>
      <c r="L347" s="98">
        <v>7868.655942117</v>
      </c>
      <c r="M347" s="98">
        <v>11471.099087977</v>
      </c>
      <c r="N347" s="98">
        <v>5583.2996827</v>
      </c>
      <c r="O347" s="98">
        <v>6009.98134</v>
      </c>
      <c r="P347" s="98">
        <v>6489.725536383365</v>
      </c>
      <c r="Q347" s="98">
        <v>8463.089039999999</v>
      </c>
      <c r="R347" s="98">
        <v>8478.058</v>
      </c>
      <c r="S347" s="98">
        <v>9527.05245</v>
      </c>
      <c r="T347" s="98">
        <v>7872.13215</v>
      </c>
      <c r="U347" s="98">
        <v>11128.43945</v>
      </c>
      <c r="V347" s="98">
        <v>11371.8457</v>
      </c>
      <c r="W347" s="98">
        <v>30051.55607</v>
      </c>
      <c r="X347" s="98">
        <v>34542.286</v>
      </c>
      <c r="Y347" s="98">
        <v>23133.97885</v>
      </c>
      <c r="Z347" s="98">
        <v>24015.69568</v>
      </c>
      <c r="AA347" s="98">
        <v>49073.81865</v>
      </c>
      <c r="AB347" s="98">
        <v>36877.71502</v>
      </c>
      <c r="AC347" s="98">
        <v>27263.715809999998</v>
      </c>
      <c r="AD347" s="98">
        <v>28664.092820000005</v>
      </c>
      <c r="AE347" s="98">
        <v>30179.098640000026</v>
      </c>
      <c r="AF347" s="98">
        <v>30324.140410000073</v>
      </c>
      <c r="AG347" s="98">
        <v>27098.355700000047</v>
      </c>
      <c r="AH347" s="98">
        <v>24471.483010000044</v>
      </c>
      <c r="AI347" s="98">
        <v>21731.570089999972</v>
      </c>
      <c r="AJ347" s="98">
        <v>27646.041640000014</v>
      </c>
      <c r="AK347" s="98">
        <v>25630.83277999998</v>
      </c>
      <c r="AL347" s="98">
        <v>24027.996049999983</v>
      </c>
      <c r="AN347" s="45">
        <f t="shared" si="25"/>
        <v>23.03493171</v>
      </c>
      <c r="AO347" s="45">
        <f t="shared" si="26"/>
        <v>35.27087869</v>
      </c>
      <c r="AP347" s="45">
        <f t="shared" si="27"/>
        <v>26.5460956</v>
      </c>
      <c r="AQ347" s="45">
        <f t="shared" si="28"/>
        <v>37.00568205</v>
      </c>
      <c r="AR347" s="98">
        <f t="shared" si="29"/>
        <v>99.09966662</v>
      </c>
      <c r="AS347" s="98">
        <f t="shared" si="30"/>
        <v>137.2309452</v>
      </c>
      <c r="AT347" s="98">
        <f t="shared" si="31"/>
        <v>116.2656876</v>
      </c>
      <c r="AU347" s="98">
        <f t="shared" si="32"/>
        <v>103.6255492</v>
      </c>
    </row>
    <row r="348" ht="14.25" customHeight="1">
      <c r="B348" s="30" t="s">
        <v>487</v>
      </c>
      <c r="D348" s="13">
        <f t="shared" si="33"/>
        <v>0</v>
      </c>
      <c r="E348" s="98">
        <f t="shared" si="24"/>
        <v>0</v>
      </c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>
        <v>0.0</v>
      </c>
      <c r="AA348" s="98">
        <v>19443.55953</v>
      </c>
      <c r="AB348" s="98">
        <v>78273.60196</v>
      </c>
      <c r="AC348" s="98">
        <v>51779.67239</v>
      </c>
      <c r="AD348" s="98">
        <v>35138.192590000006</v>
      </c>
      <c r="AE348" s="98">
        <v>40323.31173000001</v>
      </c>
      <c r="AF348" s="98">
        <v>35643.08689999988</v>
      </c>
      <c r="AG348" s="98">
        <v>45899.46333999999</v>
      </c>
      <c r="AH348" s="98">
        <v>30265.160139999996</v>
      </c>
      <c r="AI348" s="98">
        <v>33666.27059</v>
      </c>
      <c r="AJ348" s="98">
        <v>43131.469039999974</v>
      </c>
      <c r="AK348" s="98">
        <v>54109.297939999975</v>
      </c>
      <c r="AL348" s="98">
        <v>33122.578870000005</v>
      </c>
      <c r="AN348" s="45">
        <f t="shared" si="25"/>
        <v>0</v>
      </c>
      <c r="AO348" s="45">
        <f t="shared" si="26"/>
        <v>0</v>
      </c>
      <c r="AP348" s="45">
        <f t="shared" si="27"/>
        <v>0</v>
      </c>
      <c r="AQ348" s="45">
        <f t="shared" si="28"/>
        <v>0</v>
      </c>
      <c r="AR348" s="98">
        <f t="shared" si="29"/>
        <v>0</v>
      </c>
      <c r="AS348" s="98">
        <f t="shared" si="30"/>
        <v>149.4968339</v>
      </c>
      <c r="AT348" s="98">
        <f t="shared" si="31"/>
        <v>157.0040546</v>
      </c>
      <c r="AU348" s="98">
        <f t="shared" si="32"/>
        <v>145.473981</v>
      </c>
    </row>
    <row r="349" ht="14.25" customHeight="1">
      <c r="B349" s="30" t="s">
        <v>489</v>
      </c>
      <c r="D349" s="13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>
        <v>143756.04323000007</v>
      </c>
      <c r="AK349" s="98">
        <v>134670.65641500012</v>
      </c>
      <c r="AL349" s="98">
        <v>106167.12744899</v>
      </c>
      <c r="AN349" s="45"/>
      <c r="AO349" s="45"/>
      <c r="AP349" s="45"/>
      <c r="AQ349" s="45"/>
      <c r="AR349" s="98"/>
      <c r="AS349" s="98"/>
      <c r="AT349" s="98"/>
      <c r="AU349" s="98"/>
    </row>
    <row r="350" ht="14.25" customHeight="1">
      <c r="B350" s="30" t="s">
        <v>506</v>
      </c>
      <c r="D350" s="13">
        <f t="shared" ref="D350:D354" si="34">E350/$E$344</f>
        <v>0</v>
      </c>
      <c r="E350" s="98">
        <f t="shared" ref="E350:E354" si="35">SUM(F350:I350)</f>
        <v>0</v>
      </c>
      <c r="F350" s="98">
        <v>0.0</v>
      </c>
      <c r="G350" s="98">
        <v>0.0</v>
      </c>
      <c r="H350" s="98">
        <v>0.0</v>
      </c>
      <c r="I350" s="98">
        <v>0.0</v>
      </c>
      <c r="J350" s="98">
        <v>0.0</v>
      </c>
      <c r="K350" s="98">
        <v>0.0</v>
      </c>
      <c r="L350" s="98">
        <v>0.0</v>
      </c>
      <c r="M350" s="98">
        <v>0.0</v>
      </c>
      <c r="N350" s="98">
        <v>3508.9517299999998</v>
      </c>
      <c r="O350" s="98">
        <v>4112.985</v>
      </c>
      <c r="P350" s="98">
        <v>2113.134189924126</v>
      </c>
      <c r="Q350" s="98">
        <v>2623.99478</v>
      </c>
      <c r="R350" s="98">
        <v>3128.5412</v>
      </c>
      <c r="S350" s="98">
        <v>4144.03879</v>
      </c>
      <c r="T350" s="98">
        <v>6872.91439</v>
      </c>
      <c r="U350" s="98">
        <v>4908.83252</v>
      </c>
      <c r="V350" s="98">
        <v>5620.58896</v>
      </c>
      <c r="W350" s="98">
        <v>5567.88936</v>
      </c>
      <c r="X350" s="98">
        <v>4941.80569</v>
      </c>
      <c r="Y350" s="98">
        <v>5600.20307</v>
      </c>
      <c r="Z350" s="98">
        <v>3885.8749</v>
      </c>
      <c r="AA350" s="98">
        <v>4674.29676</v>
      </c>
      <c r="AB350" s="98">
        <v>2702.7843199999998</v>
      </c>
      <c r="AC350" s="98">
        <v>2902.94866</v>
      </c>
      <c r="AD350" s="98">
        <v>2399.76707</v>
      </c>
      <c r="AE350" s="98">
        <v>2844.60414</v>
      </c>
      <c r="AF350" s="98">
        <v>2840.0193200000003</v>
      </c>
      <c r="AG350" s="98">
        <v>1038.663559999999</v>
      </c>
      <c r="AH350" s="98">
        <v>356.6199800000001</v>
      </c>
      <c r="AI350" s="98">
        <v>1038.60038</v>
      </c>
      <c r="AJ350" s="98">
        <v>2129.533570000002</v>
      </c>
      <c r="AK350" s="98">
        <v>2880.1379599999987</v>
      </c>
      <c r="AL350" s="98">
        <v>1947.8220900000008</v>
      </c>
      <c r="AN350" s="45">
        <f t="shared" ref="AN350:AN354" si="36">SUM(F350:I350)/1000</f>
        <v>0</v>
      </c>
      <c r="AO350" s="45">
        <f t="shared" ref="AO350:AO354" si="37">SUM(J350:M350)/1000</f>
        <v>0</v>
      </c>
      <c r="AP350" s="45">
        <f t="shared" ref="AP350:AP354" si="38">SUM(N350:Q350)/1000</f>
        <v>12.3590657</v>
      </c>
      <c r="AQ350" s="45">
        <f t="shared" ref="AQ350:AQ354" si="39">SUM(R350:U350)/1000</f>
        <v>19.0543269</v>
      </c>
      <c r="AR350" s="98">
        <f t="shared" ref="AR350:AR354" si="40">SUM(V350:Y350)/1000</f>
        <v>21.73048708</v>
      </c>
      <c r="AS350" s="98">
        <f t="shared" ref="AS350:AS354" si="41">SUM(Z350:AC350)/1000</f>
        <v>14.16590464</v>
      </c>
      <c r="AT350" s="98">
        <f t="shared" ref="AT350:AT354" si="42">SUM(AD350:AG350)/1000</f>
        <v>9.12305409</v>
      </c>
      <c r="AU350" s="98">
        <f t="shared" ref="AU350:AU354" si="43">SUM(AF350:AI350)/1000</f>
        <v>5.27390324</v>
      </c>
    </row>
    <row r="351" ht="14.25" customHeight="1">
      <c r="B351" s="30" t="s">
        <v>507</v>
      </c>
      <c r="D351" s="13">
        <f t="shared" si="34"/>
        <v>0.0188249929</v>
      </c>
      <c r="E351" s="98">
        <f t="shared" si="35"/>
        <v>4908.27805</v>
      </c>
      <c r="F351" s="98">
        <v>1392.12355</v>
      </c>
      <c r="G351" s="98">
        <v>1755.3246600000002</v>
      </c>
      <c r="H351" s="98">
        <v>788.76412</v>
      </c>
      <c r="I351" s="98">
        <v>972.06572</v>
      </c>
      <c r="J351" s="98">
        <v>915.7431499999999</v>
      </c>
      <c r="K351" s="98">
        <v>1301.89221</v>
      </c>
      <c r="L351" s="98">
        <v>1193.46694</v>
      </c>
      <c r="M351" s="98">
        <v>2768.24157</v>
      </c>
      <c r="N351" s="98">
        <v>2640.4213799999998</v>
      </c>
      <c r="O351" s="98">
        <v>4154.20252</v>
      </c>
      <c r="P351" s="98">
        <v>4378.766610000001</v>
      </c>
      <c r="Q351" s="98">
        <v>3771.61419</v>
      </c>
      <c r="R351" s="98">
        <v>5045.80629</v>
      </c>
      <c r="S351" s="98">
        <v>3323.44248</v>
      </c>
      <c r="T351" s="98">
        <v>2172.93553</v>
      </c>
      <c r="U351" s="98">
        <v>2843.87134</v>
      </c>
      <c r="V351" s="98">
        <v>3224.70171</v>
      </c>
      <c r="W351" s="98">
        <v>3726.51844</v>
      </c>
      <c r="X351" s="98">
        <v>3612.82263</v>
      </c>
      <c r="Y351" s="98">
        <v>4342.57653</v>
      </c>
      <c r="Z351" s="98">
        <v>4643.60658</v>
      </c>
      <c r="AA351" s="98">
        <v>6475.3631</v>
      </c>
      <c r="AB351" s="98">
        <v>7342.38977</v>
      </c>
      <c r="AC351" s="98">
        <v>1804.4391</v>
      </c>
      <c r="AD351" s="98">
        <v>8810.49452</v>
      </c>
      <c r="AE351" s="98">
        <v>6320.361469999994</v>
      </c>
      <c r="AF351" s="98">
        <v>5418.80087000001</v>
      </c>
      <c r="AG351" s="98">
        <v>6048.36348000001</v>
      </c>
      <c r="AH351" s="98">
        <v>6625.22253999999</v>
      </c>
      <c r="AI351" s="98">
        <v>7125.1156500000025</v>
      </c>
      <c r="AJ351" s="98">
        <v>8681.867570000015</v>
      </c>
      <c r="AK351" s="98">
        <v>7651.105429999996</v>
      </c>
      <c r="AL351" s="98">
        <v>10195.410269999991</v>
      </c>
      <c r="AN351" s="45">
        <f t="shared" si="36"/>
        <v>4.90827805</v>
      </c>
      <c r="AO351" s="45">
        <f t="shared" si="37"/>
        <v>6.17934387</v>
      </c>
      <c r="AP351" s="45">
        <f t="shared" si="38"/>
        <v>14.9450047</v>
      </c>
      <c r="AQ351" s="45">
        <f t="shared" si="39"/>
        <v>13.38605564</v>
      </c>
      <c r="AR351" s="98">
        <f t="shared" si="40"/>
        <v>14.90661931</v>
      </c>
      <c r="AS351" s="98">
        <f t="shared" si="41"/>
        <v>20.26579855</v>
      </c>
      <c r="AT351" s="98">
        <f t="shared" si="42"/>
        <v>26.59802034</v>
      </c>
      <c r="AU351" s="98">
        <f t="shared" si="43"/>
        <v>25.21750254</v>
      </c>
    </row>
    <row r="352" ht="14.25" customHeight="1">
      <c r="B352" s="30" t="s">
        <v>508</v>
      </c>
      <c r="D352" s="13">
        <f t="shared" si="34"/>
        <v>0</v>
      </c>
      <c r="E352" s="98">
        <f t="shared" si="35"/>
        <v>0</v>
      </c>
      <c r="F352" s="98">
        <v>0.0</v>
      </c>
      <c r="G352" s="98">
        <v>0.0</v>
      </c>
      <c r="H352" s="98">
        <v>0.0</v>
      </c>
      <c r="I352" s="98">
        <v>0.0</v>
      </c>
      <c r="J352" s="98">
        <v>0.0</v>
      </c>
      <c r="K352" s="98">
        <v>0.0</v>
      </c>
      <c r="L352" s="98">
        <v>0.0</v>
      </c>
      <c r="M352" s="98">
        <v>0.0</v>
      </c>
      <c r="N352" s="98">
        <v>0.0</v>
      </c>
      <c r="O352" s="98">
        <v>0.0</v>
      </c>
      <c r="P352" s="98">
        <v>0.0</v>
      </c>
      <c r="Q352" s="98">
        <v>0.0</v>
      </c>
      <c r="R352" s="98">
        <v>0.0</v>
      </c>
      <c r="S352" s="98">
        <v>0.0</v>
      </c>
      <c r="T352" s="98">
        <v>0.0</v>
      </c>
      <c r="U352" s="98">
        <v>1833.1048899999998</v>
      </c>
      <c r="V352" s="98">
        <v>2121.12322</v>
      </c>
      <c r="W352" s="98">
        <v>2016.33286</v>
      </c>
      <c r="X352" s="98">
        <v>2078.91829</v>
      </c>
      <c r="Y352" s="98">
        <v>2799.54677</v>
      </c>
      <c r="Z352" s="98">
        <v>6788.94163</v>
      </c>
      <c r="AA352" s="98">
        <v>12673.88788</v>
      </c>
      <c r="AB352" s="98">
        <v>13327.4432</v>
      </c>
      <c r="AC352" s="98">
        <v>21785.65265</v>
      </c>
      <c r="AD352" s="98">
        <v>18977.36562</v>
      </c>
      <c r="AE352" s="98">
        <v>17827.42439</v>
      </c>
      <c r="AF352" s="98">
        <v>22134.51363100005</v>
      </c>
      <c r="AG352" s="98">
        <v>29701.787128200256</v>
      </c>
      <c r="AH352" s="98">
        <v>26727.748906800032</v>
      </c>
      <c r="AI352" s="98">
        <v>33440.34905999998</v>
      </c>
      <c r="AJ352" s="98">
        <v>46316.88602999993</v>
      </c>
      <c r="AK352" s="98">
        <v>38918.22925999993</v>
      </c>
      <c r="AL352" s="98">
        <v>52151.34021000001</v>
      </c>
      <c r="AN352" s="45">
        <f t="shared" si="36"/>
        <v>0</v>
      </c>
      <c r="AO352" s="45">
        <f t="shared" si="37"/>
        <v>0</v>
      </c>
      <c r="AP352" s="45">
        <f t="shared" si="38"/>
        <v>0</v>
      </c>
      <c r="AQ352" s="45">
        <f t="shared" si="39"/>
        <v>1.83310489</v>
      </c>
      <c r="AR352" s="98">
        <f t="shared" si="40"/>
        <v>9.01592114</v>
      </c>
      <c r="AS352" s="98">
        <f t="shared" si="41"/>
        <v>54.57592536</v>
      </c>
      <c r="AT352" s="98">
        <f t="shared" si="42"/>
        <v>88.64109077</v>
      </c>
      <c r="AU352" s="98">
        <f t="shared" si="43"/>
        <v>112.0043987</v>
      </c>
    </row>
    <row r="353" ht="14.25" customHeight="1">
      <c r="B353" s="30" t="s">
        <v>509</v>
      </c>
      <c r="D353" s="13">
        <f t="shared" si="34"/>
        <v>0.00738713334</v>
      </c>
      <c r="E353" s="98">
        <f t="shared" si="35"/>
        <v>1926.06205</v>
      </c>
      <c r="F353" s="98">
        <v>702.045</v>
      </c>
      <c r="G353" s="98">
        <v>417.07644</v>
      </c>
      <c r="H353" s="98">
        <v>392.75516</v>
      </c>
      <c r="I353" s="98">
        <v>414.18545</v>
      </c>
      <c r="J353" s="98">
        <v>288.65679000000006</v>
      </c>
      <c r="K353" s="98">
        <v>609.44524</v>
      </c>
      <c r="L353" s="98">
        <v>513.32626</v>
      </c>
      <c r="M353" s="98">
        <v>866.96057</v>
      </c>
      <c r="N353" s="98">
        <v>800.0506100000001</v>
      </c>
      <c r="O353" s="98">
        <v>961.86423</v>
      </c>
      <c r="P353" s="98">
        <v>1650.6694300000001</v>
      </c>
      <c r="Q353" s="98">
        <v>1243.89435</v>
      </c>
      <c r="R353" s="98">
        <v>1215.68412</v>
      </c>
      <c r="S353" s="98">
        <v>1354.82746</v>
      </c>
      <c r="T353" s="98">
        <v>991.8849</v>
      </c>
      <c r="U353" s="98">
        <v>3569.12238</v>
      </c>
      <c r="V353" s="98">
        <v>2894.80835</v>
      </c>
      <c r="W353" s="98">
        <v>1716.45399</v>
      </c>
      <c r="X353" s="98">
        <v>2491.35175</v>
      </c>
      <c r="Y353" s="98">
        <v>2305.15193</v>
      </c>
      <c r="Z353" s="98">
        <v>6305.84537</v>
      </c>
      <c r="AA353" s="98">
        <v>2697.41338</v>
      </c>
      <c r="AB353" s="98">
        <v>2700.78</v>
      </c>
      <c r="AC353" s="98">
        <v>4276.13297</v>
      </c>
      <c r="AD353" s="98">
        <v>4867.860570000001</v>
      </c>
      <c r="AE353" s="98">
        <v>4683.65015</v>
      </c>
      <c r="AF353" s="98">
        <v>5480.760649999997</v>
      </c>
      <c r="AG353" s="98">
        <v>5269.562239999999</v>
      </c>
      <c r="AH353" s="98">
        <v>3211.4865999999993</v>
      </c>
      <c r="AI353" s="98">
        <v>3766.5180599999994</v>
      </c>
      <c r="AJ353" s="98">
        <v>4709.874999999998</v>
      </c>
      <c r="AK353" s="98">
        <v>6397.611799999999</v>
      </c>
      <c r="AL353" s="98">
        <v>4493.186309999998</v>
      </c>
      <c r="AN353" s="45">
        <f t="shared" si="36"/>
        <v>1.92606205</v>
      </c>
      <c r="AO353" s="45">
        <f t="shared" si="37"/>
        <v>2.27838886</v>
      </c>
      <c r="AP353" s="45">
        <f t="shared" si="38"/>
        <v>4.65647862</v>
      </c>
      <c r="AQ353" s="45">
        <f t="shared" si="39"/>
        <v>7.13151886</v>
      </c>
      <c r="AR353" s="98">
        <f t="shared" si="40"/>
        <v>9.40776602</v>
      </c>
      <c r="AS353" s="98">
        <f t="shared" si="41"/>
        <v>15.98017172</v>
      </c>
      <c r="AT353" s="98">
        <f t="shared" si="42"/>
        <v>20.30183361</v>
      </c>
      <c r="AU353" s="98">
        <f t="shared" si="43"/>
        <v>17.72832755</v>
      </c>
    </row>
    <row r="354" ht="14.25" customHeight="1">
      <c r="B354" s="30" t="s">
        <v>74</v>
      </c>
      <c r="D354" s="13">
        <f t="shared" si="34"/>
        <v>0.003825697329</v>
      </c>
      <c r="E354" s="98">
        <f t="shared" si="35"/>
        <v>997.481716</v>
      </c>
      <c r="F354" s="98">
        <v>328.05303000000004</v>
      </c>
      <c r="G354" s="98">
        <v>278.18551599999995</v>
      </c>
      <c r="H354" s="98">
        <v>114.35943999999998</v>
      </c>
      <c r="I354" s="98">
        <v>276.88373</v>
      </c>
      <c r="J354" s="98">
        <v>149.88009</v>
      </c>
      <c r="K354" s="98">
        <v>124.72122999999999</v>
      </c>
      <c r="L354" s="98">
        <v>149.69473941</v>
      </c>
      <c r="M354" s="98">
        <v>328.64994930700004</v>
      </c>
      <c r="N354" s="98">
        <v>1208.68228</v>
      </c>
      <c r="O354" s="98">
        <v>2711.68066</v>
      </c>
      <c r="P354" s="98">
        <v>2841.2106999999996</v>
      </c>
      <c r="Q354" s="98">
        <v>6345.944451941999</v>
      </c>
      <c r="R354" s="98">
        <v>1875.7951099999918</v>
      </c>
      <c r="S354" s="98">
        <v>977.3027900000088</v>
      </c>
      <c r="T354" s="98">
        <v>1721.755210000003</v>
      </c>
      <c r="U354" s="98">
        <v>1728.4709900000016</v>
      </c>
      <c r="V354" s="98">
        <v>1961.2041600000084</v>
      </c>
      <c r="W354" s="98">
        <v>3475.4631200000003</v>
      </c>
      <c r="X354" s="98">
        <v>3166.480260000011</v>
      </c>
      <c r="Y354" s="98">
        <v>3864.9814100000076</v>
      </c>
      <c r="Z354" s="98">
        <v>1711.6622700000298</v>
      </c>
      <c r="AA354" s="98">
        <v>2180.7565800000157</v>
      </c>
      <c r="AB354" s="98">
        <v>975.5392899999861</v>
      </c>
      <c r="AC354" s="98">
        <v>855.16047</v>
      </c>
      <c r="AD354" s="98">
        <v>1977.60825</v>
      </c>
      <c r="AE354" s="98">
        <v>1207.7293200000008</v>
      </c>
      <c r="AF354" s="98">
        <v>2613.8248999999937</v>
      </c>
      <c r="AG354" s="98">
        <v>1754.598919999972</v>
      </c>
      <c r="AH354" s="98">
        <v>1780.2678100000155</v>
      </c>
      <c r="AI354" s="98">
        <v>1059.3622099999636</v>
      </c>
      <c r="AJ354" s="98">
        <v>2522.4266199999824</v>
      </c>
      <c r="AK354" s="98">
        <v>11594.093649999917</v>
      </c>
      <c r="AL354" s="98">
        <v>4145.178319999955</v>
      </c>
      <c r="AN354" s="45">
        <f t="shared" si="36"/>
        <v>0.997481716</v>
      </c>
      <c r="AO354" s="45">
        <f t="shared" si="37"/>
        <v>0.7529460087</v>
      </c>
      <c r="AP354" s="45">
        <f t="shared" si="38"/>
        <v>13.10751809</v>
      </c>
      <c r="AQ354" s="45">
        <f t="shared" si="39"/>
        <v>6.3033241</v>
      </c>
      <c r="AR354" s="98">
        <f t="shared" si="40"/>
        <v>12.46812895</v>
      </c>
      <c r="AS354" s="98">
        <f t="shared" si="41"/>
        <v>5.72311861</v>
      </c>
      <c r="AT354" s="98">
        <f t="shared" si="42"/>
        <v>7.55376139</v>
      </c>
      <c r="AU354" s="98">
        <f t="shared" si="43"/>
        <v>7.20805384</v>
      </c>
    </row>
    <row r="355" ht="14.25" customHeight="1"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N355" s="45"/>
      <c r="AO355" s="45"/>
      <c r="AP355" s="45"/>
      <c r="AQ355" s="45"/>
      <c r="AR355" s="98"/>
      <c r="AS355" s="98"/>
      <c r="AT355" s="98"/>
      <c r="AU355" s="98"/>
    </row>
    <row r="356" ht="14.25" customHeight="1"/>
    <row r="357" ht="14.25" customHeight="1">
      <c r="B357" s="30" t="s">
        <v>510</v>
      </c>
      <c r="Z357" s="98">
        <v>22226.75103</v>
      </c>
      <c r="AA357" s="98">
        <v>26092.189498571424</v>
      </c>
      <c r="AB357" s="98">
        <v>34154.32436428571</v>
      </c>
      <c r="AC357" s="98">
        <v>43241.019941428574</v>
      </c>
      <c r="AD357" s="98">
        <v>50611.950431428566</v>
      </c>
      <c r="AE357" s="98">
        <v>57173.026962857126</v>
      </c>
      <c r="AF357" s="98">
        <v>58156.30209714285</v>
      </c>
      <c r="AG357" s="98">
        <v>58483.186519999996</v>
      </c>
      <c r="AH357" s="98">
        <v>51373.685</v>
      </c>
      <c r="AI357" s="98">
        <v>45207.745</v>
      </c>
      <c r="AJ357" s="98">
        <v>107639.40128436993</v>
      </c>
      <c r="AK357" s="98">
        <v>102921.7635243699</v>
      </c>
      <c r="AL357" s="98">
        <v>86626.82123234097</v>
      </c>
    </row>
    <row r="358" ht="14.25" customHeight="1">
      <c r="B358" s="30" t="s">
        <v>511</v>
      </c>
      <c r="Z358" s="98">
        <v>33676.8955</v>
      </c>
      <c r="AA358" s="98">
        <v>39533.62045238095</v>
      </c>
      <c r="AB358" s="98">
        <v>51748.97630952381</v>
      </c>
      <c r="AC358" s="98">
        <v>65516.69688095238</v>
      </c>
      <c r="AD358" s="98">
        <v>76684.77338095238</v>
      </c>
      <c r="AE358" s="98">
        <v>86625.7984285714</v>
      </c>
      <c r="AF358" s="98">
        <v>88115.60923809523</v>
      </c>
      <c r="AG358" s="98">
        <v>88610.88866666667</v>
      </c>
      <c r="AH358" s="98">
        <v>77838.91666666667</v>
      </c>
      <c r="AI358" s="98">
        <v>68496.58333333334</v>
      </c>
      <c r="AJ358" s="98">
        <v>163090.00194601502</v>
      </c>
      <c r="AK358" s="98">
        <v>155942.065946015</v>
      </c>
      <c r="AL358" s="98">
        <v>131252.75944294088</v>
      </c>
    </row>
    <row r="359" ht="14.25" customHeight="1">
      <c r="B359" s="30" t="s">
        <v>512</v>
      </c>
      <c r="Z359" s="98">
        <v>-11450.144470000001</v>
      </c>
      <c r="AA359" s="98">
        <v>-13441.430953809524</v>
      </c>
      <c r="AB359" s="98">
        <v>-17594.651945238096</v>
      </c>
      <c r="AC359" s="98">
        <v>-22275.67693952381</v>
      </c>
      <c r="AD359" s="98">
        <v>-26072.822949523812</v>
      </c>
      <c r="AE359" s="98">
        <v>-29452.77146571428</v>
      </c>
      <c r="AF359" s="98">
        <v>-29959.30714095238</v>
      </c>
      <c r="AG359" s="98">
        <v>-30127.70214666667</v>
      </c>
      <c r="AH359" s="98">
        <v>-26465.23166666667</v>
      </c>
      <c r="AI359" s="98">
        <v>-23288.83833333334</v>
      </c>
      <c r="AJ359" s="98">
        <v>-55450.6006616451</v>
      </c>
      <c r="AK359" s="98">
        <v>-53020.3024216451</v>
      </c>
      <c r="AL359" s="98">
        <v>-44625.9382105999</v>
      </c>
    </row>
    <row r="360" ht="14.25" customHeight="1">
      <c r="B360" s="30" t="s">
        <v>513</v>
      </c>
      <c r="Z360" s="98">
        <v>214899.78</v>
      </c>
      <c r="AA360" s="98">
        <v>231222.52999999997</v>
      </c>
      <c r="AB360" s="98">
        <v>260449.02999999997</v>
      </c>
      <c r="AC360" s="98">
        <v>279299.711245</v>
      </c>
      <c r="AD360" s="98">
        <v>305113.181245</v>
      </c>
      <c r="AE360" s="98">
        <v>350084.181245</v>
      </c>
      <c r="AF360" s="98">
        <v>378711.181245</v>
      </c>
      <c r="AG360" s="98">
        <v>427674.75</v>
      </c>
      <c r="AH360" s="98">
        <v>469267.5</v>
      </c>
      <c r="AI360" s="98">
        <v>492511.75</v>
      </c>
      <c r="AJ360" s="98">
        <v>700261.717315</v>
      </c>
      <c r="AK360" s="98">
        <v>720880.8084225</v>
      </c>
      <c r="AL360" s="98">
        <v>748659.6807499998</v>
      </c>
    </row>
    <row r="361" ht="14.25" customHeight="1">
      <c r="B361" s="30" t="s">
        <v>514</v>
      </c>
      <c r="Z361" s="98">
        <v>100514.35325</v>
      </c>
      <c r="AA361" s="98">
        <v>101632.70425</v>
      </c>
      <c r="AB361" s="98">
        <v>111142.0585</v>
      </c>
      <c r="AC361" s="98">
        <v>105458.489745</v>
      </c>
      <c r="AD361" s="98">
        <v>105370.636495</v>
      </c>
      <c r="AE361" s="98">
        <v>123828.785495</v>
      </c>
      <c r="AF361" s="98">
        <v>126340.681245</v>
      </c>
      <c r="AG361" s="98">
        <v>147940.25</v>
      </c>
      <c r="AH361" s="98">
        <v>170167.5</v>
      </c>
      <c r="AI361" s="98">
        <v>170273.75</v>
      </c>
      <c r="AJ361" s="98">
        <v>196562.0</v>
      </c>
      <c r="AK361" s="98">
        <v>204936.0</v>
      </c>
      <c r="AL361" s="98">
        <v>229089.0</v>
      </c>
    </row>
    <row r="362" ht="14.25" customHeight="1">
      <c r="B362" s="30" t="s">
        <v>515</v>
      </c>
      <c r="Z362" s="98">
        <v>114385.42675</v>
      </c>
      <c r="AA362" s="98">
        <v>129589.82574999999</v>
      </c>
      <c r="AB362" s="98">
        <v>149306.97149999999</v>
      </c>
      <c r="AC362" s="98">
        <v>173841.22149999999</v>
      </c>
      <c r="AD362" s="98">
        <v>199742.54475</v>
      </c>
      <c r="AE362" s="98">
        <v>226255.39575</v>
      </c>
      <c r="AF362" s="98">
        <v>252370.5</v>
      </c>
      <c r="AG362" s="98">
        <v>279734.5</v>
      </c>
      <c r="AH362" s="98">
        <v>299100.0</v>
      </c>
      <c r="AI362" s="98">
        <v>322238.0</v>
      </c>
      <c r="AJ362" s="98">
        <v>503699.71731499996</v>
      </c>
      <c r="AK362" s="98">
        <v>515944.80842250003</v>
      </c>
      <c r="AL362" s="98">
        <v>519570.6807499998</v>
      </c>
    </row>
    <row r="363" ht="14.25" customHeight="1">
      <c r="B363" s="30" t="s">
        <v>516</v>
      </c>
      <c r="Z363" s="186">
        <v>0.10342844943815205</v>
      </c>
      <c r="AA363" s="186">
        <v>0.11284449442954987</v>
      </c>
      <c r="AB363" s="186">
        <v>0.1311363085678826</v>
      </c>
      <c r="AC363" s="186">
        <v>0.15481942229255588</v>
      </c>
      <c r="AD363" s="186">
        <v>0.1658792656053366</v>
      </c>
      <c r="AE363" s="186">
        <v>0.16331222610382853</v>
      </c>
      <c r="AF363" s="186">
        <v>0.15356373135315415</v>
      </c>
      <c r="AG363" s="186">
        <v>0.1367468772004894</v>
      </c>
      <c r="AH363" s="186">
        <v>0.1094763327952607</v>
      </c>
      <c r="AI363" s="186">
        <v>0.0917901857163814</v>
      </c>
      <c r="AJ363" s="186">
        <v>0.1537131027197797</v>
      </c>
      <c r="AK363" s="186">
        <v>0.142772234080684</v>
      </c>
      <c r="AL363" s="186">
        <v>0.1157092113542953</v>
      </c>
    </row>
    <row r="364" ht="14.25" customHeight="1"/>
    <row r="365" ht="14.25" customHeight="1">
      <c r="B365" s="165" t="s">
        <v>191</v>
      </c>
    </row>
    <row r="366" ht="14.25" customHeight="1">
      <c r="B366" s="30" t="s">
        <v>517</v>
      </c>
      <c r="V366" s="166">
        <v>69637.0</v>
      </c>
      <c r="W366" s="166">
        <v>85210.0</v>
      </c>
      <c r="X366" s="166">
        <v>106091.0</v>
      </c>
      <c r="Y366" s="166">
        <v>116000.0</v>
      </c>
      <c r="Z366" s="166">
        <v>119122.0</v>
      </c>
      <c r="AA366" s="166">
        <v>173228.0</v>
      </c>
      <c r="AB366" s="166">
        <v>243844.0</v>
      </c>
      <c r="AC366" s="166">
        <v>236339.0</v>
      </c>
      <c r="AD366" s="166">
        <v>224358.0</v>
      </c>
      <c r="AE366" s="166">
        <v>238206.0</v>
      </c>
      <c r="AF366" s="166">
        <v>254772.0</v>
      </c>
      <c r="AG366" s="166">
        <v>271312.0</v>
      </c>
      <c r="AH366" s="166">
        <v>203281.0</v>
      </c>
      <c r="AI366" s="166">
        <v>188991.0</v>
      </c>
      <c r="AJ366" s="166">
        <v>243660.0</v>
      </c>
      <c r="AK366" s="166">
        <v>414314.0</v>
      </c>
      <c r="AL366" s="166">
        <v>356688.0</v>
      </c>
      <c r="AN366" s="166">
        <v>1050246.0</v>
      </c>
    </row>
    <row r="367" ht="14.25" customHeight="1">
      <c r="B367" s="30" t="s">
        <v>518</v>
      </c>
      <c r="V367" s="166">
        <v>11476.0</v>
      </c>
      <c r="W367" s="166">
        <v>13174.0</v>
      </c>
      <c r="X367" s="166">
        <v>13416.0</v>
      </c>
      <c r="Y367" s="166">
        <v>13663.0</v>
      </c>
      <c r="Z367" s="166">
        <v>13286.0</v>
      </c>
      <c r="AA367" s="166">
        <v>15183.0</v>
      </c>
      <c r="AB367" s="166">
        <v>17688.0</v>
      </c>
      <c r="AC367" s="166">
        <v>21038.0</v>
      </c>
      <c r="AD367" s="166">
        <v>28608.0</v>
      </c>
      <c r="AE367" s="166">
        <v>29978.0</v>
      </c>
      <c r="AF367" s="166">
        <v>30112.0</v>
      </c>
      <c r="AG367" s="166">
        <v>29969.0</v>
      </c>
      <c r="AH367" s="166">
        <v>26898.0</v>
      </c>
      <c r="AI367" s="166">
        <v>30839.0</v>
      </c>
      <c r="AJ367" s="166">
        <v>31415.0</v>
      </c>
      <c r="AK367" s="166">
        <v>33707.0</v>
      </c>
      <c r="AL367" s="166">
        <v>32032.0</v>
      </c>
      <c r="AN367" s="166">
        <v>122859.0</v>
      </c>
    </row>
    <row r="368" ht="14.25" customHeight="1">
      <c r="B368" s="30" t="s">
        <v>519</v>
      </c>
      <c r="V368" s="166">
        <v>4035.0</v>
      </c>
      <c r="W368" s="166">
        <v>22589.0</v>
      </c>
      <c r="X368" s="166">
        <v>15760.0</v>
      </c>
      <c r="Y368" s="166">
        <v>-1607.0</v>
      </c>
      <c r="Z368" s="166">
        <v>8217.0</v>
      </c>
      <c r="AA368" s="166">
        <v>12187.0</v>
      </c>
      <c r="AB368" s="166">
        <v>12410.0</v>
      </c>
      <c r="AC368" s="166">
        <v>9052.0</v>
      </c>
      <c r="AD368" s="166">
        <v>7179.0</v>
      </c>
      <c r="AE368" s="166">
        <v>6286.0</v>
      </c>
      <c r="AF368" s="166">
        <v>7581.0</v>
      </c>
      <c r="AG368" s="166">
        <v>8280.0</v>
      </c>
      <c r="AH368" s="166">
        <v>7374.0</v>
      </c>
      <c r="AI368" s="166">
        <v>6857.0</v>
      </c>
      <c r="AJ368" s="166">
        <v>12680.0</v>
      </c>
      <c r="AK368" s="166">
        <v>5585.0</v>
      </c>
      <c r="AL368" s="166">
        <v>9185.0</v>
      </c>
      <c r="AN368" s="166">
        <v>32496.0</v>
      </c>
    </row>
    <row r="369" ht="14.25" customHeight="1">
      <c r="B369" s="30" t="s">
        <v>520</v>
      </c>
      <c r="V369" s="30">
        <v>202.0</v>
      </c>
      <c r="W369" s="30">
        <v>200.0</v>
      </c>
      <c r="X369" s="30">
        <v>172.0</v>
      </c>
      <c r="Y369" s="30">
        <v>248.0</v>
      </c>
      <c r="Z369" s="30">
        <v>665.0</v>
      </c>
      <c r="AA369" s="30">
        <v>159.0</v>
      </c>
      <c r="AB369" s="166">
        <v>2481.0</v>
      </c>
      <c r="AC369" s="166">
        <v>203.0</v>
      </c>
      <c r="AD369" s="166">
        <v>1398.0</v>
      </c>
      <c r="AE369" s="30">
        <v>135.0</v>
      </c>
      <c r="AF369" s="30">
        <v>956.0</v>
      </c>
      <c r="AG369" s="166">
        <v>478.0</v>
      </c>
      <c r="AH369" s="30">
        <v>721.0</v>
      </c>
      <c r="AI369" s="30">
        <v>405.0</v>
      </c>
      <c r="AJ369" s="166">
        <v>1244.0</v>
      </c>
      <c r="AK369" s="166">
        <v>4445.0</v>
      </c>
      <c r="AL369" s="166">
        <v>5298.0</v>
      </c>
      <c r="AN369" s="166">
        <v>6815.0</v>
      </c>
    </row>
    <row r="370" ht="14.25" customHeight="1">
      <c r="B370" s="30" t="s">
        <v>521</v>
      </c>
      <c r="V370" s="166">
        <v>-6225.0</v>
      </c>
      <c r="W370" s="166">
        <v>-8837.0</v>
      </c>
      <c r="X370" s="166">
        <v>-10400.0</v>
      </c>
      <c r="Y370" s="166">
        <v>-9711.0</v>
      </c>
      <c r="Z370" s="166">
        <v>-10219.0</v>
      </c>
      <c r="AA370" s="166">
        <v>-15450.0</v>
      </c>
      <c r="AB370" s="166">
        <v>-20534.0</v>
      </c>
      <c r="AC370" s="166">
        <v>-18594.0</v>
      </c>
      <c r="AD370" s="166">
        <v>-18887.0</v>
      </c>
      <c r="AE370" s="166">
        <v>-19862.0</v>
      </c>
      <c r="AF370" s="166">
        <v>-22282.0</v>
      </c>
      <c r="AG370" s="166">
        <v>-24301.0</v>
      </c>
      <c r="AH370" s="166">
        <v>-20594.0</v>
      </c>
      <c r="AI370" s="166">
        <v>-18617.0</v>
      </c>
      <c r="AJ370" s="166">
        <v>-23680.0</v>
      </c>
      <c r="AK370" s="166">
        <v>-35062.0</v>
      </c>
      <c r="AL370" s="166">
        <v>-32829.0</v>
      </c>
      <c r="AN370" s="166">
        <v>-97953.0</v>
      </c>
    </row>
    <row r="371" ht="14.25" customHeight="1">
      <c r="B371" s="30" t="s">
        <v>522</v>
      </c>
      <c r="V371" s="166">
        <v>-684.0</v>
      </c>
      <c r="W371" s="166">
        <v>-812.0</v>
      </c>
      <c r="X371" s="166">
        <v>-1456.0</v>
      </c>
      <c r="Y371" s="166">
        <v>-1519.0</v>
      </c>
      <c r="Z371" s="166">
        <v>-1783.0</v>
      </c>
      <c r="AA371" s="166">
        <v>-1365.0</v>
      </c>
      <c r="AB371" s="166">
        <v>-1450.0</v>
      </c>
      <c r="AC371" s="166">
        <v>-2213.0</v>
      </c>
      <c r="AD371" s="166">
        <v>-1394.0</v>
      </c>
      <c r="AE371" s="30">
        <v>-808.0</v>
      </c>
      <c r="AF371" s="166">
        <v>-2182.0</v>
      </c>
      <c r="AG371" s="166">
        <v>-3481.0</v>
      </c>
      <c r="AH371" s="166">
        <v>-1249.0</v>
      </c>
      <c r="AI371" s="166">
        <v>-3215.0</v>
      </c>
      <c r="AJ371" s="166">
        <v>-6120.0</v>
      </c>
      <c r="AK371" s="166">
        <v>-3296.0</v>
      </c>
      <c r="AL371" s="166">
        <v>-1529.0</v>
      </c>
      <c r="AN371" s="166">
        <v>-13880.0</v>
      </c>
    </row>
    <row r="372" ht="14.25" customHeight="1">
      <c r="B372" s="30" t="s">
        <v>523</v>
      </c>
      <c r="V372" s="166">
        <v>78441.0</v>
      </c>
      <c r="W372" s="166">
        <v>111524.0</v>
      </c>
      <c r="X372" s="166">
        <v>123583.0</v>
      </c>
      <c r="Y372" s="166">
        <v>117074.0</v>
      </c>
      <c r="Z372" s="166">
        <v>129288.0</v>
      </c>
      <c r="AA372" s="166">
        <v>183942.0</v>
      </c>
      <c r="AB372" s="166">
        <v>254439.0</v>
      </c>
      <c r="AC372" s="166">
        <v>245825.0</v>
      </c>
      <c r="AD372" s="166">
        <v>241262.0</v>
      </c>
      <c r="AE372" s="166">
        <v>253935.0</v>
      </c>
      <c r="AF372" s="166">
        <v>268957.0</v>
      </c>
      <c r="AG372" s="166">
        <v>282257.0</v>
      </c>
      <c r="AH372" s="166">
        <v>216431.0</v>
      </c>
      <c r="AI372" s="166">
        <v>205260.0</v>
      </c>
      <c r="AJ372" s="166">
        <v>259199.0</v>
      </c>
      <c r="AK372" s="166">
        <v>419693.0</v>
      </c>
      <c r="AL372" s="166">
        <v>368845.0</v>
      </c>
      <c r="AN372" s="166">
        <v>1100583.0</v>
      </c>
    </row>
    <row r="373" ht="14.25" customHeight="1">
      <c r="B373" s="30" t="s">
        <v>524</v>
      </c>
      <c r="V373" s="166">
        <v>85350.0</v>
      </c>
      <c r="W373" s="166">
        <v>121173.0</v>
      </c>
      <c r="X373" s="166">
        <v>135439.0</v>
      </c>
      <c r="Y373" s="166">
        <v>128304.0</v>
      </c>
      <c r="Z373" s="166">
        <v>141290.0</v>
      </c>
      <c r="AA373" s="166">
        <v>200757.0</v>
      </c>
      <c r="AB373" s="166">
        <v>276423.0</v>
      </c>
      <c r="AC373" s="166">
        <v>266632.0</v>
      </c>
      <c r="AD373" s="166">
        <v>261543.0</v>
      </c>
      <c r="AE373" s="166">
        <v>274605.0</v>
      </c>
      <c r="AF373" s="166">
        <v>293421.0</v>
      </c>
      <c r="AG373" s="166">
        <v>310039.0</v>
      </c>
      <c r="AH373" s="166">
        <v>238274.0</v>
      </c>
      <c r="AI373" s="166">
        <v>227092.0</v>
      </c>
      <c r="AJ373" s="166">
        <v>288999.0</v>
      </c>
      <c r="AK373" s="166">
        <v>458051.0</v>
      </c>
      <c r="AL373" s="166">
        <v>403203.0</v>
      </c>
      <c r="AN373" s="166">
        <v>1212416.0</v>
      </c>
    </row>
    <row r="374" ht="14.25" customHeight="1">
      <c r="B374" s="30" t="s">
        <v>525</v>
      </c>
      <c r="V374" s="166">
        <v>-6909.0</v>
      </c>
      <c r="W374" s="166">
        <v>-9649.0</v>
      </c>
      <c r="X374" s="166">
        <v>-11856.0</v>
      </c>
      <c r="Y374" s="166">
        <v>-11230.0</v>
      </c>
      <c r="Z374" s="166">
        <v>-12002.0</v>
      </c>
      <c r="AA374" s="166">
        <v>-16815.0</v>
      </c>
      <c r="AB374" s="166">
        <v>-21984.0</v>
      </c>
      <c r="AC374" s="166">
        <v>-20807.0</v>
      </c>
      <c r="AD374" s="166">
        <v>-20281.0</v>
      </c>
      <c r="AE374" s="166">
        <v>-20670.0</v>
      </c>
      <c r="AF374" s="166">
        <v>-24464.0</v>
      </c>
      <c r="AG374" s="166">
        <v>-27782.0</v>
      </c>
      <c r="AH374" s="166">
        <v>-21843.0</v>
      </c>
      <c r="AI374" s="166">
        <v>-21832.0</v>
      </c>
      <c r="AJ374" s="166">
        <v>-29800.0</v>
      </c>
      <c r="AK374" s="166">
        <v>-38358.0</v>
      </c>
      <c r="AL374" s="166">
        <v>-34358.0</v>
      </c>
      <c r="AN374" s="166">
        <v>-111833.0</v>
      </c>
    </row>
    <row r="375" ht="14.25" customHeight="1">
      <c r="B375" s="30" t="s">
        <v>523</v>
      </c>
      <c r="V375" s="166">
        <v>78441.0</v>
      </c>
      <c r="W375" s="166">
        <v>111524.0</v>
      </c>
      <c r="X375" s="166">
        <v>123583.0</v>
      </c>
      <c r="Y375" s="166">
        <v>119593.0</v>
      </c>
      <c r="Z375" s="166">
        <v>129288.0</v>
      </c>
      <c r="AA375" s="166">
        <v>183942.0</v>
      </c>
      <c r="AB375" s="166">
        <v>254439.0</v>
      </c>
      <c r="AC375" s="166">
        <v>245825.0</v>
      </c>
      <c r="AD375" s="166">
        <v>241262.0</v>
      </c>
      <c r="AE375" s="166">
        <v>253935.0</v>
      </c>
      <c r="AF375" s="166">
        <v>268957.0</v>
      </c>
      <c r="AG375" s="166">
        <v>282257.0</v>
      </c>
      <c r="AH375" s="166">
        <v>216431.0</v>
      </c>
      <c r="AI375" s="166">
        <v>205260.0</v>
      </c>
      <c r="AJ375" s="166">
        <v>259199.0</v>
      </c>
      <c r="AK375" s="166">
        <v>419693.0</v>
      </c>
      <c r="AL375" s="166">
        <v>368845.0</v>
      </c>
      <c r="AN375" s="166">
        <v>1100583.0</v>
      </c>
    </row>
    <row r="376" ht="14.25" customHeight="1"/>
    <row r="377" ht="14.25" customHeight="1">
      <c r="B377" s="30" t="s">
        <v>524</v>
      </c>
      <c r="V377" s="166">
        <v>11476.0</v>
      </c>
      <c r="W377" s="166">
        <v>13174.0</v>
      </c>
      <c r="X377" s="166">
        <v>13416.0</v>
      </c>
      <c r="Y377" s="166">
        <v>13663.0</v>
      </c>
      <c r="Z377" s="187">
        <v>13286.0</v>
      </c>
      <c r="AD377" s="187">
        <v>28608.0</v>
      </c>
      <c r="AK377" s="166"/>
    </row>
    <row r="378" ht="14.25" customHeight="1">
      <c r="B378" s="30" t="s">
        <v>526</v>
      </c>
      <c r="V378" s="166">
        <v>4035.0</v>
      </c>
      <c r="W378" s="166">
        <v>22589.0</v>
      </c>
      <c r="X378" s="166">
        <v>15760.0</v>
      </c>
      <c r="Y378" s="166">
        <v>-1607.0</v>
      </c>
      <c r="Z378" s="187">
        <v>8217.0</v>
      </c>
      <c r="AD378" s="187">
        <v>7179.0</v>
      </c>
      <c r="AK378" s="166"/>
    </row>
    <row r="379" ht="14.25" customHeight="1">
      <c r="B379" s="30" t="s">
        <v>519</v>
      </c>
      <c r="V379" s="166">
        <v>69637.0</v>
      </c>
      <c r="W379" s="166">
        <v>85210.0</v>
      </c>
      <c r="X379" s="166">
        <v>106091.0</v>
      </c>
      <c r="Y379" s="166">
        <v>116000.0</v>
      </c>
      <c r="Z379" s="187">
        <v>119122.0</v>
      </c>
      <c r="AD379" s="187">
        <v>224358.0</v>
      </c>
      <c r="AK379" s="166"/>
    </row>
    <row r="380" ht="14.25" customHeight="1">
      <c r="B380" s="30" t="s">
        <v>527</v>
      </c>
      <c r="V380" s="30">
        <v>202.0</v>
      </c>
      <c r="W380" s="30">
        <v>200.0</v>
      </c>
      <c r="X380" s="166">
        <v>172.0</v>
      </c>
      <c r="Y380" s="166">
        <v>248.0</v>
      </c>
      <c r="Z380" s="30">
        <v>665.0</v>
      </c>
      <c r="AD380" s="166">
        <v>1398.0</v>
      </c>
    </row>
    <row r="381" ht="14.25" customHeight="1">
      <c r="B381" s="30" t="s">
        <v>528</v>
      </c>
      <c r="V381" s="166">
        <v>85350.0</v>
      </c>
      <c r="W381" s="166">
        <v>121173.0</v>
      </c>
      <c r="X381" s="166">
        <v>135439.0</v>
      </c>
      <c r="Y381" s="166">
        <v>130823.0</v>
      </c>
      <c r="Z381" s="166">
        <v>141290.0</v>
      </c>
      <c r="AD381" s="166">
        <v>261543.0</v>
      </c>
      <c r="AK381" s="166"/>
    </row>
    <row r="382" ht="14.25" customHeight="1">
      <c r="B382" s="30" t="s">
        <v>529</v>
      </c>
      <c r="V382" s="166">
        <v>-6225.0</v>
      </c>
      <c r="W382" s="166">
        <v>-8837.0</v>
      </c>
      <c r="X382" s="166">
        <v>-10400.0</v>
      </c>
      <c r="Y382" s="166">
        <v>-9711.0</v>
      </c>
      <c r="Z382" s="187">
        <v>-10219.0</v>
      </c>
      <c r="AD382" s="187">
        <v>-18887.0</v>
      </c>
      <c r="AK382" s="166"/>
    </row>
    <row r="383" ht="14.25" customHeight="1">
      <c r="B383" s="30" t="s">
        <v>521</v>
      </c>
      <c r="V383" s="30">
        <v>-684.0</v>
      </c>
      <c r="W383" s="30">
        <v>-812.0</v>
      </c>
      <c r="X383" s="166">
        <v>-1456.0</v>
      </c>
      <c r="Y383" s="166">
        <v>-1519.0</v>
      </c>
      <c r="Z383" s="187">
        <v>-1783.0</v>
      </c>
      <c r="AD383" s="187">
        <v>-1394.0</v>
      </c>
      <c r="AK383" s="166"/>
    </row>
    <row r="384" ht="14.25" customHeight="1">
      <c r="B384" s="30" t="s">
        <v>530</v>
      </c>
      <c r="V384" s="166">
        <v>-6909.0</v>
      </c>
      <c r="W384" s="166">
        <v>-9649.0</v>
      </c>
      <c r="X384" s="166">
        <v>-11856.0</v>
      </c>
      <c r="Y384" s="166">
        <v>-11230.0</v>
      </c>
      <c r="Z384" s="166">
        <v>-12002.0</v>
      </c>
      <c r="AD384" s="166">
        <v>-20281.0</v>
      </c>
      <c r="AK384" s="166"/>
    </row>
    <row r="385" ht="14.25" customHeight="1">
      <c r="B385" s="30" t="s">
        <v>523</v>
      </c>
      <c r="V385" s="166">
        <v>78441.0</v>
      </c>
      <c r="W385" s="166">
        <v>111524.0</v>
      </c>
      <c r="X385" s="166">
        <v>123583.0</v>
      </c>
      <c r="Y385" s="166">
        <v>119593.0</v>
      </c>
      <c r="Z385" s="166">
        <v>129288.0</v>
      </c>
      <c r="AD385" s="166">
        <v>241262.0</v>
      </c>
      <c r="AK385" s="166"/>
    </row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60">
    <cfRule type="cellIs" dxfId="0" priority="1" operator="equal">
      <formula>0</formula>
    </cfRule>
  </conditionalFormatting>
  <conditionalFormatting sqref="B260">
    <cfRule type="cellIs" dxfId="0" priority="2" operator="equal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8.71"/>
    <col customWidth="1" hidden="1" min="4" max="52" width="8.71"/>
    <col customWidth="1" min="53" max="70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A7" s="1"/>
      <c r="B7" s="2" t="s">
        <v>0</v>
      </c>
      <c r="C7" s="3" t="s">
        <v>1</v>
      </c>
      <c r="BA7" s="7">
        <f t="shared" ref="BA7:BC7" si="1">BB7-1</f>
        <v>2017</v>
      </c>
      <c r="BB7" s="7">
        <f t="shared" si="1"/>
        <v>2018</v>
      </c>
      <c r="BC7" s="7">
        <f t="shared" si="1"/>
        <v>2019</v>
      </c>
      <c r="BD7" s="7">
        <v>2020.0</v>
      </c>
      <c r="BE7" s="7">
        <f t="shared" ref="BE7:BR7" si="2">BD7+1</f>
        <v>2021</v>
      </c>
      <c r="BF7" s="7">
        <f t="shared" si="2"/>
        <v>2022</v>
      </c>
      <c r="BG7" s="7">
        <f t="shared" si="2"/>
        <v>2023</v>
      </c>
      <c r="BH7" s="7">
        <f t="shared" si="2"/>
        <v>2024</v>
      </c>
      <c r="BI7" s="8">
        <f t="shared" si="2"/>
        <v>2025</v>
      </c>
      <c r="BJ7" s="8">
        <f t="shared" si="2"/>
        <v>2026</v>
      </c>
      <c r="BK7" s="8">
        <f t="shared" si="2"/>
        <v>2027</v>
      </c>
      <c r="BL7" s="8">
        <f t="shared" si="2"/>
        <v>2028</v>
      </c>
      <c r="BM7" s="8">
        <f t="shared" si="2"/>
        <v>2029</v>
      </c>
      <c r="BN7" s="8">
        <f t="shared" si="2"/>
        <v>2030</v>
      </c>
      <c r="BO7" s="8">
        <f t="shared" si="2"/>
        <v>2031</v>
      </c>
      <c r="BP7" s="8">
        <f t="shared" si="2"/>
        <v>2032</v>
      </c>
      <c r="BQ7" s="8">
        <f t="shared" si="2"/>
        <v>2033</v>
      </c>
      <c r="BR7" s="8">
        <f t="shared" si="2"/>
        <v>2034</v>
      </c>
    </row>
    <row r="8" ht="14.25" customHeight="1"/>
    <row r="9" ht="14.25" customHeight="1">
      <c r="B9" s="10" t="s">
        <v>531</v>
      </c>
      <c r="C9" s="9" t="s">
        <v>42</v>
      </c>
      <c r="BB9" s="188">
        <v>0.037455811701915476</v>
      </c>
      <c r="BC9" s="188">
        <v>0.04306151617159526</v>
      </c>
      <c r="BD9" s="188">
        <v>0.04517456886424509</v>
      </c>
      <c r="BE9" s="188">
        <v>0.10060982737443336</v>
      </c>
      <c r="BF9" s="188">
        <v>0.057850929078894664</v>
      </c>
      <c r="BG9" s="188">
        <v>0.04621190005081832</v>
      </c>
      <c r="BH9" s="188">
        <v>0.044</v>
      </c>
      <c r="BI9" s="188">
        <v>0.05</v>
      </c>
      <c r="BJ9" s="188">
        <v>0.045</v>
      </c>
      <c r="BK9" s="188">
        <v>0.04</v>
      </c>
      <c r="BL9" s="188">
        <v>0.038</v>
      </c>
      <c r="BM9" s="188">
        <v>0.038</v>
      </c>
      <c r="BN9" s="188">
        <v>0.038</v>
      </c>
      <c r="BO9" s="188">
        <v>0.038</v>
      </c>
      <c r="BP9" s="188">
        <v>0.038</v>
      </c>
      <c r="BQ9" s="188">
        <v>0.038</v>
      </c>
      <c r="BR9" s="188">
        <v>0.038</v>
      </c>
    </row>
    <row r="10" ht="14.25" customHeight="1">
      <c r="B10" s="10" t="s">
        <v>532</v>
      </c>
      <c r="C10" s="9" t="s">
        <v>42</v>
      </c>
      <c r="BB10" s="188">
        <v>0.06475717425005723</v>
      </c>
      <c r="BC10" s="188">
        <v>0.059381227447692364</v>
      </c>
      <c r="BD10" s="188">
        <v>0.027847095323454196</v>
      </c>
      <c r="BE10" s="188">
        <v>0.04396766323345336</v>
      </c>
      <c r="BF10" s="188">
        <v>0.1242156862134729</v>
      </c>
      <c r="BG10" s="188">
        <v>0.13198299273696934</v>
      </c>
      <c r="BH10" s="188">
        <v>0.1147</v>
      </c>
      <c r="BI10" s="188">
        <v>0.15</v>
      </c>
      <c r="BJ10" s="188">
        <v>0.125</v>
      </c>
      <c r="BK10" s="188">
        <v>0.105</v>
      </c>
      <c r="BL10" s="188">
        <v>0.1</v>
      </c>
      <c r="BM10" s="188">
        <v>0.1</v>
      </c>
      <c r="BN10" s="188">
        <v>0.1</v>
      </c>
      <c r="BO10" s="188">
        <v>0.1</v>
      </c>
      <c r="BP10" s="188">
        <v>0.1</v>
      </c>
      <c r="BQ10" s="188">
        <v>0.1</v>
      </c>
      <c r="BR10" s="188">
        <v>0.1</v>
      </c>
    </row>
    <row r="11" ht="14.25" customHeight="1">
      <c r="B11" s="10" t="s">
        <v>533</v>
      </c>
      <c r="C11" s="9" t="s">
        <v>42</v>
      </c>
      <c r="BA11" s="188">
        <v>0.013</v>
      </c>
      <c r="BB11" s="188">
        <v>0.017836721768855313</v>
      </c>
      <c r="BC11" s="188">
        <v>0.0122076186827913</v>
      </c>
      <c r="BD11" s="188">
        <v>-0.03276750649534155</v>
      </c>
      <c r="BE11" s="188">
        <v>0.047625989483594866</v>
      </c>
      <c r="BF11" s="188">
        <v>0.03016717901184185</v>
      </c>
      <c r="BG11" s="188">
        <v>0.029084665065868487</v>
      </c>
      <c r="BH11" s="188">
        <v>0.032</v>
      </c>
      <c r="BI11" s="188">
        <v>0.02</v>
      </c>
      <c r="BJ11" s="188">
        <v>0.02</v>
      </c>
      <c r="BK11" s="188">
        <v>0.02</v>
      </c>
      <c r="BL11" s="188">
        <v>0.02</v>
      </c>
      <c r="BM11" s="188">
        <v>0.02</v>
      </c>
      <c r="BN11" s="188">
        <v>0.02</v>
      </c>
      <c r="BO11" s="188">
        <v>0.02</v>
      </c>
      <c r="BP11" s="188">
        <v>0.02</v>
      </c>
      <c r="BQ11" s="188">
        <v>0.02</v>
      </c>
      <c r="BR11" s="188">
        <v>0.02</v>
      </c>
    </row>
    <row r="12" ht="14.25" customHeight="1">
      <c r="B12" s="10" t="s">
        <v>534</v>
      </c>
      <c r="C12" s="9" t="s">
        <v>535</v>
      </c>
      <c r="BB12" s="189">
        <v>3.6558666666666664</v>
      </c>
      <c r="BC12" s="189">
        <v>3.9461500000000007</v>
      </c>
      <c r="BD12" s="189">
        <v>5.160475000000001</v>
      </c>
      <c r="BE12" s="189">
        <v>5.395908333333332</v>
      </c>
      <c r="BF12" s="189">
        <v>5.165216666666667</v>
      </c>
      <c r="BG12" s="189">
        <v>4.991833333333332</v>
      </c>
      <c r="BH12" s="189">
        <v>5.4</v>
      </c>
      <c r="BI12" s="189">
        <v>5.2</v>
      </c>
      <c r="BJ12" s="189">
        <v>5.25</v>
      </c>
      <c r="BK12" s="189">
        <v>5.3</v>
      </c>
      <c r="BL12" s="189">
        <f t="shared" ref="BL12:BR12" si="3">BK12</f>
        <v>5.3</v>
      </c>
      <c r="BM12" s="189">
        <f t="shared" si="3"/>
        <v>5.3</v>
      </c>
      <c r="BN12" s="189">
        <f t="shared" si="3"/>
        <v>5.3</v>
      </c>
      <c r="BO12" s="189">
        <f t="shared" si="3"/>
        <v>5.3</v>
      </c>
      <c r="BP12" s="189">
        <f t="shared" si="3"/>
        <v>5.3</v>
      </c>
      <c r="BQ12" s="189">
        <f t="shared" si="3"/>
        <v>5.3</v>
      </c>
      <c r="BR12" s="189">
        <f t="shared" si="3"/>
        <v>5.3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2020-10-02T13:13:29Z</dcterms:created>
  <dc:creator>Matheus Soares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0x0101003DF4B9E7F05EC5499C2419A9A9E430C9</vt:lpwstr>
  </property>
</Properties>
</file>